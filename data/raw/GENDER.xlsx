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lia\Documents\kuliah\Visualisasi Data dan Informasi\.uas visdat\"/>
    </mc:Choice>
  </mc:AlternateContent>
  <xr:revisionPtr revIDLastSave="0" documentId="13_ncr:1_{64C88742-7F87-40BF-A2C9-A6867CEBB3EB}" xr6:coauthVersionLast="47" xr6:coauthVersionMax="47" xr10:uidLastSave="{00000000-0000-0000-0000-000000000000}"/>
  <bookViews>
    <workbookView xWindow="4800" yWindow="1100" windowWidth="14400" windowHeight="8710" xr2:uid="{FE9DCD7C-E680-4E0D-A93A-5F930597C68C}"/>
  </bookViews>
  <sheets>
    <sheet name="KAB" sheetId="6" r:id="rId1"/>
    <sheet name="PROV" sheetId="2" r:id="rId2"/>
    <sheet name="24KAB" sheetId="4" r:id="rId3"/>
    <sheet name="kabprov" sheetId="1" r:id="rId4"/>
    <sheet name="kasar" sheetId="3" r:id="rId5"/>
    <sheet name="kasar2" sheetId="5" r:id="rId6"/>
  </sheets>
  <externalReferences>
    <externalReference r:id="rId7"/>
    <externalReference r:id="rId8"/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6" l="1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2" i="6"/>
  <c r="V2" i="5" a="1"/>
  <c r="V2" i="5" s="1"/>
  <c r="I2" i="3" a="1"/>
  <c r="I2" i="3" s="1"/>
  <c r="M2" i="3" a="1"/>
  <c r="M2" i="3" s="1"/>
  <c r="L2" i="3" a="1"/>
  <c r="L2" i="3" s="1"/>
  <c r="F2" i="3" a="1"/>
  <c r="F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<sst xmlns="http://schemas.openxmlformats.org/spreadsheetml/2006/main" count="6410" uniqueCount="1115">
  <si>
    <t>Kabupaten</t>
  </si>
  <si>
    <t>Provinsi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</si>
  <si>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</si>
  <si>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</si>
  <si>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</si>
  <si>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</si>
  <si>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</si>
  <si>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</si>
  <si>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</si>
  <si>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</si>
  <si>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</si>
  <si>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</si>
  <si>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</si>
  <si>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</si>
  <si>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</si>
  <si>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</si>
  <si>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</si>
  <si>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</si>
  <si>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</si>
  <si>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</si>
  <si>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 Banda Aceh</t>
  </si>
  <si>
    <t>Kota Sabang</t>
  </si>
  <si>
    <t>Kota Langsa</t>
  </si>
  <si>
    <t>Kota Lhokseumawe</t>
  </si>
  <si>
    <t>Kota Subulussalam</t>
  </si>
  <si>
    <t>ACEH</t>
  </si>
  <si>
    <t>Nias</t>
  </si>
  <si>
    <t>Mandailing Natal</t>
  </si>
  <si>
    <t>Tapanuli Selatan</t>
  </si>
  <si>
    <t>Tapanuli Tengah</t>
  </si>
  <si>
    <t>Tapanuli Utara</t>
  </si>
  <si>
    <t>Toba Samosir / Toba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</si>
  <si>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</si>
  <si>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</si>
  <si>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</si>
  <si>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</si>
  <si>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</si>
  <si>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</si>
  <si>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</si>
  <si>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</si>
  <si>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</si>
  <si>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</si>
  <si>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</si>
  <si>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</si>
  <si>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</si>
  <si>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</si>
  <si>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</si>
  <si>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</si>
  <si>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</si>
  <si>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</si>
  <si>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</si>
  <si>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</si>
  <si>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</si>
  <si>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</si>
  <si>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</si>
  <si>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</si>
  <si>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</si>
  <si>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Padangsidimpuan</t>
  </si>
  <si>
    <t>Kota Gunungsitoli</t>
  </si>
  <si>
    <t>SUMATERA UTARA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</si>
  <si>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</si>
  <si>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</si>
  <si>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</si>
  <si>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</si>
  <si>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</si>
  <si>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</si>
  <si>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</si>
  <si>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</si>
  <si>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</si>
  <si>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</si>
  <si>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</si>
  <si>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</si>
  <si>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</si>
  <si>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</si>
  <si>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</si>
  <si>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</si>
  <si>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</si>
  <si>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</si>
  <si>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</si>
  <si>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SUMATERA BARAT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</si>
  <si>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</si>
  <si>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</si>
  <si>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</si>
  <si>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</si>
  <si>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</si>
  <si>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</si>
  <si>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</si>
  <si>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</si>
  <si>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</si>
  <si>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</si>
  <si>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Kota Pekanbaru</t>
  </si>
  <si>
    <t>Kota Dumai</t>
  </si>
  <si>
    <t>RIAU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</si>
  <si>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</si>
  <si>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</si>
  <si>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</si>
  <si>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</si>
  <si>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</si>
  <si>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</si>
  <si>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</si>
  <si>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</si>
  <si>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</si>
  <si>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Kota Jambi</t>
  </si>
  <si>
    <t>Kota Sungai Penuh</t>
  </si>
  <si>
    <t>JAMBI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</si>
  <si>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</si>
  <si>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</si>
  <si>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</si>
  <si>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</si>
  <si>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</si>
  <si>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</si>
  <si>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</si>
  <si>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</si>
  <si>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</si>
  <si>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</si>
  <si>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</si>
  <si>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</si>
  <si>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</si>
  <si>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Kota Palembang</t>
  </si>
  <si>
    <t>Kota Prabumulih</t>
  </si>
  <si>
    <t>Kota Pagar Alam</t>
  </si>
  <si>
    <t>Kota Lubuklinggau</t>
  </si>
  <si>
    <t>SUMATERA SELATAN</t>
  </si>
  <si>
    <t>BENGKULU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</si>
  <si>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</si>
  <si>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</si>
  <si>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</si>
  <si>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</si>
  <si>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</si>
  <si>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</si>
  <si>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</si>
  <si>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</si>
  <si>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</si>
  <si>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</si>
  <si>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</si>
  <si>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</si>
  <si>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</si>
  <si>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</si>
  <si>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</si>
  <si>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</si>
  <si>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</si>
  <si>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</si>
  <si>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</si>
  <si>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</si>
  <si>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</si>
  <si>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</si>
  <si>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</si>
  <si>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</si>
  <si>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</si>
  <si>
    <t>LAMPUNG</t>
  </si>
  <si>
    <t>Bangka</t>
  </si>
  <si>
    <t>Belitung</t>
  </si>
  <si>
    <t>Bangka Barat</t>
  </si>
  <si>
    <t>Bangka Tengah</t>
  </si>
  <si>
    <t>Bangka Selatan</t>
  </si>
  <si>
    <t>Belitung Timur</t>
  </si>
  <si>
    <t>Kota Pangkal Pinang</t>
  </si>
  <si>
    <t>KEP. BANGKA BELITUNG</t>
  </si>
  <si>
    <t>Karimun</t>
  </si>
  <si>
    <t>Bintan</t>
  </si>
  <si>
    <t>Natuna</t>
  </si>
  <si>
    <t>Lingga</t>
  </si>
  <si>
    <t>Kepulauan Anambas</t>
  </si>
  <si>
    <t>Kota Batam</t>
  </si>
  <si>
    <t>Kota Tanjung Pinang</t>
  </si>
  <si>
    <t>KEPULAUAN RIAU</t>
  </si>
  <si>
    <t>Kep. Seribu</t>
  </si>
  <si>
    <t>Kota Jakarta Selatan</t>
  </si>
  <si>
    <t>Kota Jakarta Timur</t>
  </si>
  <si>
    <t>Kota Jakarta Pusat</t>
  </si>
  <si>
    <t>Kota Jakarta Barat</t>
  </si>
  <si>
    <t>Kota Jakarta Utara</t>
  </si>
  <si>
    <t>DKI JAKARTA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</si>
  <si>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</si>
  <si>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</si>
  <si>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</si>
  <si>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</si>
  <si>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</si>
  <si>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</si>
  <si>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</si>
  <si>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</si>
  <si>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</si>
  <si>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</si>
  <si>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</si>
  <si>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</si>
  <si>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</si>
  <si>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</si>
  <si>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</si>
  <si>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</si>
  <si>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</si>
  <si>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</si>
  <si>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</si>
  <si>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</si>
  <si>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</si>
  <si>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</si>
  <si>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</si>
  <si>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</si>
  <si>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</si>
  <si>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</si>
  <si>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</si>
  <si>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JAWA BARAT</t>
  </si>
  <si>
    <t>JAWA TENGAH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</si>
  <si>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</si>
  <si>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</si>
  <si>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</si>
  <si>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</si>
  <si>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</si>
  <si>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</si>
  <si>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</si>
  <si>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</si>
  <si>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</si>
  <si>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</si>
  <si>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</si>
  <si>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</si>
  <si>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</si>
  <si>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</si>
  <si>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</si>
  <si>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</si>
  <si>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</si>
  <si>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</si>
  <si>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</si>
  <si>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</si>
  <si>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</si>
  <si>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</si>
  <si>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</si>
  <si>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</si>
  <si>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</si>
  <si>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</si>
  <si>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</si>
  <si>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</si>
  <si>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</si>
  <si>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</si>
  <si>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</si>
  <si>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</si>
  <si>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</si>
  <si>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</si>
  <si>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</si>
  <si>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DI YOGYAKARTA</t>
  </si>
  <si>
    <t>Kulon Progo</t>
  </si>
  <si>
    <t>Bantul</t>
  </si>
  <si>
    <t>Gunung Kidul</t>
  </si>
  <si>
    <t>Sleman</t>
  </si>
  <si>
    <t>Kota Yogyakarta</t>
  </si>
  <si>
    <t>JAWA TIMUR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</si>
  <si>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</si>
  <si>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</si>
  <si>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</si>
  <si>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</si>
  <si>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</si>
  <si>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</si>
  <si>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</si>
  <si>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</si>
  <si>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</si>
  <si>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</si>
  <si>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</si>
  <si>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</si>
  <si>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</si>
  <si>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</si>
  <si>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</si>
  <si>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</si>
  <si>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</si>
  <si>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</si>
  <si>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</si>
  <si>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</si>
  <si>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</si>
  <si>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</si>
  <si>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</si>
  <si>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</si>
  <si>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</si>
  <si>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</si>
  <si>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</si>
  <si>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</si>
  <si>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</si>
  <si>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</si>
  <si>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</si>
  <si>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</si>
  <si>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</si>
  <si>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</si>
  <si>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</si>
  <si>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</si>
  <si>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</si>
  <si>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</si>
  <si>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BANTEN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</si>
  <si>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</si>
  <si>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</si>
  <si>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</si>
  <si>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</si>
  <si>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</si>
  <si>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</si>
  <si>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</si>
  <si>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</si>
  <si>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BALI</t>
  </si>
  <si>
    <t>Jembrana</t>
  </si>
  <si>
    <t>Tabanan</t>
  </si>
  <si>
    <t>Badung</t>
  </si>
  <si>
    <t>Gianyar</t>
  </si>
  <si>
    <t>Klungkung</t>
  </si>
  <si>
    <t>Bangli</t>
  </si>
  <si>
    <t>Karangasem</t>
  </si>
  <si>
    <t>Buleleng</t>
  </si>
  <si>
    <t>Kota Denpasar</t>
  </si>
  <si>
    <t>NUSA TENGGARA BARAT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</si>
  <si>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</si>
  <si>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</si>
  <si>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</si>
  <si>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</si>
  <si>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</si>
  <si>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</si>
  <si>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</si>
  <si>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</si>
  <si>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</si>
  <si>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</si>
  <si>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NUSA TENGGARA TIMUR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</si>
  <si>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</si>
  <si>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</si>
  <si>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</si>
  <si>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</si>
  <si>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</si>
  <si>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</si>
  <si>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</si>
  <si>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</si>
  <si>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</si>
  <si>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</si>
  <si>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</si>
  <si>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</si>
  <si>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</si>
  <si>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</si>
  <si>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</si>
  <si>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</si>
  <si>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</si>
  <si>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</si>
  <si>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</si>
  <si>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</si>
  <si>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</si>
  <si>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</si>
  <si>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KALIMANTAN BARAT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</si>
  <si>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</si>
  <si>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</si>
  <si>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</si>
  <si>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</si>
  <si>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</si>
  <si>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</si>
  <si>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</si>
  <si>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</si>
  <si>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</si>
  <si>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</si>
  <si>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</si>
  <si>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</si>
  <si>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Kota Pontianak</t>
  </si>
  <si>
    <t>Kota Singkawang</t>
  </si>
  <si>
    <t>KALIMANTAN TENGAH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</si>
  <si>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</si>
  <si>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</si>
  <si>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</si>
  <si>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</si>
  <si>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</si>
  <si>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</si>
  <si>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</si>
  <si>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</si>
  <si>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</si>
  <si>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</si>
  <si>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</si>
  <si>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</si>
  <si>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</si>
  <si>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Kota Palangka Raya</t>
  </si>
  <si>
    <t>KALIMANTAN SELATAN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</si>
  <si>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</si>
  <si>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</si>
  <si>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</si>
  <si>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</si>
  <si>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</si>
  <si>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</si>
  <si>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</si>
  <si>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</si>
  <si>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</si>
  <si>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</si>
  <si>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</si>
  <si>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</si>
  <si>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</si>
  <si>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KALIMANTAN TIMUR</t>
  </si>
  <si>
    <t>Paser</t>
  </si>
  <si>
    <t>Kutai Barat</t>
  </si>
  <si>
    <t>Kutai Kartanegara</t>
  </si>
  <si>
    <t>Kutai Timur</t>
  </si>
  <si>
    <t>Berau</t>
  </si>
  <si>
    <t>Penajam Paser Utara</t>
  </si>
  <si>
    <t>Mahakam Ulu</t>
  </si>
  <si>
    <t>Kota Balikpapan</t>
  </si>
  <si>
    <t>Kota Samarinda</t>
  </si>
  <si>
    <t>Kota Bontang</t>
  </si>
  <si>
    <t>KALIMANTAN UTARA</t>
  </si>
  <si>
    <t>Malinau</t>
  </si>
  <si>
    <t>Bulungan</t>
  </si>
  <si>
    <t>Tana Tidung</t>
  </si>
  <si>
    <t>Nunukan</t>
  </si>
  <si>
    <t>Kota Tarakan</t>
  </si>
  <si>
    <t>SULAWESI UTARA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</si>
  <si>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</si>
  <si>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</si>
  <si>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</si>
  <si>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</si>
  <si>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</si>
  <si>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</si>
  <si>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</si>
  <si>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</si>
  <si>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</si>
  <si>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</si>
  <si>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</si>
  <si>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Kota Manado</t>
  </si>
  <si>
    <t>Kota Bitung</t>
  </si>
  <si>
    <t>Kota Tomohon</t>
  </si>
  <si>
    <t>Kota Kotamobagu</t>
  </si>
  <si>
    <t>SULAWESI TENGAH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</si>
  <si>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</si>
  <si>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</si>
  <si>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</si>
  <si>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</si>
  <si>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</si>
  <si>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</si>
  <si>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</si>
  <si>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</si>
  <si>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</si>
  <si>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</si>
  <si>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</si>
  <si>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</si>
  <si>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Kota Palu</t>
  </si>
  <si>
    <t>SULAWESI SELATAN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</si>
  <si>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</si>
  <si>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</si>
  <si>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</si>
  <si>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</si>
  <si>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</si>
  <si>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</si>
  <si>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</si>
  <si>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</si>
  <si>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</si>
  <si>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</si>
  <si>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</si>
  <si>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</si>
  <si>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</si>
  <si>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</si>
  <si>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</si>
  <si>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</si>
  <si>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</si>
  <si>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</si>
  <si>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</si>
  <si>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</si>
  <si>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</si>
  <si>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Makasar</t>
  </si>
  <si>
    <t>Kota Parepare</t>
  </si>
  <si>
    <t>Kota Palopo</t>
  </si>
  <si>
    <t>SULAWESI TENGGARA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</si>
  <si>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</si>
  <si>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</si>
  <si>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</si>
  <si>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</si>
  <si>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</si>
  <si>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</si>
  <si>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</si>
  <si>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</si>
  <si>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</si>
  <si>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</si>
  <si>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</si>
  <si>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</si>
  <si>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</si>
  <si>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</si>
  <si>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</si>
  <si>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Kota Kendari</t>
  </si>
  <si>
    <t>Kota Baubau</t>
  </si>
  <si>
    <t>GORONTALO</t>
  </si>
  <si>
    <t>Boalemo</t>
  </si>
  <si>
    <t>Gorontalo</t>
  </si>
  <si>
    <t>Pohuwato</t>
  </si>
  <si>
    <t>Bone Bolango</t>
  </si>
  <si>
    <t>Gorontalo Utara</t>
  </si>
  <si>
    <t>Kota Gorontalo</t>
  </si>
  <si>
    <t>SULAWESI BARAT</t>
  </si>
  <si>
    <t>Majene</t>
  </si>
  <si>
    <t>Polewali Mandar</t>
  </si>
  <si>
    <t>Mamasa</t>
  </si>
  <si>
    <t>Mamuju</t>
  </si>
  <si>
    <t>Mamuju Utara / Pasangkayu</t>
  </si>
  <si>
    <t>Mamuju Tengah</t>
  </si>
  <si>
    <t>MALUKU</t>
  </si>
  <si>
    <t>Maluku Tenggara Barat / Kepulauan Tanimbar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</si>
  <si>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</si>
  <si>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</si>
  <si>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</si>
  <si>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</si>
  <si>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</si>
  <si>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</si>
  <si>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</si>
  <si>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</si>
  <si>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Kota Ambon</t>
  </si>
  <si>
    <t>Kota Tual</t>
  </si>
  <si>
    <t>MALUKU UTARA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</si>
  <si>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</si>
  <si>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</si>
  <si>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</si>
  <si>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</si>
  <si>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</si>
  <si>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</si>
  <si>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</si>
  <si>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</si>
  <si>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Kota Ternate</t>
  </si>
  <si>
    <t>Kota Tidore Kepulauan</t>
  </si>
  <si>
    <t>PAPUA BARAT</t>
  </si>
  <si>
    <t>Fakfak</t>
  </si>
  <si>
    <t>Kaimana</t>
  </si>
  <si>
    <t>Teluk Wondama</t>
  </si>
  <si>
    <t>Teluk Bintuni</t>
  </si>
  <si>
    <t>Manokwari</t>
  </si>
  <si>
    <t>Manokwari Selatan</t>
  </si>
  <si>
    <t>Pegunungan Arfak</t>
  </si>
  <si>
    <t>PAPUA BARAT DAYA</t>
  </si>
  <si>
    <t>Raja Ampat</t>
  </si>
  <si>
    <t>Sorong</t>
  </si>
  <si>
    <t>Sorong Selatan</t>
  </si>
  <si>
    <t>Maybrat</t>
  </si>
  <si>
    <t>Tambrauw</t>
  </si>
  <si>
    <t>Kota Sorong</t>
  </si>
  <si>
    <t>PAPUA</t>
  </si>
  <si>
    <t>Jayapura</t>
  </si>
  <si>
    <t>Kepulauan Yapen</t>
  </si>
  <si>
    <t>Biak Numfor</t>
  </si>
  <si>
    <t>Sarmi</t>
  </si>
  <si>
    <t>Keerom</t>
  </si>
  <si>
    <t>Waropen</t>
  </si>
  <si>
    <t>Supiori</t>
  </si>
  <si>
    <t>Mamberamo Raya</t>
  </si>
  <si>
    <t>Kota Jayapura</t>
  </si>
  <si>
    <t>PAPUA SELATAN</t>
  </si>
  <si>
    <t>Merauke</t>
  </si>
  <si>
    <t>Boven Digoel</t>
  </si>
  <si>
    <t>Mappi</t>
  </si>
  <si>
    <t>Asmat</t>
  </si>
  <si>
    <t>PAPUA TENGAH</t>
  </si>
  <si>
    <t>Mimika</t>
  </si>
  <si>
    <t>Dogiyai</t>
  </si>
  <si>
    <t>Deiyai</t>
  </si>
  <si>
    <t>Nabire</t>
  </si>
  <si>
    <t>Paniai</t>
  </si>
  <si>
    <t>Intan Jaya</t>
  </si>
  <si>
    <t>Puncak</t>
  </si>
  <si>
    <t>Puncak Jaya</t>
  </si>
  <si>
    <t>PAPUA PEGUNUNGAN</t>
  </si>
  <si>
    <t>Nduga</t>
  </si>
  <si>
    <t>Jayawijaya</t>
  </si>
  <si>
    <t>Lanny Jaya</t>
  </si>
  <si>
    <t>Tolikara</t>
  </si>
  <si>
    <t>Mamberamo Tengah</t>
  </si>
  <si>
    <t>Yalimo</t>
  </si>
  <si>
    <t>Yahukimo</t>
  </si>
  <si>
    <t>Pegunungan Bintang</t>
  </si>
  <si>
    <t>-</t>
  </si>
  <si>
    <t>RLS_P</t>
  </si>
  <si>
    <t>RLS_L</t>
  </si>
  <si>
    <t>HLS_L</t>
  </si>
  <si>
    <t>HLS_P</t>
  </si>
  <si>
    <t>INDONESIA</t>
  </si>
  <si>
    <t>TPT_L</t>
  </si>
  <si>
    <t>TPT_P</t>
  </si>
  <si>
    <t>TPT_LP</t>
  </si>
  <si>
    <t>TPAK_L</t>
  </si>
  <si>
    <t>TPAK_P</t>
  </si>
  <si>
    <t>TPAK_LP</t>
  </si>
  <si>
    <t>IKG25</t>
  </si>
  <si>
    <t>IKG24</t>
  </si>
  <si>
    <t>%LEG_P</t>
  </si>
  <si>
    <t>IPM_L</t>
  </si>
  <si>
    <t>IPM_P</t>
  </si>
  <si>
    <t>IPM_LP</t>
  </si>
  <si>
    <t>Kota Makassar</t>
  </si>
  <si>
    <t>Pasangkayu</t>
  </si>
  <si>
    <t>Kepulauan Tanimbar</t>
  </si>
  <si>
    <t>Toba</t>
  </si>
  <si>
    <t>IDG</t>
  </si>
  <si>
    <t>IKG</t>
  </si>
  <si>
    <t>IDG24</t>
  </si>
  <si>
    <t>HLS_LP</t>
  </si>
  <si>
    <t>RLS_LP</t>
  </si>
  <si>
    <t>UHH_L</t>
  </si>
  <si>
    <t>UHH_P</t>
  </si>
  <si>
    <t>UHH_LP</t>
  </si>
  <si>
    <t>%Earn_P</t>
  </si>
  <si>
    <t>Wilayah</t>
  </si>
  <si>
    <t>JAWA</t>
  </si>
  <si>
    <t>KALIMANTAN</t>
  </si>
  <si>
    <t>SULAWESI</t>
  </si>
  <si>
    <t>MALUKU &amp; PAPUA</t>
  </si>
  <si>
    <t>BALI &amp; NUSRA</t>
  </si>
  <si>
    <t>Kawasan</t>
  </si>
  <si>
    <t>SUMATERA</t>
  </si>
  <si>
    <t>PDRB</t>
  </si>
  <si>
    <t>D I YOGYAKARTA</t>
  </si>
  <si>
    <t>IPG</t>
  </si>
  <si>
    <t>Penduduk</t>
  </si>
  <si>
    <t>kdkab</t>
  </si>
  <si>
    <t>Tolitoli</t>
  </si>
  <si>
    <t>Kep. Siau Tagulandang Biaro</t>
  </si>
  <si>
    <t>1109</t>
  </si>
  <si>
    <t>1110</t>
  </si>
  <si>
    <t>1101</t>
  </si>
  <si>
    <t>1102</t>
  </si>
  <si>
    <t>1103</t>
  </si>
  <si>
    <t>1104</t>
  </si>
  <si>
    <t>1105</t>
  </si>
  <si>
    <t>1106</t>
  </si>
  <si>
    <t>1107</t>
  </si>
  <si>
    <t>1111</t>
  </si>
  <si>
    <t>1108</t>
  </si>
  <si>
    <t>1112</t>
  </si>
  <si>
    <t>1113</t>
  </si>
  <si>
    <t>1116</t>
  </si>
  <si>
    <t>1115</t>
  </si>
  <si>
    <t>1114</t>
  </si>
  <si>
    <t>1117</t>
  </si>
  <si>
    <t>1118</t>
  </si>
  <si>
    <t>1171</t>
  </si>
  <si>
    <t>1172</t>
  </si>
  <si>
    <t>1174</t>
  </si>
  <si>
    <t>1173</t>
  </si>
  <si>
    <t>1175</t>
  </si>
  <si>
    <t>1204</t>
  </si>
  <si>
    <t>1213</t>
  </si>
  <si>
    <t>1203</t>
  </si>
  <si>
    <t>1201</t>
  </si>
  <si>
    <t>1202</t>
  </si>
  <si>
    <t>1210</t>
  </si>
  <si>
    <t>1209</t>
  </si>
  <si>
    <t>1208</t>
  </si>
  <si>
    <t>1211</t>
  </si>
  <si>
    <t>1206</t>
  </si>
  <si>
    <t>1207</t>
  </si>
  <si>
    <t>1205</t>
  </si>
  <si>
    <t>1214</t>
  </si>
  <si>
    <t>1216</t>
  </si>
  <si>
    <t>1215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</si>
  <si>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</si>
  <si>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</si>
  <si>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</si>
  <si>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</si>
  <si>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</si>
  <si>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</si>
  <si>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</si>
  <si>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</si>
  <si>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</si>
  <si>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1273</t>
  </si>
  <si>
    <t>1274</t>
  </si>
  <si>
    <t>1276</t>
  </si>
  <si>
    <t>1271</t>
  </si>
  <si>
    <t>1275</t>
  </si>
  <si>
    <t>1278</t>
  </si>
  <si>
    <t>1309</t>
  </si>
  <si>
    <t>1301</t>
  </si>
  <si>
    <t>1302</t>
  </si>
  <si>
    <t>1303</t>
  </si>
  <si>
    <t>1304</t>
  </si>
  <si>
    <t>1305</t>
  </si>
  <si>
    <t>1306</t>
  </si>
  <si>
    <t>1307</t>
  </si>
  <si>
    <t>1308</t>
  </si>
  <si>
    <t>1311</t>
  </si>
  <si>
    <t>1310</t>
  </si>
  <si>
    <t>1312</t>
  </si>
  <si>
    <t>1371</t>
  </si>
  <si>
    <t>1372</t>
  </si>
  <si>
    <t>1374</t>
  </si>
  <si>
    <t>1375</t>
  </si>
  <si>
    <t>1376</t>
  </si>
  <si>
    <t>1377</t>
  </si>
  <si>
    <t>1409</t>
  </si>
  <si>
    <t>1402</t>
  </si>
  <si>
    <t>1404</t>
  </si>
  <si>
    <t>1405</t>
  </si>
  <si>
    <t>1408</t>
  </si>
  <si>
    <t>1401</t>
  </si>
  <si>
    <t>1406</t>
  </si>
  <si>
    <t>1403</t>
  </si>
  <si>
    <t>1407</t>
  </si>
  <si>
    <t>1410</t>
  </si>
  <si>
    <t>1471</t>
  </si>
  <si>
    <t>1472</t>
  </si>
  <si>
    <t>1501</t>
  </si>
  <si>
    <t>1502</t>
  </si>
  <si>
    <t>1503</t>
  </si>
  <si>
    <t>1505</t>
  </si>
  <si>
    <t>1507</t>
  </si>
  <si>
    <t>1506</t>
  </si>
  <si>
    <t>1509</t>
  </si>
  <si>
    <t>1508</t>
  </si>
  <si>
    <t>1571</t>
  </si>
  <si>
    <t>1572</t>
  </si>
  <si>
    <t>1601</t>
  </si>
  <si>
    <t>1602</t>
  </si>
  <si>
    <t>1603</t>
  </si>
  <si>
    <t>1604</t>
  </si>
  <si>
    <t>1605</t>
  </si>
  <si>
    <t>1606</t>
  </si>
  <si>
    <t>1609</t>
  </si>
  <si>
    <t>1608</t>
  </si>
  <si>
    <t>1610</t>
  </si>
  <si>
    <t>1611</t>
  </si>
  <si>
    <t>1612</t>
  </si>
  <si>
    <t>1613</t>
  </si>
  <si>
    <t>1671</t>
  </si>
  <si>
    <t>1674</t>
  </si>
  <si>
    <t>1672</t>
  </si>
  <si>
    <t>1673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</si>
  <si>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</si>
  <si>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</si>
  <si>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</si>
  <si>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</si>
  <si>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</si>
  <si>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</si>
  <si>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</si>
  <si>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</si>
  <si>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</si>
  <si>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1771</t>
  </si>
  <si>
    <t>1804</t>
  </si>
  <si>
    <t>1806</t>
  </si>
  <si>
    <t>1801</t>
  </si>
  <si>
    <t>1807</t>
  </si>
  <si>
    <t>1802</t>
  </si>
  <si>
    <t>1803</t>
  </si>
  <si>
    <t>1808</t>
  </si>
  <si>
    <t>1809</t>
  </si>
  <si>
    <t>1810</t>
  </si>
  <si>
    <t>1811</t>
  </si>
  <si>
    <t>1812</t>
  </si>
  <si>
    <t>1813</t>
  </si>
  <si>
    <t>1871</t>
  </si>
  <si>
    <t>1872</t>
  </si>
  <si>
    <t>1901</t>
  </si>
  <si>
    <t>1902</t>
  </si>
  <si>
    <t>1905</t>
  </si>
  <si>
    <t>1904</t>
  </si>
  <si>
    <t>1903</t>
  </si>
  <si>
    <t>1906</t>
  </si>
  <si>
    <t>2102</t>
  </si>
  <si>
    <t>2101</t>
  </si>
  <si>
    <t>2103</t>
  </si>
  <si>
    <t>2104</t>
  </si>
  <si>
    <t>2105</t>
  </si>
  <si>
    <t>2171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</si>
  <si>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</si>
  <si>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</si>
  <si>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</si>
  <si>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</si>
  <si>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</si>
  <si>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</si>
  <si>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</si>
  <si>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</si>
  <si>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</si>
  <si>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</si>
  <si>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</si>
  <si>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</si>
  <si>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</si>
  <si>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</si>
  <si>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</si>
  <si>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</si>
  <si>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</si>
  <si>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</si>
  <si>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</si>
  <si>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</si>
  <si>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</si>
  <si>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</si>
  <si>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</si>
  <si>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</si>
  <si>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</si>
  <si>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</si>
  <si>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</si>
  <si>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</si>
  <si>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</si>
  <si>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</si>
  <si>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</si>
  <si>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</si>
  <si>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</si>
  <si>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</si>
  <si>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</si>
  <si>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</si>
  <si>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</si>
  <si>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</si>
  <si>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</si>
  <si>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</si>
  <si>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</si>
  <si>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</si>
  <si>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</si>
  <si>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</si>
  <si>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</si>
  <si>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</si>
  <si>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</si>
  <si>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</si>
  <si>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</si>
  <si>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</si>
  <si>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</si>
  <si>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</si>
  <si>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</si>
  <si>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</si>
  <si>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</si>
  <si>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</si>
  <si>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3371</t>
  </si>
  <si>
    <t>3372</t>
  </si>
  <si>
    <t>3373</t>
  </si>
  <si>
    <t>3374</t>
  </si>
  <si>
    <t>3375</t>
  </si>
  <si>
    <t>3376</t>
  </si>
  <si>
    <t>3401</t>
  </si>
  <si>
    <t>3402</t>
  </si>
  <si>
    <t>3404</t>
  </si>
  <si>
    <t>3471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</si>
  <si>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</si>
  <si>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</si>
  <si>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</si>
  <si>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</si>
  <si>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</si>
  <si>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</si>
  <si>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</si>
  <si>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</si>
  <si>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</si>
  <si>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</si>
  <si>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</si>
  <si>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</si>
  <si>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</si>
  <si>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</si>
  <si>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</si>
  <si>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</si>
  <si>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</si>
  <si>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</si>
  <si>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</si>
  <si>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</si>
  <si>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</si>
  <si>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</si>
  <si>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</si>
  <si>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</si>
  <si>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</si>
  <si>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</si>
  <si>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</si>
  <si>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</si>
  <si>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</si>
  <si>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</si>
  <si>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</si>
  <si>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</si>
  <si>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</si>
  <si>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</si>
  <si>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</si>
  <si>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</si>
  <si>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</si>
  <si>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</si>
  <si>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3601</t>
  </si>
  <si>
    <t>3602</t>
  </si>
  <si>
    <t>3603</t>
  </si>
  <si>
    <t>3604</t>
  </si>
  <si>
    <t>3671</t>
  </si>
  <si>
    <t>3672</t>
  </si>
  <si>
    <t>3673</t>
  </si>
  <si>
    <t>3674</t>
  </si>
  <si>
    <t>5101</t>
  </si>
  <si>
    <t>5102</t>
  </si>
  <si>
    <t>5103</t>
  </si>
  <si>
    <t>5104</t>
  </si>
  <si>
    <t>5105</t>
  </si>
  <si>
    <t>5106</t>
  </si>
  <si>
    <t>5107</t>
  </si>
  <si>
    <t>5108</t>
  </si>
  <si>
    <t>5171</t>
  </si>
  <si>
    <t>5201</t>
  </si>
  <si>
    <t>5202</t>
  </si>
  <si>
    <t>5203</t>
  </si>
  <si>
    <t>5204</t>
  </si>
  <si>
    <t>5205</t>
  </si>
  <si>
    <t>5206</t>
  </si>
  <si>
    <t>5207</t>
  </si>
  <si>
    <t>5208</t>
  </si>
  <si>
    <t>5271</t>
  </si>
  <si>
    <t>5272</t>
  </si>
  <si>
    <t>5312</t>
  </si>
  <si>
    <t>5311</t>
  </si>
  <si>
    <t>5301</t>
  </si>
  <si>
    <t>5302</t>
  </si>
  <si>
    <t>5303</t>
  </si>
  <si>
    <t>5304</t>
  </si>
  <si>
    <t>5305</t>
  </si>
  <si>
    <t>5313</t>
  </si>
  <si>
    <t>5306</t>
  </si>
  <si>
    <t>5307</t>
  </si>
  <si>
    <t>5308</t>
  </si>
  <si>
    <t>5309</t>
  </si>
  <si>
    <t>5310</t>
  </si>
  <si>
    <t>5314</t>
  </si>
  <si>
    <t>5315</t>
  </si>
  <si>
    <t>5317</t>
  </si>
  <si>
    <t>5318</t>
  </si>
  <si>
    <t>5316</t>
  </si>
  <si>
    <t>5319</t>
  </si>
  <si>
    <t>5320</t>
  </si>
  <si>
    <t>5321</t>
  </si>
  <si>
    <t>5371</t>
  </si>
  <si>
    <t>6101</t>
  </si>
  <si>
    <t>6107</t>
  </si>
  <si>
    <t>6108</t>
  </si>
  <si>
    <t>6102</t>
  </si>
  <si>
    <t>6103</t>
  </si>
  <si>
    <t>6104</t>
  </si>
  <si>
    <t>6105</t>
  </si>
  <si>
    <t>6106</t>
  </si>
  <si>
    <t>6109</t>
  </si>
  <si>
    <t>6110</t>
  </si>
  <si>
    <t>6111</t>
  </si>
  <si>
    <t>6112</t>
  </si>
  <si>
    <t>6171</t>
  </si>
  <si>
    <t>6172</t>
  </si>
  <si>
    <t>6201</t>
  </si>
  <si>
    <t>6202</t>
  </si>
  <si>
    <t>6203</t>
  </si>
  <si>
    <t>6204</t>
  </si>
  <si>
    <t>6205</t>
  </si>
  <si>
    <t>6208</t>
  </si>
  <si>
    <t>6209</t>
  </si>
  <si>
    <t>6207</t>
  </si>
  <si>
    <t>6206</t>
  </si>
  <si>
    <t>6211</t>
  </si>
  <si>
    <t>6210</t>
  </si>
  <si>
    <t>6213</t>
  </si>
  <si>
    <t>6212</t>
  </si>
  <si>
    <t>6271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</si>
  <si>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</si>
  <si>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</si>
  <si>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</si>
  <si>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</si>
  <si>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</si>
  <si>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</si>
  <si>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</si>
  <si>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</si>
  <si>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</si>
  <si>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</si>
  <si>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</si>
  <si>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6371</t>
  </si>
  <si>
    <t>6401</t>
  </si>
  <si>
    <t>6407</t>
  </si>
  <si>
    <t>6402</t>
  </si>
  <si>
    <t>6408</t>
  </si>
  <si>
    <t>6403</t>
  </si>
  <si>
    <t>6409</t>
  </si>
  <si>
    <t>6411</t>
  </si>
  <si>
    <t>6471</t>
  </si>
  <si>
    <t>6472</t>
  </si>
  <si>
    <t>6474</t>
  </si>
  <si>
    <t>6502</t>
  </si>
  <si>
    <t>6501</t>
  </si>
  <si>
    <t>6504</t>
  </si>
  <si>
    <t>6503</t>
  </si>
  <si>
    <t>6571</t>
  </si>
  <si>
    <t>7101</t>
  </si>
  <si>
    <t>7102</t>
  </si>
  <si>
    <t>7103</t>
  </si>
  <si>
    <t>7104</t>
  </si>
  <si>
    <t>7105</t>
  </si>
  <si>
    <t>7106</t>
  </si>
  <si>
    <t>7108</t>
  </si>
  <si>
    <t>7109</t>
  </si>
  <si>
    <t>7107</t>
  </si>
  <si>
    <t>7111</t>
  </si>
  <si>
    <t>7110</t>
  </si>
  <si>
    <t>7171</t>
  </si>
  <si>
    <t>7172</t>
  </si>
  <si>
    <t>7173</t>
  </si>
  <si>
    <t>7174</t>
  </si>
  <si>
    <t>7207</t>
  </si>
  <si>
    <t>7201</t>
  </si>
  <si>
    <t>7206</t>
  </si>
  <si>
    <t>7202</t>
  </si>
  <si>
    <t>7203</t>
  </si>
  <si>
    <t>7204</t>
  </si>
  <si>
    <t>7205</t>
  </si>
  <si>
    <t>7208</t>
  </si>
  <si>
    <t>7209</t>
  </si>
  <si>
    <t>7210</t>
  </si>
  <si>
    <t>7211</t>
  </si>
  <si>
    <t>7212</t>
  </si>
  <si>
    <t>7271</t>
  </si>
  <si>
    <t>7301</t>
  </si>
  <si>
    <t>7302</t>
  </si>
  <si>
    <t>7303</t>
  </si>
  <si>
    <t>7304</t>
  </si>
  <si>
    <t>7305</t>
  </si>
  <si>
    <t>7306</t>
  </si>
  <si>
    <t>7307</t>
  </si>
  <si>
    <t>7309</t>
  </si>
  <si>
    <t>7310</t>
  </si>
  <si>
    <t>7311</t>
  </si>
  <si>
    <t>7308</t>
  </si>
  <si>
    <t>7312</t>
  </si>
  <si>
    <t>7313</t>
  </si>
  <si>
    <t>7314</t>
  </si>
  <si>
    <t>7315</t>
  </si>
  <si>
    <t>7316</t>
  </si>
  <si>
    <t>7317</t>
  </si>
  <si>
    <t>7318</t>
  </si>
  <si>
    <t>7322</t>
  </si>
  <si>
    <t>7324</t>
  </si>
  <si>
    <t>7326</t>
  </si>
  <si>
    <t>7371</t>
  </si>
  <si>
    <t>7372</t>
  </si>
  <si>
    <t>7373</t>
  </si>
  <si>
    <t>7404</t>
  </si>
  <si>
    <t>7403</t>
  </si>
  <si>
    <t>7402</t>
  </si>
  <si>
    <t>7401</t>
  </si>
  <si>
    <t>7405</t>
  </si>
  <si>
    <t>7406</t>
  </si>
  <si>
    <t>7407</t>
  </si>
  <si>
    <t>7408</t>
  </si>
  <si>
    <t>7410</t>
  </si>
  <si>
    <t>7409</t>
  </si>
  <si>
    <t>7411</t>
  </si>
  <si>
    <t>7412</t>
  </si>
  <si>
    <t>7413</t>
  </si>
  <si>
    <t>7414</t>
  </si>
  <si>
    <t>7415</t>
  </si>
  <si>
    <t>7471</t>
  </si>
  <si>
    <t>7472</t>
  </si>
  <si>
    <t>7502</t>
  </si>
  <si>
    <t>7501</t>
  </si>
  <si>
    <t>7504</t>
  </si>
  <si>
    <t>7503</t>
  </si>
  <si>
    <t>7505</t>
  </si>
  <si>
    <t>7571</t>
  </si>
  <si>
    <t>7605</t>
  </si>
  <si>
    <t>7604</t>
  </si>
  <si>
    <t>7603</t>
  </si>
  <si>
    <t>7602</t>
  </si>
  <si>
    <t>7601</t>
  </si>
  <si>
    <t>7606</t>
  </si>
  <si>
    <t>8103</t>
  </si>
  <si>
    <t>8102</t>
  </si>
  <si>
    <t>8101</t>
  </si>
  <si>
    <t>8104</t>
  </si>
  <si>
    <t>8107</t>
  </si>
  <si>
    <t>8106</t>
  </si>
  <si>
    <t>8105</t>
  </si>
  <si>
    <t>8108</t>
  </si>
  <si>
    <t>8109</t>
  </si>
  <si>
    <t>8171</t>
  </si>
  <si>
    <t>8172</t>
  </si>
  <si>
    <t>8201</t>
  </si>
  <si>
    <t>8202</t>
  </si>
  <si>
    <t>8205</t>
  </si>
  <si>
    <t>8204</t>
  </si>
  <si>
    <t>8203</t>
  </si>
  <si>
    <t>8206</t>
  </si>
  <si>
    <t>8207</t>
  </si>
  <si>
    <t>8208</t>
  </si>
  <si>
    <t>8271</t>
  </si>
  <si>
    <t>8272</t>
  </si>
  <si>
    <t>9203</t>
  </si>
  <si>
    <t>9208</t>
  </si>
  <si>
    <t>9207</t>
  </si>
  <si>
    <t>9206</t>
  </si>
  <si>
    <t>9202</t>
  </si>
  <si>
    <t>9211</t>
  </si>
  <si>
    <t>9212</t>
  </si>
  <si>
    <t>9205</t>
  </si>
  <si>
    <t>9201</t>
  </si>
  <si>
    <t>9204</t>
  </si>
  <si>
    <t>9210</t>
  </si>
  <si>
    <t>9209</t>
  </si>
  <si>
    <t>9271</t>
  </si>
  <si>
    <t>9103</t>
  </si>
  <si>
    <t>9105</t>
  </si>
  <si>
    <t>9106</t>
  </si>
  <si>
    <t>9110</t>
  </si>
  <si>
    <t>9111</t>
  </si>
  <si>
    <t>9115</t>
  </si>
  <si>
    <t>9119</t>
  </si>
  <si>
    <t>9120</t>
  </si>
  <si>
    <t>9171</t>
  </si>
  <si>
    <t>9101</t>
  </si>
  <si>
    <t>9116</t>
  </si>
  <si>
    <t>9117</t>
  </si>
  <si>
    <t>9118</t>
  </si>
  <si>
    <t>9109</t>
  </si>
  <si>
    <t>9126</t>
  </si>
  <si>
    <t>9128</t>
  </si>
  <si>
    <t>9104</t>
  </si>
  <si>
    <t>9108</t>
  </si>
  <si>
    <t>9127</t>
  </si>
  <si>
    <t>9125</t>
  </si>
  <si>
    <t>9107</t>
  </si>
  <si>
    <t>9124</t>
  </si>
  <si>
    <t>9102</t>
  </si>
  <si>
    <t>9123</t>
  </si>
  <si>
    <t>9114</t>
  </si>
  <si>
    <t>9121</t>
  </si>
  <si>
    <t>9122</t>
  </si>
  <si>
    <t>9113</t>
  </si>
  <si>
    <t>9112</t>
  </si>
  <si>
    <t>1212</t>
  </si>
  <si>
    <t>1272</t>
  </si>
  <si>
    <t>1277</t>
  </si>
  <si>
    <t>1373</t>
  </si>
  <si>
    <t>1504</t>
  </si>
  <si>
    <t>1607</t>
  </si>
  <si>
    <t>1805</t>
  </si>
  <si>
    <t>1971</t>
  </si>
  <si>
    <t>2172</t>
  </si>
  <si>
    <t>3101</t>
  </si>
  <si>
    <t>3174</t>
  </si>
  <si>
    <t>3175</t>
  </si>
  <si>
    <t>3171</t>
  </si>
  <si>
    <t>3173</t>
  </si>
  <si>
    <t>3172</t>
  </si>
  <si>
    <t>3403</t>
  </si>
  <si>
    <t>6372</t>
  </si>
  <si>
    <t>kdprov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</si>
</sst>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quotePrefix="1"/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ulia\Documents\kuliah\Visualisasi%20Data%20dan%20Informasi\.uas%20visdat\TPAK%20TPT%202024.xlsx" TargetMode="External"/><Relationship Id="rId1" Type="http://schemas.openxmlformats.org/officeDocument/2006/relationships/externalLinkPath" Target="TPAK%20TPT%202024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ulia\Documents\kuliah\Visualisasi%20Data%20dan%20Informasi\.uas%20visdat\%25%20parlemen%20perempuan.xlsx" TargetMode="External"/><Relationship Id="rId1" Type="http://schemas.openxmlformats.org/officeDocument/2006/relationships/externalLinkPath" Target="%25%20parlemen%20perempua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ulia\Documents\kuliah\Visualisasi%20Data%20dan%20Informasi\.uas%20visdat\IPM%202024.xlsx" TargetMode="External"/><Relationship Id="rId1" Type="http://schemas.openxmlformats.org/officeDocument/2006/relationships/externalLinkPath" Target="IPM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PAK"/>
      <sheetName val="TPT"/>
    </sheetNames>
    <sheetDataSet>
      <sheetData sheetId="0">
        <row r="2">
          <cell r="L2" t="str">
            <v>Simeulue</v>
          </cell>
          <cell r="M2">
            <v>83.7</v>
          </cell>
          <cell r="N2">
            <v>58.02</v>
          </cell>
          <cell r="O2">
            <v>70.86</v>
          </cell>
        </row>
        <row r="3">
          <cell r="L3" t="str">
            <v>Aceh Singkil</v>
          </cell>
          <cell r="M3">
            <v>76.25</v>
          </cell>
          <cell r="N3">
            <v>39.11</v>
          </cell>
          <cell r="O3">
            <v>57.68</v>
          </cell>
        </row>
        <row r="4">
          <cell r="L4" t="str">
            <v>Aceh Selatan</v>
          </cell>
          <cell r="M4">
            <v>75.900000000000006</v>
          </cell>
          <cell r="N4">
            <v>42.68</v>
          </cell>
          <cell r="O4">
            <v>59.290000000000006</v>
          </cell>
        </row>
        <row r="5">
          <cell r="L5" t="str">
            <v>Aceh Tenggara</v>
          </cell>
          <cell r="M5">
            <v>84.75</v>
          </cell>
          <cell r="N5">
            <v>56.27</v>
          </cell>
          <cell r="O5">
            <v>70.510000000000005</v>
          </cell>
        </row>
        <row r="6">
          <cell r="L6" t="str">
            <v>Aceh Timur</v>
          </cell>
          <cell r="M6">
            <v>82.94</v>
          </cell>
          <cell r="N6">
            <v>38.86</v>
          </cell>
          <cell r="O6">
            <v>60.9</v>
          </cell>
        </row>
        <row r="7">
          <cell r="L7" t="str">
            <v>Aceh Tengah</v>
          </cell>
          <cell r="M7">
            <v>87.23</v>
          </cell>
          <cell r="N7">
            <v>67.400000000000006</v>
          </cell>
          <cell r="O7">
            <v>77.314999999999998</v>
          </cell>
        </row>
        <row r="8">
          <cell r="L8" t="str">
            <v>Aceh Barat</v>
          </cell>
          <cell r="M8">
            <v>73.180000000000007</v>
          </cell>
          <cell r="N8">
            <v>47.15</v>
          </cell>
          <cell r="O8">
            <v>60.165000000000006</v>
          </cell>
        </row>
        <row r="9">
          <cell r="L9" t="str">
            <v>Aceh Besar</v>
          </cell>
          <cell r="M9">
            <v>82.41</v>
          </cell>
          <cell r="N9">
            <v>51.59</v>
          </cell>
          <cell r="O9">
            <v>67</v>
          </cell>
        </row>
        <row r="10">
          <cell r="L10" t="str">
            <v>Pidie</v>
          </cell>
          <cell r="M10">
            <v>79.09</v>
          </cell>
          <cell r="N10">
            <v>45.64</v>
          </cell>
          <cell r="O10">
            <v>62.365000000000002</v>
          </cell>
        </row>
        <row r="11">
          <cell r="L11" t="str">
            <v>Bireuen</v>
          </cell>
          <cell r="M11">
            <v>80.739999999999995</v>
          </cell>
          <cell r="N11">
            <v>54.36</v>
          </cell>
          <cell r="O11">
            <v>67.55</v>
          </cell>
        </row>
        <row r="12">
          <cell r="L12" t="str">
            <v>Aceh Utara</v>
          </cell>
          <cell r="M12">
            <v>76.33</v>
          </cell>
          <cell r="N12">
            <v>42.04</v>
          </cell>
          <cell r="O12">
            <v>59.185000000000002</v>
          </cell>
        </row>
        <row r="13">
          <cell r="L13" t="str">
            <v>Aceh Barat Daya</v>
          </cell>
          <cell r="M13">
            <v>83.08</v>
          </cell>
          <cell r="N13">
            <v>37.630000000000003</v>
          </cell>
          <cell r="O13">
            <v>60.355000000000004</v>
          </cell>
        </row>
        <row r="14">
          <cell r="L14" t="str">
            <v>Gayo Lues</v>
          </cell>
          <cell r="M14">
            <v>87.06</v>
          </cell>
          <cell r="N14">
            <v>71.430000000000007</v>
          </cell>
          <cell r="O14">
            <v>79.245000000000005</v>
          </cell>
        </row>
        <row r="15">
          <cell r="L15" t="str">
            <v>Aceh Tamiang</v>
          </cell>
          <cell r="M15">
            <v>85.19</v>
          </cell>
          <cell r="N15">
            <v>53.99</v>
          </cell>
          <cell r="O15">
            <v>69.59</v>
          </cell>
        </row>
        <row r="16">
          <cell r="L16" t="str">
            <v>Nagan Raya</v>
          </cell>
          <cell r="M16">
            <v>84.63</v>
          </cell>
          <cell r="N16">
            <v>43</v>
          </cell>
          <cell r="O16">
            <v>63.814999999999998</v>
          </cell>
        </row>
        <row r="17">
          <cell r="L17" t="str">
            <v>Aceh Jaya</v>
          </cell>
          <cell r="M17">
            <v>83.56</v>
          </cell>
          <cell r="N17">
            <v>58.01</v>
          </cell>
          <cell r="O17">
            <v>70.784999999999997</v>
          </cell>
        </row>
        <row r="18">
          <cell r="L18" t="str">
            <v>Bener Meriah</v>
          </cell>
          <cell r="M18">
            <v>89.18</v>
          </cell>
          <cell r="N18">
            <v>78.39</v>
          </cell>
          <cell r="O18">
            <v>83.784999999999997</v>
          </cell>
        </row>
        <row r="19">
          <cell r="L19" t="str">
            <v>Pidie Jaya</v>
          </cell>
          <cell r="M19">
            <v>76.319999999999993</v>
          </cell>
          <cell r="N19">
            <v>43.9</v>
          </cell>
          <cell r="O19">
            <v>60.11</v>
          </cell>
        </row>
        <row r="20">
          <cell r="L20" t="str">
            <v>Kota Banda Aceh</v>
          </cell>
          <cell r="M20">
            <v>77.17</v>
          </cell>
          <cell r="N20">
            <v>53.01</v>
          </cell>
          <cell r="O20">
            <v>65.09</v>
          </cell>
        </row>
        <row r="21">
          <cell r="L21" t="str">
            <v>Kota Sabang</v>
          </cell>
          <cell r="M21">
            <v>81.569999999999993</v>
          </cell>
          <cell r="N21">
            <v>54.71</v>
          </cell>
          <cell r="O21">
            <v>68.14</v>
          </cell>
        </row>
        <row r="22">
          <cell r="L22" t="str">
            <v>Kota Langsa</v>
          </cell>
          <cell r="M22">
            <v>74.78</v>
          </cell>
          <cell r="N22">
            <v>45.38</v>
          </cell>
          <cell r="O22">
            <v>60.08</v>
          </cell>
        </row>
        <row r="23">
          <cell r="L23" t="str">
            <v>Kota Lhokseumawe</v>
          </cell>
          <cell r="M23">
            <v>79.44</v>
          </cell>
          <cell r="N23">
            <v>50.25</v>
          </cell>
          <cell r="O23">
            <v>64.844999999999999</v>
          </cell>
        </row>
        <row r="24">
          <cell r="L24" t="str">
            <v>Kota Subulussalam</v>
          </cell>
          <cell r="M24">
            <v>85.98</v>
          </cell>
          <cell r="N24">
            <v>50.87</v>
          </cell>
          <cell r="O24">
            <v>68.424999999999997</v>
          </cell>
        </row>
        <row r="25">
          <cell r="L25" t="str">
            <v>Nias</v>
          </cell>
          <cell r="M25">
            <v>82.37</v>
          </cell>
          <cell r="N25">
            <v>82.52</v>
          </cell>
          <cell r="O25">
            <v>82.444999999999993</v>
          </cell>
        </row>
        <row r="26">
          <cell r="L26" t="str">
            <v>Mandailing Natal</v>
          </cell>
          <cell r="M26">
            <v>77.52</v>
          </cell>
          <cell r="N26">
            <v>51.63</v>
          </cell>
          <cell r="O26">
            <v>64.575000000000003</v>
          </cell>
        </row>
        <row r="27">
          <cell r="L27" t="str">
            <v>Tapanuli Selatan</v>
          </cell>
          <cell r="M27">
            <v>82.29</v>
          </cell>
          <cell r="N27">
            <v>69.010000000000005</v>
          </cell>
          <cell r="O27">
            <v>75.650000000000006</v>
          </cell>
        </row>
        <row r="28">
          <cell r="L28" t="str">
            <v>Tapanuli Tengah</v>
          </cell>
          <cell r="M28">
            <v>84.62</v>
          </cell>
          <cell r="N28">
            <v>66.75</v>
          </cell>
          <cell r="O28">
            <v>75.685000000000002</v>
          </cell>
        </row>
        <row r="29">
          <cell r="L29" t="str">
            <v>Tapanuli Utara</v>
          </cell>
          <cell r="M29">
            <v>85.91</v>
          </cell>
          <cell r="N29">
            <v>81.48</v>
          </cell>
          <cell r="O29">
            <v>83.694999999999993</v>
          </cell>
        </row>
        <row r="30">
          <cell r="L30" t="str">
            <v>Toba Samosir / Toba</v>
          </cell>
          <cell r="M30">
            <v>88.17</v>
          </cell>
          <cell r="N30">
            <v>77.05</v>
          </cell>
          <cell r="O30">
            <v>82.61</v>
          </cell>
        </row>
        <row r="31">
          <cell r="L31" t="str">
            <v>Labuhan Batu</v>
          </cell>
          <cell r="M31">
            <v>82.82</v>
          </cell>
          <cell r="N31">
            <v>47.66</v>
          </cell>
          <cell r="O31">
            <v>65.239999999999995</v>
          </cell>
        </row>
        <row r="32">
          <cell r="L32" t="str">
            <v>Asahan</v>
          </cell>
          <cell r="M32">
            <v>84.09</v>
          </cell>
          <cell r="N32">
            <v>50.98</v>
          </cell>
          <cell r="O32">
            <v>67.534999999999997</v>
          </cell>
        </row>
        <row r="33">
          <cell r="L33" t="str">
            <v>Simalungun</v>
          </cell>
          <cell r="M33">
            <v>79.95</v>
          </cell>
          <cell r="N33">
            <v>62.63</v>
          </cell>
          <cell r="O33">
            <v>71.290000000000006</v>
          </cell>
        </row>
        <row r="34">
          <cell r="L34" t="str">
            <v>Dairi</v>
          </cell>
          <cell r="M34">
            <v>87.79</v>
          </cell>
          <cell r="N34">
            <v>79.86</v>
          </cell>
          <cell r="O34">
            <v>83.825000000000003</v>
          </cell>
        </row>
        <row r="35">
          <cell r="L35" t="str">
            <v>Karo</v>
          </cell>
          <cell r="M35">
            <v>89.61</v>
          </cell>
          <cell r="N35">
            <v>78.819999999999993</v>
          </cell>
          <cell r="O35">
            <v>84.215000000000003</v>
          </cell>
        </row>
        <row r="36">
          <cell r="L36" t="str">
            <v>Deli Serdang</v>
          </cell>
          <cell r="M36">
            <v>85.69</v>
          </cell>
          <cell r="N36">
            <v>49.47</v>
          </cell>
          <cell r="O36">
            <v>67.58</v>
          </cell>
        </row>
        <row r="37">
          <cell r="L37" t="str">
            <v>Langkat</v>
          </cell>
          <cell r="M37">
            <v>90.74</v>
          </cell>
          <cell r="N37">
            <v>61.74</v>
          </cell>
          <cell r="O37">
            <v>76.239999999999995</v>
          </cell>
        </row>
        <row r="38">
          <cell r="L38" t="str">
            <v>Nias Selatan</v>
          </cell>
          <cell r="M38">
            <v>84.2</v>
          </cell>
          <cell r="N38">
            <v>73.44</v>
          </cell>
          <cell r="O38">
            <v>78.819999999999993</v>
          </cell>
        </row>
        <row r="39">
          <cell r="L39" t="str">
            <v>Humbang Hasundutan</v>
          </cell>
          <cell r="M39">
            <v>88.46</v>
          </cell>
          <cell r="N39">
            <v>84.6</v>
          </cell>
          <cell r="O39">
            <v>86.53</v>
          </cell>
        </row>
        <row r="40">
          <cell r="L40" t="str">
            <v>Pakpak Bharat</v>
          </cell>
          <cell r="M40">
            <v>89.91</v>
          </cell>
          <cell r="N40">
            <v>80.89</v>
          </cell>
          <cell r="O40">
            <v>85.4</v>
          </cell>
        </row>
        <row r="41">
          <cell r="L41" t="str">
            <v>Samosir</v>
          </cell>
          <cell r="M41">
            <v>90.55</v>
          </cell>
          <cell r="N41">
            <v>80.73</v>
          </cell>
          <cell r="O41">
            <v>85.64</v>
          </cell>
        </row>
        <row r="42">
          <cell r="L42" t="str">
            <v>Serdang Bedagai</v>
          </cell>
          <cell r="M42">
            <v>83.95</v>
          </cell>
          <cell r="N42">
            <v>51.5</v>
          </cell>
          <cell r="O42">
            <v>67.724999999999994</v>
          </cell>
        </row>
        <row r="43">
          <cell r="L43" t="str">
            <v>Batu Bara</v>
          </cell>
          <cell r="M43">
            <v>89.52</v>
          </cell>
          <cell r="N43">
            <v>54.6</v>
          </cell>
          <cell r="O43">
            <v>72.06</v>
          </cell>
        </row>
        <row r="44">
          <cell r="L44" t="str">
            <v>Padang Lawas Utara</v>
          </cell>
          <cell r="M44">
            <v>81.95</v>
          </cell>
          <cell r="N44">
            <v>63.72</v>
          </cell>
          <cell r="O44">
            <v>72.835000000000008</v>
          </cell>
        </row>
        <row r="45">
          <cell r="L45" t="str">
            <v>Padang Lawas</v>
          </cell>
          <cell r="M45">
            <v>89.15</v>
          </cell>
          <cell r="N45">
            <v>65.86</v>
          </cell>
          <cell r="O45">
            <v>77.504999999999995</v>
          </cell>
        </row>
        <row r="46">
          <cell r="L46" t="str">
            <v>Labuhan Batu Selatan</v>
          </cell>
          <cell r="M46">
            <v>87.22</v>
          </cell>
          <cell r="N46">
            <v>55.86</v>
          </cell>
          <cell r="O46">
            <v>71.539999999999992</v>
          </cell>
        </row>
        <row r="47">
          <cell r="L47" t="str">
            <v>Labuhan Batu Utara</v>
          </cell>
          <cell r="M47">
            <v>85.45</v>
          </cell>
          <cell r="N47">
            <v>43.87</v>
          </cell>
          <cell r="O47">
            <v>64.66</v>
          </cell>
        </row>
        <row r="48">
          <cell r="L48" t="str">
            <v>Nias Utara</v>
          </cell>
          <cell r="M48">
            <v>86.23</v>
          </cell>
          <cell r="N48">
            <v>73.37</v>
          </cell>
          <cell r="O48">
            <v>79.800000000000011</v>
          </cell>
        </row>
        <row r="49">
          <cell r="L49" t="str">
            <v>Nias Barat</v>
          </cell>
          <cell r="M49">
            <v>84.66</v>
          </cell>
          <cell r="N49">
            <v>78.02</v>
          </cell>
          <cell r="O49">
            <v>81.34</v>
          </cell>
        </row>
        <row r="50">
          <cell r="L50" t="str">
            <v>Kota Sibolga</v>
          </cell>
          <cell r="M50">
            <v>80.56</v>
          </cell>
          <cell r="N50">
            <v>61.1</v>
          </cell>
          <cell r="O50">
            <v>70.83</v>
          </cell>
        </row>
        <row r="51">
          <cell r="L51" t="str">
            <v>Kota Tanjung Balai</v>
          </cell>
          <cell r="M51">
            <v>84.25</v>
          </cell>
          <cell r="N51">
            <v>54.55</v>
          </cell>
          <cell r="O51">
            <v>69.400000000000006</v>
          </cell>
        </row>
        <row r="52">
          <cell r="L52" t="str">
            <v>Kota Pematang Siantar</v>
          </cell>
          <cell r="M52">
            <v>83.37</v>
          </cell>
          <cell r="N52">
            <v>60.73</v>
          </cell>
          <cell r="O52">
            <v>72.05</v>
          </cell>
        </row>
        <row r="53">
          <cell r="L53" t="str">
            <v>Kota Tebing Tinggi</v>
          </cell>
          <cell r="M53">
            <v>82.19</v>
          </cell>
          <cell r="N53">
            <v>51.3</v>
          </cell>
          <cell r="O53">
            <v>66.745000000000005</v>
          </cell>
        </row>
        <row r="54">
          <cell r="L54" t="str">
            <v>Kota Medan</v>
          </cell>
          <cell r="M54">
            <v>81.11</v>
          </cell>
          <cell r="N54">
            <v>52.15</v>
          </cell>
          <cell r="O54">
            <v>66.63</v>
          </cell>
        </row>
        <row r="55">
          <cell r="L55" t="str">
            <v>Kota Binjai</v>
          </cell>
          <cell r="M55">
            <v>79.67</v>
          </cell>
          <cell r="N55">
            <v>49.12</v>
          </cell>
          <cell r="O55">
            <v>64.394999999999996</v>
          </cell>
        </row>
        <row r="56">
          <cell r="L56" t="str">
            <v>Kota Padangsidimpuan</v>
          </cell>
          <cell r="M56">
            <v>80</v>
          </cell>
          <cell r="N56">
            <v>56.85</v>
          </cell>
          <cell r="O56">
            <v>68.424999999999997</v>
          </cell>
        </row>
        <row r="57">
          <cell r="L57" t="str">
            <v>Kota Gunungsitoli</v>
          </cell>
          <cell r="M57">
            <v>81.61</v>
          </cell>
          <cell r="N57">
            <v>61.45</v>
          </cell>
          <cell r="O57">
            <v>71.53</v>
          </cell>
        </row>
        <row r="58">
          <cell r="L58" t="str">
            <v>Kepulauan Mentawai</v>
          </cell>
          <cell r="M58">
            <v>86.66</v>
          </cell>
          <cell r="N58">
            <v>80.010000000000005</v>
          </cell>
          <cell r="O58">
            <v>83.335000000000008</v>
          </cell>
        </row>
        <row r="59">
          <cell r="L59" t="str">
            <v>Pesisir Selatan</v>
          </cell>
          <cell r="M59">
            <v>83.7</v>
          </cell>
          <cell r="N59">
            <v>48.31</v>
          </cell>
          <cell r="O59">
            <v>66.004999999999995</v>
          </cell>
        </row>
        <row r="60">
          <cell r="L60" t="str">
            <v>Solok</v>
          </cell>
          <cell r="M60">
            <v>86.63</v>
          </cell>
          <cell r="N60">
            <v>66.930000000000007</v>
          </cell>
          <cell r="O60">
            <v>76.78</v>
          </cell>
        </row>
        <row r="61">
          <cell r="L61" t="str">
            <v>Sijunjung</v>
          </cell>
          <cell r="M61">
            <v>82.89</v>
          </cell>
          <cell r="N61">
            <v>57.26</v>
          </cell>
          <cell r="O61">
            <v>70.075000000000003</v>
          </cell>
        </row>
        <row r="62">
          <cell r="L62" t="str">
            <v>Tanah Datar</v>
          </cell>
          <cell r="M62">
            <v>83.46</v>
          </cell>
          <cell r="N62">
            <v>58.91</v>
          </cell>
          <cell r="O62">
            <v>71.185000000000002</v>
          </cell>
        </row>
        <row r="63">
          <cell r="L63" t="str">
            <v>Padang Pariaman</v>
          </cell>
          <cell r="M63">
            <v>76.8</v>
          </cell>
          <cell r="N63">
            <v>57.53</v>
          </cell>
          <cell r="O63">
            <v>67.164999999999992</v>
          </cell>
        </row>
        <row r="64">
          <cell r="L64" t="str">
            <v>Agam</v>
          </cell>
          <cell r="M64">
            <v>80.989999999999995</v>
          </cell>
          <cell r="N64">
            <v>57.84</v>
          </cell>
          <cell r="O64">
            <v>69.414999999999992</v>
          </cell>
        </row>
        <row r="65">
          <cell r="L65" t="str">
            <v>Lima Puluh Kota</v>
          </cell>
          <cell r="M65">
            <v>84.1</v>
          </cell>
          <cell r="N65">
            <v>64.3</v>
          </cell>
          <cell r="O65">
            <v>74.199999999999989</v>
          </cell>
        </row>
        <row r="66">
          <cell r="L66" t="str">
            <v>Pasaman</v>
          </cell>
          <cell r="M66">
            <v>84.74</v>
          </cell>
          <cell r="N66">
            <v>58.83</v>
          </cell>
          <cell r="O66">
            <v>71.784999999999997</v>
          </cell>
        </row>
        <row r="67">
          <cell r="L67" t="str">
            <v>Solok Selatan</v>
          </cell>
          <cell r="M67">
            <v>87.17</v>
          </cell>
          <cell r="N67">
            <v>65.91</v>
          </cell>
          <cell r="O67">
            <v>76.539999999999992</v>
          </cell>
        </row>
        <row r="68">
          <cell r="L68" t="str">
            <v>Dharmasraya</v>
          </cell>
          <cell r="M68">
            <v>89.72</v>
          </cell>
          <cell r="N68">
            <v>58.76</v>
          </cell>
          <cell r="O68">
            <v>74.239999999999995</v>
          </cell>
        </row>
        <row r="69">
          <cell r="L69" t="str">
            <v>Pasaman Barat</v>
          </cell>
          <cell r="M69">
            <v>84.4</v>
          </cell>
          <cell r="N69">
            <v>49.48</v>
          </cell>
          <cell r="O69">
            <v>66.94</v>
          </cell>
        </row>
        <row r="70">
          <cell r="L70" t="str">
            <v>Kota Padang</v>
          </cell>
          <cell r="M70">
            <v>80.180000000000007</v>
          </cell>
          <cell r="N70">
            <v>54.25</v>
          </cell>
          <cell r="O70">
            <v>67.215000000000003</v>
          </cell>
        </row>
        <row r="71">
          <cell r="L71" t="str">
            <v>Kota Solok</v>
          </cell>
          <cell r="M71">
            <v>79.77</v>
          </cell>
          <cell r="N71">
            <v>62.54</v>
          </cell>
          <cell r="O71">
            <v>71.155000000000001</v>
          </cell>
        </row>
        <row r="72">
          <cell r="L72" t="str">
            <v>Kota Sawah Lunto</v>
          </cell>
          <cell r="M72">
            <v>83.7</v>
          </cell>
          <cell r="N72">
            <v>63.35</v>
          </cell>
          <cell r="O72">
            <v>73.525000000000006</v>
          </cell>
        </row>
        <row r="73">
          <cell r="L73" t="str">
            <v>Kota Padang Panjang</v>
          </cell>
          <cell r="M73">
            <v>76.349999999999994</v>
          </cell>
          <cell r="N73">
            <v>56.34</v>
          </cell>
          <cell r="O73">
            <v>66.344999999999999</v>
          </cell>
        </row>
        <row r="74">
          <cell r="L74" t="str">
            <v>Kota Bukittinggi</v>
          </cell>
          <cell r="M74">
            <v>82.67</v>
          </cell>
          <cell r="N74">
            <v>57.48</v>
          </cell>
          <cell r="O74">
            <v>70.075000000000003</v>
          </cell>
        </row>
        <row r="75">
          <cell r="L75" t="str">
            <v>Kota Payakumbuh</v>
          </cell>
          <cell r="M75">
            <v>80.569999999999993</v>
          </cell>
          <cell r="N75">
            <v>60.51</v>
          </cell>
          <cell r="O75">
            <v>70.539999999999992</v>
          </cell>
        </row>
        <row r="76">
          <cell r="L76" t="str">
            <v>Kota Pariaman</v>
          </cell>
          <cell r="M76">
            <v>80.540000000000006</v>
          </cell>
          <cell r="N76">
            <v>59.2</v>
          </cell>
          <cell r="O76">
            <v>69.87</v>
          </cell>
        </row>
        <row r="77">
          <cell r="L77" t="str">
            <v>Kuantan Singingi</v>
          </cell>
          <cell r="M77">
            <v>85.13</v>
          </cell>
          <cell r="N77">
            <v>45.37</v>
          </cell>
          <cell r="O77">
            <v>65.25</v>
          </cell>
        </row>
        <row r="78">
          <cell r="L78" t="str">
            <v>Indragiri Hulu</v>
          </cell>
          <cell r="M78">
            <v>85.03</v>
          </cell>
          <cell r="N78">
            <v>44.48</v>
          </cell>
          <cell r="O78">
            <v>64.754999999999995</v>
          </cell>
        </row>
        <row r="79">
          <cell r="L79" t="str">
            <v>Indragiri Hilir</v>
          </cell>
          <cell r="M79">
            <v>85.8</v>
          </cell>
          <cell r="N79">
            <v>49.29</v>
          </cell>
          <cell r="O79">
            <v>67.545000000000002</v>
          </cell>
        </row>
        <row r="80">
          <cell r="L80" t="str">
            <v>Pelalawan</v>
          </cell>
          <cell r="M80">
            <v>88.4</v>
          </cell>
          <cell r="N80">
            <v>44.74</v>
          </cell>
          <cell r="O80">
            <v>66.570000000000007</v>
          </cell>
        </row>
        <row r="81">
          <cell r="L81" t="str">
            <v>Siak</v>
          </cell>
          <cell r="M81">
            <v>86.21</v>
          </cell>
          <cell r="N81">
            <v>46.91</v>
          </cell>
          <cell r="O81">
            <v>66.56</v>
          </cell>
        </row>
        <row r="82">
          <cell r="L82" t="str">
            <v>Kampar</v>
          </cell>
          <cell r="M82">
            <v>83.06</v>
          </cell>
          <cell r="N82">
            <v>43.57</v>
          </cell>
          <cell r="O82">
            <v>63.314999999999998</v>
          </cell>
        </row>
        <row r="83">
          <cell r="L83" t="str">
            <v>Rokan Hulu</v>
          </cell>
          <cell r="M83">
            <v>88.42</v>
          </cell>
          <cell r="N83">
            <v>47.03</v>
          </cell>
          <cell r="O83">
            <v>67.724999999999994</v>
          </cell>
        </row>
        <row r="84">
          <cell r="L84" t="str">
            <v>Bengkalis</v>
          </cell>
          <cell r="M84">
            <v>85.09</v>
          </cell>
          <cell r="N84">
            <v>44.56</v>
          </cell>
          <cell r="O84">
            <v>64.825000000000003</v>
          </cell>
        </row>
        <row r="85">
          <cell r="L85" t="str">
            <v>Rokan Hilir</v>
          </cell>
          <cell r="M85">
            <v>85.85</v>
          </cell>
          <cell r="N85">
            <v>44.31</v>
          </cell>
          <cell r="O85">
            <v>65.08</v>
          </cell>
        </row>
        <row r="86">
          <cell r="L86" t="str">
            <v>Kepulauan Meranti</v>
          </cell>
          <cell r="M86">
            <v>83.36</v>
          </cell>
          <cell r="N86">
            <v>52.09</v>
          </cell>
          <cell r="O86">
            <v>67.724999999999994</v>
          </cell>
        </row>
        <row r="87">
          <cell r="L87" t="str">
            <v>Kota Pekanbaru</v>
          </cell>
          <cell r="M87">
            <v>80.58</v>
          </cell>
          <cell r="N87">
            <v>53.92</v>
          </cell>
          <cell r="O87">
            <v>67.25</v>
          </cell>
        </row>
        <row r="88">
          <cell r="L88" t="str">
            <v>Kota Dumai</v>
          </cell>
          <cell r="M88">
            <v>84.75</v>
          </cell>
          <cell r="N88">
            <v>44.8</v>
          </cell>
          <cell r="O88">
            <v>64.775000000000006</v>
          </cell>
        </row>
        <row r="89">
          <cell r="L89" t="str">
            <v>Kerinci</v>
          </cell>
          <cell r="M89">
            <v>88.64</v>
          </cell>
          <cell r="N89">
            <v>66.709999999999994</v>
          </cell>
          <cell r="O89">
            <v>77.674999999999997</v>
          </cell>
        </row>
        <row r="90">
          <cell r="L90" t="str">
            <v>Merangin</v>
          </cell>
          <cell r="M90">
            <v>87.13</v>
          </cell>
          <cell r="N90">
            <v>62.03</v>
          </cell>
          <cell r="O90">
            <v>74.58</v>
          </cell>
        </row>
        <row r="91">
          <cell r="L91" t="str">
            <v>Sarolangun</v>
          </cell>
          <cell r="M91">
            <v>87.17</v>
          </cell>
          <cell r="N91">
            <v>48.41</v>
          </cell>
          <cell r="O91">
            <v>67.789999999999992</v>
          </cell>
        </row>
        <row r="92">
          <cell r="L92" t="str">
            <v>Batang Hari</v>
          </cell>
          <cell r="M92">
            <v>85.73</v>
          </cell>
          <cell r="N92">
            <v>40.47</v>
          </cell>
          <cell r="O92">
            <v>63.1</v>
          </cell>
        </row>
        <row r="93">
          <cell r="L93" t="str">
            <v>Muaro Jambi</v>
          </cell>
          <cell r="M93">
            <v>89.04</v>
          </cell>
          <cell r="N93">
            <v>50.6</v>
          </cell>
          <cell r="O93">
            <v>69.820000000000007</v>
          </cell>
        </row>
        <row r="94">
          <cell r="L94" t="str">
            <v>Tanjung Jabung Timur</v>
          </cell>
          <cell r="M94">
            <v>88.69</v>
          </cell>
          <cell r="N94">
            <v>41.47</v>
          </cell>
          <cell r="O94">
            <v>65.08</v>
          </cell>
        </row>
        <row r="95">
          <cell r="L95" t="str">
            <v>Tanjung Jabung Barat</v>
          </cell>
          <cell r="M95">
            <v>86.55</v>
          </cell>
          <cell r="N95">
            <v>47.76</v>
          </cell>
          <cell r="O95">
            <v>67.155000000000001</v>
          </cell>
        </row>
        <row r="96">
          <cell r="L96" t="str">
            <v>Tebo</v>
          </cell>
          <cell r="M96">
            <v>87.33</v>
          </cell>
          <cell r="N96">
            <v>50.09</v>
          </cell>
          <cell r="O96">
            <v>68.710000000000008</v>
          </cell>
        </row>
        <row r="97">
          <cell r="L97" t="str">
            <v>Bungo</v>
          </cell>
          <cell r="M97">
            <v>85.79</v>
          </cell>
          <cell r="N97">
            <v>49.82</v>
          </cell>
          <cell r="O97">
            <v>67.805000000000007</v>
          </cell>
        </row>
        <row r="98">
          <cell r="L98" t="str">
            <v>Kota Jambi</v>
          </cell>
          <cell r="M98">
            <v>81.180000000000007</v>
          </cell>
          <cell r="N98">
            <v>51.59</v>
          </cell>
          <cell r="O98">
            <v>66.385000000000005</v>
          </cell>
        </row>
        <row r="99">
          <cell r="L99" t="str">
            <v>Kota Sungai Penuh</v>
          </cell>
          <cell r="M99">
            <v>79.44</v>
          </cell>
          <cell r="N99">
            <v>53.3</v>
          </cell>
          <cell r="O99">
            <v>66.37</v>
          </cell>
        </row>
        <row r="100">
          <cell r="L100" t="str">
            <v>Ogan Komering Ulu</v>
          </cell>
          <cell r="M100">
            <v>84.94</v>
          </cell>
          <cell r="N100">
            <v>56.98</v>
          </cell>
          <cell r="O100">
            <v>70.959999999999994</v>
          </cell>
        </row>
        <row r="101">
          <cell r="L101" t="str">
            <v>Ogan Komering Ilir</v>
          </cell>
          <cell r="M101">
            <v>88.03</v>
          </cell>
          <cell r="N101">
            <v>50.5</v>
          </cell>
          <cell r="O101">
            <v>69.265000000000001</v>
          </cell>
        </row>
        <row r="102">
          <cell r="L102" t="str">
            <v>Muara Enim</v>
          </cell>
          <cell r="M102">
            <v>86.88</v>
          </cell>
          <cell r="N102">
            <v>57.73</v>
          </cell>
          <cell r="O102">
            <v>72.304999999999993</v>
          </cell>
        </row>
        <row r="103">
          <cell r="L103" t="str">
            <v>Lahat</v>
          </cell>
          <cell r="M103">
            <v>85.02</v>
          </cell>
          <cell r="N103">
            <v>60.39</v>
          </cell>
          <cell r="O103">
            <v>72.704999999999998</v>
          </cell>
        </row>
        <row r="104">
          <cell r="L104" t="str">
            <v>Musi Rawas</v>
          </cell>
          <cell r="M104">
            <v>89.56</v>
          </cell>
          <cell r="N104">
            <v>59.03</v>
          </cell>
          <cell r="O104">
            <v>74.295000000000002</v>
          </cell>
        </row>
        <row r="105">
          <cell r="L105" t="str">
            <v>Musi Banyuasin</v>
          </cell>
          <cell r="M105">
            <v>86.04</v>
          </cell>
          <cell r="N105">
            <v>52.71</v>
          </cell>
          <cell r="O105">
            <v>69.375</v>
          </cell>
        </row>
        <row r="106">
          <cell r="L106" t="str">
            <v>Banyu Asin</v>
          </cell>
          <cell r="M106">
            <v>87.78</v>
          </cell>
          <cell r="N106">
            <v>41.94</v>
          </cell>
          <cell r="O106">
            <v>64.86</v>
          </cell>
        </row>
        <row r="107">
          <cell r="L107" t="str">
            <v>Ogan Komering Ulu Selatan</v>
          </cell>
          <cell r="M107">
            <v>92.37</v>
          </cell>
          <cell r="N107">
            <v>66.58</v>
          </cell>
          <cell r="O107">
            <v>79.474999999999994</v>
          </cell>
        </row>
        <row r="108">
          <cell r="L108" t="str">
            <v>Ogan Komering Ulu Timur</v>
          </cell>
          <cell r="M108">
            <v>89.67</v>
          </cell>
          <cell r="N108">
            <v>63.99</v>
          </cell>
          <cell r="O108">
            <v>76.83</v>
          </cell>
        </row>
        <row r="109">
          <cell r="L109" t="str">
            <v>Ogan Ilir</v>
          </cell>
          <cell r="M109">
            <v>88.71</v>
          </cell>
          <cell r="N109">
            <v>67.11</v>
          </cell>
          <cell r="O109">
            <v>77.91</v>
          </cell>
        </row>
        <row r="110">
          <cell r="L110" t="str">
            <v>Empat Lawang</v>
          </cell>
          <cell r="M110">
            <v>85.96</v>
          </cell>
          <cell r="N110">
            <v>69.56</v>
          </cell>
          <cell r="O110">
            <v>77.759999999999991</v>
          </cell>
        </row>
        <row r="111">
          <cell r="L111" t="str">
            <v>Penukal Abab Lematang Ilir</v>
          </cell>
          <cell r="M111">
            <v>88.09</v>
          </cell>
          <cell r="N111">
            <v>69.849999999999994</v>
          </cell>
          <cell r="O111">
            <v>78.97</v>
          </cell>
        </row>
        <row r="112">
          <cell r="L112" t="str">
            <v>Musi Rawas Utara</v>
          </cell>
          <cell r="M112">
            <v>83.99</v>
          </cell>
          <cell r="N112">
            <v>55.97</v>
          </cell>
          <cell r="O112">
            <v>69.97999999999999</v>
          </cell>
        </row>
        <row r="113">
          <cell r="L113" t="str">
            <v>Kota Palembang</v>
          </cell>
          <cell r="M113">
            <v>79.03</v>
          </cell>
          <cell r="N113">
            <v>46.24</v>
          </cell>
          <cell r="O113">
            <v>62.635000000000005</v>
          </cell>
        </row>
        <row r="114">
          <cell r="L114" t="str">
            <v>Kota Prabumulih</v>
          </cell>
          <cell r="M114">
            <v>82.64</v>
          </cell>
          <cell r="N114">
            <v>58.38</v>
          </cell>
          <cell r="O114">
            <v>70.510000000000005</v>
          </cell>
        </row>
        <row r="115">
          <cell r="L115" t="str">
            <v>Kota Pagar Alam</v>
          </cell>
          <cell r="M115">
            <v>88.35</v>
          </cell>
          <cell r="N115">
            <v>67.430000000000007</v>
          </cell>
          <cell r="O115">
            <v>77.89</v>
          </cell>
        </row>
        <row r="116">
          <cell r="L116" t="str">
            <v>Kota Lubuklinggau</v>
          </cell>
          <cell r="M116">
            <v>82.51</v>
          </cell>
          <cell r="N116">
            <v>59.92</v>
          </cell>
          <cell r="O116">
            <v>71.215000000000003</v>
          </cell>
        </row>
        <row r="117">
          <cell r="L117" t="str">
            <v>Bengkulu Selatan</v>
          </cell>
          <cell r="M117">
            <v>86.53</v>
          </cell>
          <cell r="N117">
            <v>61.98</v>
          </cell>
          <cell r="O117">
            <v>74.254999999999995</v>
          </cell>
        </row>
        <row r="118">
          <cell r="L118" t="str">
            <v>Rejang Lebong</v>
          </cell>
          <cell r="M118">
            <v>85.73</v>
          </cell>
          <cell r="N118">
            <v>63.72</v>
          </cell>
          <cell r="O118">
            <v>74.724999999999994</v>
          </cell>
        </row>
        <row r="119">
          <cell r="L119" t="str">
            <v>Bengkulu Utara</v>
          </cell>
          <cell r="M119">
            <v>86.86</v>
          </cell>
          <cell r="N119">
            <v>56.21</v>
          </cell>
          <cell r="O119">
            <v>71.534999999999997</v>
          </cell>
        </row>
        <row r="120">
          <cell r="L120" t="str">
            <v>Kaur</v>
          </cell>
          <cell r="M120">
            <v>85.89</v>
          </cell>
          <cell r="N120">
            <v>56.42</v>
          </cell>
          <cell r="O120">
            <v>71.155000000000001</v>
          </cell>
        </row>
        <row r="121">
          <cell r="L121" t="str">
            <v>Seluma</v>
          </cell>
          <cell r="M121">
            <v>89.18</v>
          </cell>
          <cell r="N121">
            <v>56.69</v>
          </cell>
          <cell r="O121">
            <v>72.935000000000002</v>
          </cell>
        </row>
        <row r="122">
          <cell r="L122" t="str">
            <v>Mukomuko</v>
          </cell>
          <cell r="M122">
            <v>85.79</v>
          </cell>
          <cell r="N122">
            <v>45.95</v>
          </cell>
          <cell r="O122">
            <v>65.87</v>
          </cell>
        </row>
        <row r="123">
          <cell r="L123" t="str">
            <v>Lebong</v>
          </cell>
          <cell r="M123">
            <v>87.7</v>
          </cell>
          <cell r="N123">
            <v>54.66</v>
          </cell>
          <cell r="O123">
            <v>71.180000000000007</v>
          </cell>
        </row>
        <row r="124">
          <cell r="L124" t="str">
            <v>Kepahiang</v>
          </cell>
          <cell r="M124">
            <v>86.84</v>
          </cell>
          <cell r="N124">
            <v>65.56</v>
          </cell>
          <cell r="O124">
            <v>76.2</v>
          </cell>
        </row>
        <row r="125">
          <cell r="L125" t="str">
            <v>Bengkulu Tengah</v>
          </cell>
          <cell r="M125">
            <v>86.52</v>
          </cell>
          <cell r="N125">
            <v>50.39</v>
          </cell>
          <cell r="O125">
            <v>68.454999999999998</v>
          </cell>
        </row>
        <row r="126">
          <cell r="L126" t="str">
            <v>Kota Bengkulu</v>
          </cell>
          <cell r="M126">
            <v>77.73</v>
          </cell>
          <cell r="N126">
            <v>59.29</v>
          </cell>
          <cell r="O126">
            <v>68.510000000000005</v>
          </cell>
        </row>
        <row r="127">
          <cell r="L127" t="str">
            <v>Lampung Barat</v>
          </cell>
          <cell r="M127">
            <v>90.91</v>
          </cell>
          <cell r="N127">
            <v>74.069999999999993</v>
          </cell>
          <cell r="O127">
            <v>82.49</v>
          </cell>
        </row>
        <row r="128">
          <cell r="L128" t="str">
            <v>Tanggamus</v>
          </cell>
          <cell r="M128">
            <v>87.83</v>
          </cell>
          <cell r="N128">
            <v>52.43</v>
          </cell>
          <cell r="O128">
            <v>70.13</v>
          </cell>
        </row>
        <row r="129">
          <cell r="L129" t="str">
            <v>Lampung Selatan</v>
          </cell>
          <cell r="M129">
            <v>83.37</v>
          </cell>
          <cell r="N129">
            <v>50.67</v>
          </cell>
          <cell r="O129">
            <v>67.02000000000001</v>
          </cell>
        </row>
        <row r="130">
          <cell r="L130" t="str">
            <v>Lampung Timur</v>
          </cell>
          <cell r="M130">
            <v>86.73</v>
          </cell>
          <cell r="N130">
            <v>50.62</v>
          </cell>
          <cell r="O130">
            <v>68.674999999999997</v>
          </cell>
        </row>
        <row r="131">
          <cell r="L131" t="str">
            <v>Lampung Tengah</v>
          </cell>
          <cell r="M131">
            <v>85.62</v>
          </cell>
          <cell r="N131">
            <v>60.96</v>
          </cell>
          <cell r="O131">
            <v>73.290000000000006</v>
          </cell>
        </row>
        <row r="132">
          <cell r="L132" t="str">
            <v>Lampung Utara</v>
          </cell>
          <cell r="M132">
            <v>82.23</v>
          </cell>
          <cell r="N132">
            <v>50.44</v>
          </cell>
          <cell r="O132">
            <v>66.335000000000008</v>
          </cell>
        </row>
        <row r="133">
          <cell r="L133" t="str">
            <v>Way Kanan</v>
          </cell>
          <cell r="M133">
            <v>88.92</v>
          </cell>
          <cell r="N133">
            <v>57.9</v>
          </cell>
          <cell r="O133">
            <v>73.41</v>
          </cell>
        </row>
        <row r="134">
          <cell r="L134" t="str">
            <v>Tulangbawang</v>
          </cell>
          <cell r="M134">
            <v>91.18</v>
          </cell>
          <cell r="N134">
            <v>50.58</v>
          </cell>
          <cell r="O134">
            <v>70.88</v>
          </cell>
        </row>
        <row r="135">
          <cell r="L135" t="str">
            <v>Pesawaran</v>
          </cell>
          <cell r="M135">
            <v>86.32</v>
          </cell>
          <cell r="N135">
            <v>54.13</v>
          </cell>
          <cell r="O135">
            <v>70.224999999999994</v>
          </cell>
        </row>
        <row r="136">
          <cell r="L136" t="str">
            <v>Pringsewu</v>
          </cell>
          <cell r="M136">
            <v>89.44</v>
          </cell>
          <cell r="N136">
            <v>56.82</v>
          </cell>
          <cell r="O136">
            <v>73.13</v>
          </cell>
        </row>
        <row r="137">
          <cell r="L137" t="str">
            <v>Mesuji</v>
          </cell>
          <cell r="M137">
            <v>88.42</v>
          </cell>
          <cell r="N137">
            <v>50.84</v>
          </cell>
          <cell r="O137">
            <v>69.63</v>
          </cell>
        </row>
        <row r="138">
          <cell r="L138" t="str">
            <v>Tulang Bawang Barat</v>
          </cell>
          <cell r="M138">
            <v>89.17</v>
          </cell>
          <cell r="N138">
            <v>52.05</v>
          </cell>
          <cell r="O138">
            <v>70.61</v>
          </cell>
        </row>
        <row r="139">
          <cell r="L139" t="str">
            <v>Pesisir Barat</v>
          </cell>
          <cell r="M139">
            <v>86.12</v>
          </cell>
          <cell r="N139">
            <v>57.58</v>
          </cell>
          <cell r="O139">
            <v>71.849999999999994</v>
          </cell>
        </row>
        <row r="140">
          <cell r="L140" t="str">
            <v>Kota Bandar Lampung</v>
          </cell>
          <cell r="M140">
            <v>79.91</v>
          </cell>
          <cell r="N140">
            <v>52.19</v>
          </cell>
          <cell r="O140">
            <v>66.05</v>
          </cell>
        </row>
        <row r="141">
          <cell r="L141" t="str">
            <v>Kota Metro</v>
          </cell>
          <cell r="M141">
            <v>81.53</v>
          </cell>
          <cell r="N141">
            <v>58.66</v>
          </cell>
          <cell r="O141">
            <v>70.094999999999999</v>
          </cell>
        </row>
        <row r="142">
          <cell r="L142" t="str">
            <v>Bangka</v>
          </cell>
          <cell r="M142">
            <v>84.55</v>
          </cell>
          <cell r="N142">
            <v>50.26</v>
          </cell>
          <cell r="O142">
            <v>67.405000000000001</v>
          </cell>
        </row>
        <row r="143">
          <cell r="L143" t="str">
            <v>Belitung</v>
          </cell>
          <cell r="M143">
            <v>87.1</v>
          </cell>
          <cell r="N143">
            <v>48.6</v>
          </cell>
          <cell r="O143">
            <v>67.849999999999994</v>
          </cell>
        </row>
        <row r="144">
          <cell r="L144" t="str">
            <v>Bangka Barat</v>
          </cell>
          <cell r="M144">
            <v>87.44</v>
          </cell>
          <cell r="N144">
            <v>52.07</v>
          </cell>
          <cell r="O144">
            <v>69.754999999999995</v>
          </cell>
        </row>
        <row r="145">
          <cell r="L145" t="str">
            <v>Bangka Tengah</v>
          </cell>
          <cell r="M145">
            <v>88.18</v>
          </cell>
          <cell r="N145">
            <v>50.98</v>
          </cell>
          <cell r="O145">
            <v>69.58</v>
          </cell>
        </row>
        <row r="146">
          <cell r="L146" t="str">
            <v>Bangka Selatan</v>
          </cell>
          <cell r="M146">
            <v>89.97</v>
          </cell>
          <cell r="N146">
            <v>46.9</v>
          </cell>
          <cell r="O146">
            <v>68.435000000000002</v>
          </cell>
        </row>
        <row r="147">
          <cell r="L147" t="str">
            <v>Belitung Timur</v>
          </cell>
          <cell r="M147">
            <v>86.78</v>
          </cell>
          <cell r="N147">
            <v>53.19</v>
          </cell>
          <cell r="O147">
            <v>69.984999999999999</v>
          </cell>
        </row>
        <row r="148">
          <cell r="L148" t="str">
            <v>Kota Pangkal Pinang</v>
          </cell>
          <cell r="M148">
            <v>81.02</v>
          </cell>
          <cell r="N148">
            <v>52.73</v>
          </cell>
          <cell r="O148">
            <v>66.875</v>
          </cell>
        </row>
        <row r="149">
          <cell r="L149" t="str">
            <v>Karimun</v>
          </cell>
          <cell r="M149">
            <v>83.04</v>
          </cell>
          <cell r="N149">
            <v>52.68</v>
          </cell>
          <cell r="O149">
            <v>67.86</v>
          </cell>
        </row>
        <row r="150">
          <cell r="L150" t="str">
            <v>Bintan</v>
          </cell>
          <cell r="M150">
            <v>84.38</v>
          </cell>
          <cell r="N150">
            <v>50.91</v>
          </cell>
          <cell r="O150">
            <v>67.644999999999996</v>
          </cell>
        </row>
        <row r="151">
          <cell r="L151" t="str">
            <v>Natuna</v>
          </cell>
          <cell r="M151">
            <v>85.75</v>
          </cell>
          <cell r="N151">
            <v>59.03</v>
          </cell>
          <cell r="O151">
            <v>72.39</v>
          </cell>
        </row>
        <row r="152">
          <cell r="L152" t="str">
            <v>Lingga</v>
          </cell>
          <cell r="M152">
            <v>81.3</v>
          </cell>
          <cell r="N152">
            <v>41.72</v>
          </cell>
          <cell r="O152">
            <v>61.51</v>
          </cell>
        </row>
        <row r="153">
          <cell r="L153" t="str">
            <v>Kepulauan Anambas</v>
          </cell>
          <cell r="M153">
            <v>80.5</v>
          </cell>
          <cell r="N153">
            <v>57.11</v>
          </cell>
          <cell r="O153">
            <v>68.805000000000007</v>
          </cell>
        </row>
        <row r="154">
          <cell r="L154" t="str">
            <v>Kota Batam</v>
          </cell>
          <cell r="M154">
            <v>87.98</v>
          </cell>
          <cell r="N154">
            <v>51.48</v>
          </cell>
          <cell r="O154">
            <v>69.73</v>
          </cell>
        </row>
        <row r="155">
          <cell r="L155" t="str">
            <v>Kota Tanjung Pinang</v>
          </cell>
          <cell r="M155">
            <v>81.03</v>
          </cell>
          <cell r="N155">
            <v>56.96</v>
          </cell>
          <cell r="O155">
            <v>68.995000000000005</v>
          </cell>
        </row>
        <row r="156">
          <cell r="L156" t="str">
            <v>Kep. Seribu</v>
          </cell>
          <cell r="M156">
            <v>84.91</v>
          </cell>
          <cell r="N156">
            <v>60.42</v>
          </cell>
          <cell r="O156">
            <v>72.664999999999992</v>
          </cell>
        </row>
        <row r="157">
          <cell r="L157" t="str">
            <v>Kota Jakarta Selatan</v>
          </cell>
          <cell r="M157">
            <v>79.2</v>
          </cell>
          <cell r="N157">
            <v>50.47</v>
          </cell>
          <cell r="O157">
            <v>64.835000000000008</v>
          </cell>
        </row>
        <row r="158">
          <cell r="L158" t="str">
            <v>Kota Jakarta Timur</v>
          </cell>
          <cell r="M158">
            <v>78.900000000000006</v>
          </cell>
          <cell r="N158">
            <v>50.19</v>
          </cell>
          <cell r="O158">
            <v>64.545000000000002</v>
          </cell>
        </row>
        <row r="159">
          <cell r="L159" t="str">
            <v>Kota Jakarta Pusat</v>
          </cell>
          <cell r="M159">
            <v>79.489999999999995</v>
          </cell>
          <cell r="N159">
            <v>50.44</v>
          </cell>
          <cell r="O159">
            <v>64.965000000000003</v>
          </cell>
        </row>
        <row r="160">
          <cell r="L160" t="str">
            <v>Kota Jakarta Barat</v>
          </cell>
          <cell r="M160">
            <v>79.81</v>
          </cell>
          <cell r="N160">
            <v>48.39</v>
          </cell>
          <cell r="O160">
            <v>64.099999999999994</v>
          </cell>
        </row>
        <row r="161">
          <cell r="L161" t="str">
            <v>Kota Jakarta Utara</v>
          </cell>
          <cell r="M161">
            <v>83.1</v>
          </cell>
          <cell r="N161">
            <v>52.34</v>
          </cell>
          <cell r="O161">
            <v>67.72</v>
          </cell>
        </row>
        <row r="162">
          <cell r="L162" t="str">
            <v>Bogor</v>
          </cell>
          <cell r="M162">
            <v>85.99</v>
          </cell>
          <cell r="N162">
            <v>45.57</v>
          </cell>
          <cell r="O162">
            <v>65.78</v>
          </cell>
        </row>
        <row r="163">
          <cell r="L163" t="str">
            <v>Sukabumi</v>
          </cell>
          <cell r="M163">
            <v>85.69</v>
          </cell>
          <cell r="N163">
            <v>53.44</v>
          </cell>
          <cell r="O163">
            <v>69.564999999999998</v>
          </cell>
        </row>
        <row r="164">
          <cell r="L164" t="str">
            <v>Cianjur</v>
          </cell>
          <cell r="M164">
            <v>88.86</v>
          </cell>
          <cell r="N164">
            <v>55.61</v>
          </cell>
          <cell r="O164">
            <v>72.234999999999999</v>
          </cell>
        </row>
        <row r="165">
          <cell r="L165" t="str">
            <v>Bandung</v>
          </cell>
          <cell r="M165">
            <v>82.71</v>
          </cell>
          <cell r="N165">
            <v>51.25</v>
          </cell>
          <cell r="O165">
            <v>66.97999999999999</v>
          </cell>
        </row>
        <row r="166">
          <cell r="L166" t="str">
            <v>Garut</v>
          </cell>
          <cell r="M166">
            <v>85.54</v>
          </cell>
          <cell r="N166">
            <v>56.48</v>
          </cell>
          <cell r="O166">
            <v>71.010000000000005</v>
          </cell>
        </row>
        <row r="167">
          <cell r="L167" t="str">
            <v>Tasikmalaya</v>
          </cell>
          <cell r="M167">
            <v>83.98</v>
          </cell>
          <cell r="N167">
            <v>53.26</v>
          </cell>
          <cell r="O167">
            <v>68.62</v>
          </cell>
        </row>
        <row r="168">
          <cell r="L168" t="str">
            <v>Ciamis</v>
          </cell>
          <cell r="M168">
            <v>80.8</v>
          </cell>
          <cell r="N168">
            <v>55.64</v>
          </cell>
          <cell r="O168">
            <v>68.22</v>
          </cell>
        </row>
        <row r="169">
          <cell r="L169" t="str">
            <v>Kuningan</v>
          </cell>
          <cell r="M169">
            <v>80.569999999999993</v>
          </cell>
          <cell r="N169">
            <v>50.85</v>
          </cell>
          <cell r="O169">
            <v>65.709999999999994</v>
          </cell>
        </row>
        <row r="170">
          <cell r="L170" t="str">
            <v>Cirebon</v>
          </cell>
          <cell r="M170">
            <v>86.46</v>
          </cell>
          <cell r="N170">
            <v>51.86</v>
          </cell>
          <cell r="O170">
            <v>69.16</v>
          </cell>
        </row>
        <row r="171">
          <cell r="L171" t="str">
            <v>Majalengka</v>
          </cell>
          <cell r="M171">
            <v>85.24</v>
          </cell>
          <cell r="N171">
            <v>54.11</v>
          </cell>
          <cell r="O171">
            <v>69.674999999999997</v>
          </cell>
        </row>
        <row r="172">
          <cell r="L172" t="str">
            <v>Sumedang</v>
          </cell>
          <cell r="M172">
            <v>83.74</v>
          </cell>
          <cell r="N172">
            <v>54.65</v>
          </cell>
          <cell r="O172">
            <v>69.194999999999993</v>
          </cell>
        </row>
        <row r="173">
          <cell r="L173" t="str">
            <v>Indramayu</v>
          </cell>
          <cell r="M173">
            <v>84.71</v>
          </cell>
          <cell r="N173">
            <v>48.21</v>
          </cell>
          <cell r="O173">
            <v>66.459999999999994</v>
          </cell>
        </row>
        <row r="174">
          <cell r="L174" t="str">
            <v>Subang</v>
          </cell>
          <cell r="M174">
            <v>87.76</v>
          </cell>
          <cell r="N174">
            <v>55.83</v>
          </cell>
          <cell r="O174">
            <v>71.795000000000002</v>
          </cell>
        </row>
        <row r="175">
          <cell r="L175" t="str">
            <v>Purwakarta</v>
          </cell>
          <cell r="M175">
            <v>86.62</v>
          </cell>
          <cell r="N175">
            <v>46.19</v>
          </cell>
          <cell r="O175">
            <v>66.405000000000001</v>
          </cell>
        </row>
        <row r="176">
          <cell r="L176" t="str">
            <v>Karawang</v>
          </cell>
          <cell r="M176">
            <v>83.56</v>
          </cell>
          <cell r="N176">
            <v>43.48</v>
          </cell>
          <cell r="O176">
            <v>63.519999999999996</v>
          </cell>
        </row>
        <row r="177">
          <cell r="L177" t="str">
            <v>Bekasi</v>
          </cell>
          <cell r="M177">
            <v>85.51</v>
          </cell>
          <cell r="N177">
            <v>44.34</v>
          </cell>
          <cell r="O177">
            <v>64.925000000000011</v>
          </cell>
        </row>
        <row r="178">
          <cell r="L178" t="str">
            <v>Bandung Barat</v>
          </cell>
          <cell r="M178">
            <v>87.12</v>
          </cell>
          <cell r="N178">
            <v>48.84</v>
          </cell>
          <cell r="O178">
            <v>67.98</v>
          </cell>
        </row>
        <row r="179">
          <cell r="L179" t="str">
            <v>Pangandaran</v>
          </cell>
          <cell r="M179">
            <v>91.31</v>
          </cell>
          <cell r="N179">
            <v>69.11</v>
          </cell>
          <cell r="O179">
            <v>80.210000000000008</v>
          </cell>
        </row>
        <row r="180">
          <cell r="L180" t="str">
            <v>Kota Bogor</v>
          </cell>
          <cell r="M180">
            <v>83.71</v>
          </cell>
          <cell r="N180">
            <v>50.69</v>
          </cell>
          <cell r="O180">
            <v>67.199999999999989</v>
          </cell>
        </row>
        <row r="181">
          <cell r="L181" t="str">
            <v>Kota Sukabumi</v>
          </cell>
          <cell r="M181">
            <v>79.540000000000006</v>
          </cell>
          <cell r="N181">
            <v>45.67</v>
          </cell>
          <cell r="O181">
            <v>62.605000000000004</v>
          </cell>
        </row>
        <row r="182">
          <cell r="L182" t="str">
            <v>Kota Bandung</v>
          </cell>
          <cell r="M182">
            <v>83.93</v>
          </cell>
          <cell r="N182">
            <v>51.96</v>
          </cell>
          <cell r="O182">
            <v>67.945000000000007</v>
          </cell>
        </row>
        <row r="183">
          <cell r="L183" t="str">
            <v>Kota Cirebon</v>
          </cell>
          <cell r="M183">
            <v>82.41</v>
          </cell>
          <cell r="N183">
            <v>54.77</v>
          </cell>
          <cell r="O183">
            <v>68.59</v>
          </cell>
        </row>
        <row r="184">
          <cell r="L184" t="str">
            <v>Kota Bekasi</v>
          </cell>
          <cell r="M184">
            <v>80.540000000000006</v>
          </cell>
          <cell r="N184">
            <v>50.63</v>
          </cell>
          <cell r="O184">
            <v>65.585000000000008</v>
          </cell>
        </row>
        <row r="185">
          <cell r="L185" t="str">
            <v>Kota Depok</v>
          </cell>
          <cell r="M185">
            <v>78.900000000000006</v>
          </cell>
          <cell r="N185">
            <v>46.83</v>
          </cell>
          <cell r="O185">
            <v>62.865000000000002</v>
          </cell>
        </row>
        <row r="186">
          <cell r="L186" t="str">
            <v>Kota Cimahi</v>
          </cell>
          <cell r="M186">
            <v>82.9</v>
          </cell>
          <cell r="N186">
            <v>49.99</v>
          </cell>
          <cell r="O186">
            <v>66.445000000000007</v>
          </cell>
        </row>
        <row r="187">
          <cell r="L187" t="str">
            <v>Kota Tasikmalaya</v>
          </cell>
          <cell r="M187">
            <v>83.54</v>
          </cell>
          <cell r="N187">
            <v>54.03</v>
          </cell>
          <cell r="O187">
            <v>68.784999999999997</v>
          </cell>
        </row>
        <row r="188">
          <cell r="L188" t="str">
            <v>Kota Banjar</v>
          </cell>
          <cell r="M188">
            <v>82.35</v>
          </cell>
          <cell r="N188">
            <v>52.16</v>
          </cell>
          <cell r="O188">
            <v>67.254999999999995</v>
          </cell>
        </row>
        <row r="189">
          <cell r="L189" t="str">
            <v>Cilacap</v>
          </cell>
          <cell r="M189">
            <v>83.55</v>
          </cell>
          <cell r="N189">
            <v>52.28</v>
          </cell>
          <cell r="O189">
            <v>67.914999999999992</v>
          </cell>
        </row>
        <row r="190">
          <cell r="L190" t="str">
            <v>Banyumas</v>
          </cell>
          <cell r="M190">
            <v>85.44</v>
          </cell>
          <cell r="N190">
            <v>50.62</v>
          </cell>
          <cell r="O190">
            <v>68.03</v>
          </cell>
        </row>
        <row r="191">
          <cell r="L191" t="str">
            <v>Purbalingga</v>
          </cell>
          <cell r="M191">
            <v>86.48</v>
          </cell>
          <cell r="N191">
            <v>62.25</v>
          </cell>
          <cell r="O191">
            <v>74.365000000000009</v>
          </cell>
        </row>
        <row r="192">
          <cell r="L192" t="str">
            <v>Banjarnegara</v>
          </cell>
          <cell r="M192">
            <v>87.45</v>
          </cell>
          <cell r="N192">
            <v>58.96</v>
          </cell>
          <cell r="O192">
            <v>73.204999999999998</v>
          </cell>
        </row>
        <row r="193">
          <cell r="L193" t="str">
            <v>Kebumen</v>
          </cell>
          <cell r="M193">
            <v>88.08</v>
          </cell>
          <cell r="N193">
            <v>66.459999999999994</v>
          </cell>
          <cell r="O193">
            <v>77.27</v>
          </cell>
        </row>
        <row r="194">
          <cell r="L194" t="str">
            <v>Purworejo</v>
          </cell>
          <cell r="M194">
            <v>84.64</v>
          </cell>
          <cell r="N194">
            <v>62.87</v>
          </cell>
          <cell r="O194">
            <v>73.754999999999995</v>
          </cell>
        </row>
        <row r="195">
          <cell r="L195" t="str">
            <v>Wonosobo</v>
          </cell>
          <cell r="M195">
            <v>87.55</v>
          </cell>
          <cell r="N195">
            <v>61.97</v>
          </cell>
          <cell r="O195">
            <v>74.759999999999991</v>
          </cell>
        </row>
        <row r="196">
          <cell r="L196" t="str">
            <v>Magelang</v>
          </cell>
          <cell r="M196">
            <v>87.51</v>
          </cell>
          <cell r="N196">
            <v>67.900000000000006</v>
          </cell>
          <cell r="O196">
            <v>77.705000000000013</v>
          </cell>
        </row>
        <row r="197">
          <cell r="L197" t="str">
            <v>Boyolali</v>
          </cell>
          <cell r="M197">
            <v>84.67</v>
          </cell>
          <cell r="N197">
            <v>65.849999999999994</v>
          </cell>
          <cell r="O197">
            <v>75.259999999999991</v>
          </cell>
        </row>
        <row r="198">
          <cell r="L198" t="str">
            <v>Klaten</v>
          </cell>
          <cell r="M198">
            <v>84.73</v>
          </cell>
          <cell r="N198">
            <v>64</v>
          </cell>
          <cell r="O198">
            <v>74.365000000000009</v>
          </cell>
        </row>
        <row r="199">
          <cell r="L199" t="str">
            <v>Sukoharjo</v>
          </cell>
          <cell r="M199">
            <v>79.64</v>
          </cell>
          <cell r="N199">
            <v>56.92</v>
          </cell>
          <cell r="O199">
            <v>68.28</v>
          </cell>
        </row>
        <row r="200">
          <cell r="L200" t="str">
            <v>Wonogiri</v>
          </cell>
          <cell r="M200">
            <v>88</v>
          </cell>
          <cell r="N200">
            <v>67.63</v>
          </cell>
          <cell r="O200">
            <v>77.814999999999998</v>
          </cell>
        </row>
        <row r="201">
          <cell r="L201" t="str">
            <v>Karanganyar</v>
          </cell>
          <cell r="M201">
            <v>85.07</v>
          </cell>
          <cell r="N201">
            <v>64.27</v>
          </cell>
          <cell r="O201">
            <v>74.669999999999987</v>
          </cell>
        </row>
        <row r="202">
          <cell r="L202" t="str">
            <v>Sragen</v>
          </cell>
          <cell r="M202">
            <v>84.19</v>
          </cell>
          <cell r="N202">
            <v>65.099999999999994</v>
          </cell>
          <cell r="O202">
            <v>74.644999999999996</v>
          </cell>
        </row>
        <row r="203">
          <cell r="L203" t="str">
            <v>Grobogan</v>
          </cell>
          <cell r="M203">
            <v>90.17</v>
          </cell>
          <cell r="N203">
            <v>63.01</v>
          </cell>
          <cell r="O203">
            <v>76.59</v>
          </cell>
        </row>
        <row r="204">
          <cell r="L204" t="str">
            <v>Blora</v>
          </cell>
          <cell r="M204">
            <v>85.38</v>
          </cell>
          <cell r="N204">
            <v>61.75</v>
          </cell>
          <cell r="O204">
            <v>73.564999999999998</v>
          </cell>
        </row>
        <row r="205">
          <cell r="L205" t="str">
            <v>Rembang</v>
          </cell>
          <cell r="M205">
            <v>87.23</v>
          </cell>
          <cell r="N205">
            <v>61.76</v>
          </cell>
          <cell r="O205">
            <v>74.495000000000005</v>
          </cell>
        </row>
        <row r="206">
          <cell r="L206" t="str">
            <v>Pati</v>
          </cell>
          <cell r="M206">
            <v>88.61</v>
          </cell>
          <cell r="N206">
            <v>65.08</v>
          </cell>
          <cell r="O206">
            <v>76.844999999999999</v>
          </cell>
        </row>
        <row r="207">
          <cell r="L207" t="str">
            <v>Kudus</v>
          </cell>
          <cell r="M207">
            <v>83.36</v>
          </cell>
          <cell r="N207">
            <v>67.86</v>
          </cell>
          <cell r="O207">
            <v>75.61</v>
          </cell>
        </row>
        <row r="208">
          <cell r="L208" t="str">
            <v>Jepara</v>
          </cell>
          <cell r="M208">
            <v>86.16</v>
          </cell>
          <cell r="N208">
            <v>57.69</v>
          </cell>
          <cell r="O208">
            <v>71.924999999999997</v>
          </cell>
        </row>
        <row r="209">
          <cell r="L209" t="str">
            <v>Demak</v>
          </cell>
          <cell r="M209">
            <v>86.06</v>
          </cell>
          <cell r="N209">
            <v>58.56</v>
          </cell>
          <cell r="O209">
            <v>72.31</v>
          </cell>
        </row>
        <row r="210">
          <cell r="L210" t="str">
            <v>Semarang</v>
          </cell>
          <cell r="M210">
            <v>87.09</v>
          </cell>
          <cell r="N210">
            <v>71.67</v>
          </cell>
          <cell r="O210">
            <v>79.38</v>
          </cell>
        </row>
        <row r="211">
          <cell r="L211" t="str">
            <v>Temanggung</v>
          </cell>
          <cell r="M211">
            <v>87.61</v>
          </cell>
          <cell r="N211">
            <v>68.52</v>
          </cell>
          <cell r="O211">
            <v>78.064999999999998</v>
          </cell>
        </row>
        <row r="212">
          <cell r="L212" t="str">
            <v>Kendal</v>
          </cell>
          <cell r="M212">
            <v>87.16</v>
          </cell>
          <cell r="N212">
            <v>66.45</v>
          </cell>
          <cell r="O212">
            <v>76.805000000000007</v>
          </cell>
        </row>
        <row r="213">
          <cell r="L213" t="str">
            <v>Batang</v>
          </cell>
          <cell r="M213">
            <v>88.96</v>
          </cell>
          <cell r="N213">
            <v>66.81</v>
          </cell>
          <cell r="O213">
            <v>77.884999999999991</v>
          </cell>
        </row>
        <row r="214">
          <cell r="L214" t="str">
            <v>Pekalongan</v>
          </cell>
          <cell r="M214">
            <v>87.33</v>
          </cell>
          <cell r="N214">
            <v>65.13</v>
          </cell>
          <cell r="O214">
            <v>76.22999999999999</v>
          </cell>
        </row>
        <row r="215">
          <cell r="L215" t="str">
            <v>Pemalang</v>
          </cell>
          <cell r="M215">
            <v>85.15</v>
          </cell>
          <cell r="N215">
            <v>59.09</v>
          </cell>
          <cell r="O215">
            <v>72.12</v>
          </cell>
        </row>
        <row r="216">
          <cell r="L216" t="str">
            <v>Tegal</v>
          </cell>
          <cell r="M216">
            <v>82.33</v>
          </cell>
          <cell r="N216">
            <v>64.47</v>
          </cell>
          <cell r="O216">
            <v>73.400000000000006</v>
          </cell>
        </row>
        <row r="217">
          <cell r="L217" t="str">
            <v>Brebes</v>
          </cell>
          <cell r="M217">
            <v>88.09</v>
          </cell>
          <cell r="N217">
            <v>55.38</v>
          </cell>
          <cell r="O217">
            <v>71.734999999999999</v>
          </cell>
        </row>
        <row r="218">
          <cell r="L218" t="str">
            <v>Kota Magelang</v>
          </cell>
          <cell r="M218">
            <v>77.91</v>
          </cell>
          <cell r="N218">
            <v>57.68</v>
          </cell>
          <cell r="O218">
            <v>67.795000000000002</v>
          </cell>
        </row>
        <row r="219">
          <cell r="L219" t="str">
            <v>Kota Surakarta</v>
          </cell>
          <cell r="M219">
            <v>78.930000000000007</v>
          </cell>
          <cell r="N219">
            <v>56.45</v>
          </cell>
          <cell r="O219">
            <v>67.69</v>
          </cell>
        </row>
        <row r="220">
          <cell r="L220" t="str">
            <v>Kota Salatiga</v>
          </cell>
          <cell r="M220">
            <v>80.180000000000007</v>
          </cell>
          <cell r="N220">
            <v>61.65</v>
          </cell>
          <cell r="O220">
            <v>70.915000000000006</v>
          </cell>
        </row>
        <row r="221">
          <cell r="L221" t="str">
            <v>Kota Semarang</v>
          </cell>
          <cell r="M221">
            <v>79.92</v>
          </cell>
          <cell r="N221">
            <v>60.24</v>
          </cell>
          <cell r="O221">
            <v>70.08</v>
          </cell>
        </row>
        <row r="222">
          <cell r="L222" t="str">
            <v>Kota Pekalongan</v>
          </cell>
          <cell r="M222">
            <v>85.54</v>
          </cell>
          <cell r="N222">
            <v>66.48</v>
          </cell>
          <cell r="O222">
            <v>76.010000000000005</v>
          </cell>
        </row>
        <row r="223">
          <cell r="L223" t="str">
            <v>Kota Tegal</v>
          </cell>
          <cell r="M223">
            <v>83.51</v>
          </cell>
          <cell r="N223">
            <v>55.63</v>
          </cell>
          <cell r="O223">
            <v>69.570000000000007</v>
          </cell>
        </row>
        <row r="224">
          <cell r="L224" t="str">
            <v>Kulon Progo</v>
          </cell>
          <cell r="M224">
            <v>84.69</v>
          </cell>
          <cell r="N224">
            <v>72.66</v>
          </cell>
          <cell r="O224">
            <v>78.674999999999997</v>
          </cell>
        </row>
        <row r="225">
          <cell r="L225" t="str">
            <v>Bantul</v>
          </cell>
          <cell r="M225">
            <v>82.77</v>
          </cell>
          <cell r="N225">
            <v>67.150000000000006</v>
          </cell>
          <cell r="O225">
            <v>74.960000000000008</v>
          </cell>
        </row>
        <row r="226">
          <cell r="L226" t="str">
            <v>Gunung Kidul</v>
          </cell>
          <cell r="M226">
            <v>86.6</v>
          </cell>
          <cell r="N226">
            <v>67.510000000000005</v>
          </cell>
          <cell r="O226">
            <v>77.055000000000007</v>
          </cell>
        </row>
        <row r="227">
          <cell r="L227" t="str">
            <v>Sleman</v>
          </cell>
          <cell r="M227">
            <v>82.86</v>
          </cell>
          <cell r="N227">
            <v>63.99</v>
          </cell>
          <cell r="O227">
            <v>73.424999999999997</v>
          </cell>
        </row>
        <row r="228">
          <cell r="L228" t="str">
            <v>Kota Yogyakarta</v>
          </cell>
          <cell r="M228">
            <v>77.430000000000007</v>
          </cell>
          <cell r="N228">
            <v>64.19</v>
          </cell>
          <cell r="O228">
            <v>70.81</v>
          </cell>
        </row>
        <row r="229">
          <cell r="L229" t="str">
            <v>Pacitan</v>
          </cell>
          <cell r="M229">
            <v>90.3</v>
          </cell>
          <cell r="N229">
            <v>82.93</v>
          </cell>
          <cell r="O229">
            <v>86.615000000000009</v>
          </cell>
        </row>
        <row r="230">
          <cell r="L230" t="str">
            <v>Ponorogo</v>
          </cell>
          <cell r="M230">
            <v>87.19</v>
          </cell>
          <cell r="N230">
            <v>70.459999999999994</v>
          </cell>
          <cell r="O230">
            <v>78.824999999999989</v>
          </cell>
        </row>
        <row r="231">
          <cell r="L231" t="str">
            <v>Trenggalek</v>
          </cell>
          <cell r="M231">
            <v>89.94</v>
          </cell>
          <cell r="N231">
            <v>70.27</v>
          </cell>
          <cell r="O231">
            <v>80.10499999999999</v>
          </cell>
        </row>
        <row r="232">
          <cell r="L232" t="str">
            <v>Tulungagung</v>
          </cell>
          <cell r="M232">
            <v>87.99</v>
          </cell>
          <cell r="N232">
            <v>63.29</v>
          </cell>
          <cell r="O232">
            <v>75.64</v>
          </cell>
        </row>
        <row r="233">
          <cell r="L233" t="str">
            <v>Blitar</v>
          </cell>
          <cell r="M233">
            <v>87.26</v>
          </cell>
          <cell r="N233">
            <v>57.41</v>
          </cell>
          <cell r="O233">
            <v>72.335000000000008</v>
          </cell>
        </row>
        <row r="234">
          <cell r="L234" t="str">
            <v>Kediri</v>
          </cell>
          <cell r="M234">
            <v>86.69</v>
          </cell>
          <cell r="N234">
            <v>55.76</v>
          </cell>
          <cell r="O234">
            <v>71.224999999999994</v>
          </cell>
        </row>
        <row r="235">
          <cell r="L235" t="str">
            <v>Malang</v>
          </cell>
          <cell r="M235">
            <v>87.02</v>
          </cell>
          <cell r="N235">
            <v>58.74</v>
          </cell>
          <cell r="O235">
            <v>72.88</v>
          </cell>
        </row>
        <row r="236">
          <cell r="L236" t="str">
            <v>Lumajang</v>
          </cell>
          <cell r="M236">
            <v>88.5</v>
          </cell>
          <cell r="N236">
            <v>53.91</v>
          </cell>
          <cell r="O236">
            <v>71.204999999999998</v>
          </cell>
        </row>
        <row r="237">
          <cell r="L237" t="str">
            <v>Jember</v>
          </cell>
          <cell r="M237">
            <v>87.96</v>
          </cell>
          <cell r="N237">
            <v>59.84</v>
          </cell>
          <cell r="O237">
            <v>73.900000000000006</v>
          </cell>
        </row>
        <row r="238">
          <cell r="L238" t="str">
            <v>Banyuwangi</v>
          </cell>
          <cell r="M238">
            <v>88.01</v>
          </cell>
          <cell r="N238">
            <v>62.87</v>
          </cell>
          <cell r="O238">
            <v>75.44</v>
          </cell>
        </row>
        <row r="239">
          <cell r="L239" t="str">
            <v>Bondowoso</v>
          </cell>
          <cell r="M239">
            <v>89.86</v>
          </cell>
          <cell r="N239">
            <v>60.97</v>
          </cell>
          <cell r="O239">
            <v>75.414999999999992</v>
          </cell>
        </row>
        <row r="240">
          <cell r="L240" t="str">
            <v>Situbondo</v>
          </cell>
          <cell r="M240">
            <v>89.85</v>
          </cell>
          <cell r="N240">
            <v>64.13</v>
          </cell>
          <cell r="O240">
            <v>76.989999999999995</v>
          </cell>
        </row>
        <row r="241">
          <cell r="L241" t="str">
            <v>Probolinggo</v>
          </cell>
          <cell r="M241">
            <v>88.74</v>
          </cell>
          <cell r="N241">
            <v>58.3</v>
          </cell>
          <cell r="O241">
            <v>73.52</v>
          </cell>
        </row>
        <row r="242">
          <cell r="L242" t="str">
            <v>Pasuruan</v>
          </cell>
          <cell r="M242">
            <v>87.51</v>
          </cell>
          <cell r="N242">
            <v>63.27</v>
          </cell>
          <cell r="O242">
            <v>75.39</v>
          </cell>
        </row>
        <row r="243">
          <cell r="L243" t="str">
            <v>Sidoarjo</v>
          </cell>
          <cell r="M243">
            <v>82.54</v>
          </cell>
          <cell r="N243">
            <v>54.23</v>
          </cell>
          <cell r="O243">
            <v>68.385000000000005</v>
          </cell>
        </row>
        <row r="244">
          <cell r="L244" t="str">
            <v>Mojokerto</v>
          </cell>
          <cell r="M244">
            <v>87.06</v>
          </cell>
          <cell r="N244">
            <v>60.88</v>
          </cell>
          <cell r="O244">
            <v>73.97</v>
          </cell>
        </row>
        <row r="245">
          <cell r="L245" t="str">
            <v>Jombang</v>
          </cell>
          <cell r="M245">
            <v>85.48</v>
          </cell>
          <cell r="N245">
            <v>58.2</v>
          </cell>
          <cell r="O245">
            <v>71.84</v>
          </cell>
        </row>
        <row r="246">
          <cell r="L246" t="str">
            <v>Nganjuk</v>
          </cell>
          <cell r="M246">
            <v>84.35</v>
          </cell>
          <cell r="N246">
            <v>55.22</v>
          </cell>
          <cell r="O246">
            <v>69.784999999999997</v>
          </cell>
        </row>
        <row r="247">
          <cell r="L247" t="str">
            <v>Madiun</v>
          </cell>
          <cell r="M247">
            <v>85.4</v>
          </cell>
          <cell r="N247">
            <v>59.73</v>
          </cell>
          <cell r="O247">
            <v>72.564999999999998</v>
          </cell>
        </row>
        <row r="248">
          <cell r="L248" t="str">
            <v>Magetan</v>
          </cell>
          <cell r="M248">
            <v>86.42</v>
          </cell>
          <cell r="N248">
            <v>68.12</v>
          </cell>
          <cell r="O248">
            <v>77.27000000000001</v>
          </cell>
        </row>
        <row r="249">
          <cell r="L249" t="str">
            <v>Ngawi</v>
          </cell>
          <cell r="M249">
            <v>86.19</v>
          </cell>
          <cell r="N249">
            <v>65.64</v>
          </cell>
          <cell r="O249">
            <v>75.914999999999992</v>
          </cell>
        </row>
        <row r="250">
          <cell r="L250" t="str">
            <v>Bojonegoro</v>
          </cell>
          <cell r="M250">
            <v>88.26</v>
          </cell>
          <cell r="N250">
            <v>59.53</v>
          </cell>
          <cell r="O250">
            <v>73.89500000000001</v>
          </cell>
        </row>
        <row r="251">
          <cell r="L251" t="str">
            <v>Tuban</v>
          </cell>
          <cell r="M251">
            <v>89.92</v>
          </cell>
          <cell r="N251">
            <v>59.41</v>
          </cell>
          <cell r="O251">
            <v>74.664999999999992</v>
          </cell>
        </row>
        <row r="252">
          <cell r="L252" t="str">
            <v>Lamongan</v>
          </cell>
          <cell r="M252">
            <v>89</v>
          </cell>
          <cell r="N252">
            <v>60.78</v>
          </cell>
          <cell r="O252">
            <v>74.89</v>
          </cell>
        </row>
        <row r="253">
          <cell r="L253" t="str">
            <v>Gresik</v>
          </cell>
          <cell r="M253">
            <v>86.8</v>
          </cell>
          <cell r="N253">
            <v>56.37</v>
          </cell>
          <cell r="O253">
            <v>71.584999999999994</v>
          </cell>
        </row>
        <row r="254">
          <cell r="L254" t="str">
            <v>Bangkalan</v>
          </cell>
          <cell r="M254">
            <v>84.17</v>
          </cell>
          <cell r="N254">
            <v>57.37</v>
          </cell>
          <cell r="O254">
            <v>70.77</v>
          </cell>
        </row>
        <row r="255">
          <cell r="L255" t="str">
            <v>Sampang</v>
          </cell>
          <cell r="M255">
            <v>87.54</v>
          </cell>
          <cell r="N255">
            <v>60.1</v>
          </cell>
          <cell r="O255">
            <v>73.820000000000007</v>
          </cell>
        </row>
        <row r="256">
          <cell r="L256" t="str">
            <v>Pamekasan</v>
          </cell>
          <cell r="M256">
            <v>87.27</v>
          </cell>
          <cell r="N256">
            <v>71.42</v>
          </cell>
          <cell r="O256">
            <v>79.344999999999999</v>
          </cell>
        </row>
        <row r="257">
          <cell r="L257" t="str">
            <v>Sumenep</v>
          </cell>
          <cell r="M257">
            <v>87.24</v>
          </cell>
          <cell r="N257">
            <v>69.819999999999993</v>
          </cell>
          <cell r="O257">
            <v>78.53</v>
          </cell>
        </row>
        <row r="258">
          <cell r="L258" t="str">
            <v>Kota Kediri</v>
          </cell>
          <cell r="M258">
            <v>80.989999999999995</v>
          </cell>
          <cell r="N258">
            <v>60.55</v>
          </cell>
          <cell r="O258">
            <v>70.77</v>
          </cell>
        </row>
        <row r="259">
          <cell r="L259" t="str">
            <v>Kota Blitar</v>
          </cell>
          <cell r="M259">
            <v>82.02</v>
          </cell>
          <cell r="N259">
            <v>59.23</v>
          </cell>
          <cell r="O259">
            <v>70.625</v>
          </cell>
        </row>
        <row r="260">
          <cell r="L260" t="str">
            <v>Kota Malang</v>
          </cell>
          <cell r="M260">
            <v>79.5</v>
          </cell>
          <cell r="N260">
            <v>55.86</v>
          </cell>
          <cell r="O260">
            <v>67.680000000000007</v>
          </cell>
        </row>
        <row r="261">
          <cell r="L261" t="str">
            <v>Kota Probolinggo</v>
          </cell>
          <cell r="M261">
            <v>82.44</v>
          </cell>
          <cell r="N261">
            <v>53.09</v>
          </cell>
          <cell r="O261">
            <v>67.765000000000001</v>
          </cell>
        </row>
        <row r="262">
          <cell r="L262" t="str">
            <v>Kota Pasuruan</v>
          </cell>
          <cell r="M262">
            <v>82.98</v>
          </cell>
          <cell r="N262">
            <v>62.58</v>
          </cell>
          <cell r="O262">
            <v>72.78</v>
          </cell>
        </row>
        <row r="263">
          <cell r="L263" t="str">
            <v>Kota Mojokerto</v>
          </cell>
          <cell r="M263">
            <v>84.06</v>
          </cell>
          <cell r="N263">
            <v>61.61</v>
          </cell>
          <cell r="O263">
            <v>72.835000000000008</v>
          </cell>
        </row>
        <row r="264">
          <cell r="L264" t="str">
            <v>Kota Madiun</v>
          </cell>
          <cell r="M264">
            <v>78.87</v>
          </cell>
          <cell r="N264">
            <v>62.81</v>
          </cell>
          <cell r="O264">
            <v>70.84</v>
          </cell>
        </row>
        <row r="265">
          <cell r="L265" t="str">
            <v>Kota Surabaya</v>
          </cell>
          <cell r="M265">
            <v>81.92</v>
          </cell>
          <cell r="N265">
            <v>59.48</v>
          </cell>
          <cell r="O265">
            <v>70.7</v>
          </cell>
        </row>
        <row r="266">
          <cell r="L266" t="str">
            <v>Kota Batu</v>
          </cell>
          <cell r="M266">
            <v>87.33</v>
          </cell>
          <cell r="N266">
            <v>59.65</v>
          </cell>
          <cell r="O266">
            <v>73.489999999999995</v>
          </cell>
        </row>
        <row r="267">
          <cell r="L267" t="str">
            <v>Pandeglang</v>
          </cell>
          <cell r="M267">
            <v>83.45</v>
          </cell>
          <cell r="N267">
            <v>49.49</v>
          </cell>
          <cell r="O267">
            <v>66.47</v>
          </cell>
        </row>
        <row r="268">
          <cell r="L268" t="str">
            <v>Lebak</v>
          </cell>
          <cell r="M268">
            <v>87.26</v>
          </cell>
          <cell r="N268">
            <v>57.53</v>
          </cell>
          <cell r="O268">
            <v>72.39500000000001</v>
          </cell>
        </row>
        <row r="269">
          <cell r="L269" t="str">
            <v>Tangerang</v>
          </cell>
          <cell r="M269">
            <v>84.29</v>
          </cell>
          <cell r="N269">
            <v>46.78</v>
          </cell>
          <cell r="O269">
            <v>65.534999999999997</v>
          </cell>
        </row>
        <row r="270">
          <cell r="L270" t="str">
            <v>Serang</v>
          </cell>
          <cell r="M270">
            <v>83.05</v>
          </cell>
          <cell r="N270">
            <v>51.86</v>
          </cell>
          <cell r="O270">
            <v>67.454999999999998</v>
          </cell>
        </row>
        <row r="271">
          <cell r="L271" t="str">
            <v>Kota Tangerang</v>
          </cell>
          <cell r="M271">
            <v>82.13</v>
          </cell>
          <cell r="N271">
            <v>49.79</v>
          </cell>
          <cell r="O271">
            <v>65.959999999999994</v>
          </cell>
        </row>
        <row r="272">
          <cell r="L272" t="str">
            <v>Kota Cilegon</v>
          </cell>
          <cell r="M272">
            <v>78.06</v>
          </cell>
          <cell r="N272">
            <v>43.26</v>
          </cell>
          <cell r="O272">
            <v>60.66</v>
          </cell>
        </row>
        <row r="273">
          <cell r="L273" t="str">
            <v>Kota Serang</v>
          </cell>
          <cell r="M273">
            <v>84.38</v>
          </cell>
          <cell r="N273">
            <v>53.21</v>
          </cell>
          <cell r="O273">
            <v>68.795000000000002</v>
          </cell>
        </row>
        <row r="274">
          <cell r="L274" t="str">
            <v>Kota Tangerang Selatan</v>
          </cell>
          <cell r="M274">
            <v>76.58</v>
          </cell>
          <cell r="N274">
            <v>40.01</v>
          </cell>
          <cell r="O274">
            <v>58.295000000000002</v>
          </cell>
        </row>
        <row r="275">
          <cell r="L275" t="str">
            <v>Jembrana</v>
          </cell>
          <cell r="M275">
            <v>86.78</v>
          </cell>
          <cell r="N275">
            <v>73.489999999999995</v>
          </cell>
          <cell r="O275">
            <v>80.134999999999991</v>
          </cell>
        </row>
        <row r="276">
          <cell r="L276" t="str">
            <v>Tabanan</v>
          </cell>
          <cell r="M276">
            <v>83.17</v>
          </cell>
          <cell r="N276">
            <v>67.59</v>
          </cell>
          <cell r="O276">
            <v>75.38</v>
          </cell>
        </row>
        <row r="277">
          <cell r="L277" t="str">
            <v>Badung</v>
          </cell>
          <cell r="M277">
            <v>83.16</v>
          </cell>
          <cell r="N277">
            <v>68.069999999999993</v>
          </cell>
          <cell r="O277">
            <v>75.614999999999995</v>
          </cell>
        </row>
        <row r="278">
          <cell r="L278" t="str">
            <v>Gianyar</v>
          </cell>
          <cell r="M278">
            <v>83.7</v>
          </cell>
          <cell r="N278">
            <v>69.459999999999994</v>
          </cell>
          <cell r="O278">
            <v>76.58</v>
          </cell>
        </row>
        <row r="279">
          <cell r="L279" t="str">
            <v>Klungkung</v>
          </cell>
          <cell r="M279">
            <v>82.89</v>
          </cell>
          <cell r="N279">
            <v>71.58</v>
          </cell>
          <cell r="O279">
            <v>77.234999999999999</v>
          </cell>
        </row>
        <row r="280">
          <cell r="L280" t="str">
            <v>Bangli</v>
          </cell>
          <cell r="M280">
            <v>88.02</v>
          </cell>
          <cell r="N280">
            <v>76.489999999999995</v>
          </cell>
          <cell r="O280">
            <v>82.254999999999995</v>
          </cell>
        </row>
        <row r="281">
          <cell r="L281" t="str">
            <v>Karangasem</v>
          </cell>
          <cell r="M281">
            <v>87.41</v>
          </cell>
          <cell r="N281">
            <v>80.11</v>
          </cell>
          <cell r="O281">
            <v>83.759999999999991</v>
          </cell>
        </row>
        <row r="282">
          <cell r="L282" t="str">
            <v>Buleleng</v>
          </cell>
          <cell r="M282">
            <v>84.77</v>
          </cell>
          <cell r="N282">
            <v>74.78</v>
          </cell>
          <cell r="O282">
            <v>79.775000000000006</v>
          </cell>
        </row>
        <row r="283">
          <cell r="L283" t="str">
            <v>Kota Denpasar</v>
          </cell>
          <cell r="M283">
            <v>78.8</v>
          </cell>
          <cell r="N283">
            <v>60.5</v>
          </cell>
          <cell r="O283">
            <v>69.650000000000006</v>
          </cell>
        </row>
        <row r="284">
          <cell r="L284" t="str">
            <v>Lombok Barat</v>
          </cell>
          <cell r="M284">
            <v>87.97</v>
          </cell>
          <cell r="N284">
            <v>64.47</v>
          </cell>
          <cell r="O284">
            <v>76.22</v>
          </cell>
        </row>
        <row r="285">
          <cell r="L285" t="str">
            <v>Lombok Tengah</v>
          </cell>
          <cell r="M285">
            <v>86.88</v>
          </cell>
          <cell r="N285">
            <v>71.38</v>
          </cell>
          <cell r="O285">
            <v>79.13</v>
          </cell>
        </row>
        <row r="286">
          <cell r="L286" t="str">
            <v>Lombok Timur</v>
          </cell>
          <cell r="M286">
            <v>86.95</v>
          </cell>
          <cell r="N286">
            <v>69.94</v>
          </cell>
          <cell r="O286">
            <v>78.444999999999993</v>
          </cell>
        </row>
        <row r="287">
          <cell r="L287" t="str">
            <v>Sumbawa</v>
          </cell>
          <cell r="M287">
            <v>83.45</v>
          </cell>
          <cell r="N287">
            <v>64.459999999999994</v>
          </cell>
          <cell r="O287">
            <v>73.954999999999998</v>
          </cell>
        </row>
        <row r="288">
          <cell r="L288" t="str">
            <v>Dompu</v>
          </cell>
          <cell r="M288">
            <v>86.66</v>
          </cell>
          <cell r="N288">
            <v>73.959999999999994</v>
          </cell>
          <cell r="O288">
            <v>80.31</v>
          </cell>
        </row>
        <row r="289">
          <cell r="L289" t="str">
            <v>Bima</v>
          </cell>
          <cell r="M289">
            <v>86.81</v>
          </cell>
          <cell r="N289">
            <v>69.23</v>
          </cell>
          <cell r="O289">
            <v>78.02000000000001</v>
          </cell>
        </row>
        <row r="290">
          <cell r="L290" t="str">
            <v>Sumbawa Barat</v>
          </cell>
          <cell r="M290">
            <v>87.81</v>
          </cell>
          <cell r="N290">
            <v>63.59</v>
          </cell>
          <cell r="O290">
            <v>75.7</v>
          </cell>
        </row>
        <row r="291">
          <cell r="L291" t="str">
            <v>Lombok Utara</v>
          </cell>
          <cell r="M291">
            <v>91.84</v>
          </cell>
          <cell r="N291">
            <v>69.91</v>
          </cell>
          <cell r="O291">
            <v>80.875</v>
          </cell>
        </row>
        <row r="292">
          <cell r="L292" t="str">
            <v>Kota Mataram</v>
          </cell>
          <cell r="M292">
            <v>82.48</v>
          </cell>
          <cell r="N292">
            <v>61.41</v>
          </cell>
          <cell r="O292">
            <v>71.944999999999993</v>
          </cell>
        </row>
        <row r="293">
          <cell r="L293" t="str">
            <v>Kota Bima</v>
          </cell>
          <cell r="M293">
            <v>82.15</v>
          </cell>
          <cell r="N293">
            <v>64.58</v>
          </cell>
          <cell r="O293">
            <v>73.365000000000009</v>
          </cell>
        </row>
        <row r="294">
          <cell r="L294" t="str">
            <v>Sumba Barat</v>
          </cell>
          <cell r="M294">
            <v>81.47</v>
          </cell>
          <cell r="N294">
            <v>72.69</v>
          </cell>
          <cell r="O294">
            <v>77.08</v>
          </cell>
        </row>
        <row r="295">
          <cell r="L295" t="str">
            <v>Sumba Timur</v>
          </cell>
          <cell r="M295">
            <v>81.34</v>
          </cell>
          <cell r="N295">
            <v>67.17</v>
          </cell>
          <cell r="O295">
            <v>74.254999999999995</v>
          </cell>
        </row>
        <row r="296">
          <cell r="L296" t="str">
            <v>Kupang</v>
          </cell>
          <cell r="M296">
            <v>82.91</v>
          </cell>
          <cell r="N296">
            <v>55.44</v>
          </cell>
          <cell r="O296">
            <v>69.174999999999997</v>
          </cell>
        </row>
        <row r="297">
          <cell r="L297" t="str">
            <v>Timor Tengah Selatan</v>
          </cell>
          <cell r="M297">
            <v>93.2</v>
          </cell>
          <cell r="N297">
            <v>81.81</v>
          </cell>
          <cell r="O297">
            <v>87.504999999999995</v>
          </cell>
        </row>
        <row r="298">
          <cell r="L298" t="str">
            <v>Timor Tengah Utara</v>
          </cell>
          <cell r="M298">
            <v>86.81</v>
          </cell>
          <cell r="N298">
            <v>78.52</v>
          </cell>
          <cell r="O298">
            <v>82.664999999999992</v>
          </cell>
        </row>
        <row r="299">
          <cell r="L299" t="str">
            <v>Belu</v>
          </cell>
          <cell r="M299">
            <v>89.36</v>
          </cell>
          <cell r="N299">
            <v>70.44</v>
          </cell>
          <cell r="O299">
            <v>79.900000000000006</v>
          </cell>
        </row>
        <row r="300">
          <cell r="L300" t="str">
            <v>Alor</v>
          </cell>
          <cell r="M300">
            <v>84.31</v>
          </cell>
          <cell r="N300">
            <v>78.13</v>
          </cell>
          <cell r="O300">
            <v>81.22</v>
          </cell>
        </row>
        <row r="301">
          <cell r="L301" t="str">
            <v>Lembata</v>
          </cell>
          <cell r="M301">
            <v>88.57</v>
          </cell>
          <cell r="N301">
            <v>79.08</v>
          </cell>
          <cell r="O301">
            <v>83.824999999999989</v>
          </cell>
        </row>
        <row r="302">
          <cell r="L302" t="str">
            <v>Flores Timur</v>
          </cell>
          <cell r="M302">
            <v>81.56</v>
          </cell>
          <cell r="N302">
            <v>67.42</v>
          </cell>
          <cell r="O302">
            <v>74.490000000000009</v>
          </cell>
        </row>
        <row r="303">
          <cell r="L303" t="str">
            <v>Sikka</v>
          </cell>
          <cell r="M303">
            <v>82.23</v>
          </cell>
          <cell r="N303">
            <v>66.47</v>
          </cell>
          <cell r="O303">
            <v>74.349999999999994</v>
          </cell>
        </row>
        <row r="304">
          <cell r="L304" t="str">
            <v>Ende</v>
          </cell>
          <cell r="M304">
            <v>82.04</v>
          </cell>
          <cell r="N304">
            <v>72.86</v>
          </cell>
          <cell r="O304">
            <v>77.45</v>
          </cell>
        </row>
        <row r="305">
          <cell r="L305" t="str">
            <v>Ngada</v>
          </cell>
          <cell r="M305">
            <v>89.36</v>
          </cell>
          <cell r="N305">
            <v>83.57</v>
          </cell>
          <cell r="O305">
            <v>86.465000000000003</v>
          </cell>
        </row>
        <row r="306">
          <cell r="L306" t="str">
            <v>Manggarai</v>
          </cell>
          <cell r="M306">
            <v>88.28</v>
          </cell>
          <cell r="N306">
            <v>78.040000000000006</v>
          </cell>
          <cell r="O306">
            <v>83.16</v>
          </cell>
        </row>
        <row r="307">
          <cell r="L307" t="str">
            <v>Rote Ndao</v>
          </cell>
          <cell r="M307">
            <v>82.42</v>
          </cell>
          <cell r="N307">
            <v>61.14</v>
          </cell>
          <cell r="O307">
            <v>71.78</v>
          </cell>
        </row>
        <row r="308">
          <cell r="L308" t="str">
            <v>Manggarai Barat</v>
          </cell>
          <cell r="M308">
            <v>83.81</v>
          </cell>
          <cell r="N308">
            <v>69.56</v>
          </cell>
          <cell r="O308">
            <v>76.685000000000002</v>
          </cell>
        </row>
        <row r="309">
          <cell r="L309" t="str">
            <v>Sumba Tengah</v>
          </cell>
          <cell r="M309">
            <v>83.82</v>
          </cell>
          <cell r="N309">
            <v>69.099999999999994</v>
          </cell>
          <cell r="O309">
            <v>76.459999999999994</v>
          </cell>
        </row>
        <row r="310">
          <cell r="L310" t="str">
            <v>Sumba Barat Daya</v>
          </cell>
          <cell r="M310">
            <v>86.28</v>
          </cell>
          <cell r="N310">
            <v>70.78</v>
          </cell>
          <cell r="O310">
            <v>78.53</v>
          </cell>
        </row>
        <row r="311">
          <cell r="L311" t="str">
            <v>Nagekeo</v>
          </cell>
          <cell r="M311">
            <v>85.11</v>
          </cell>
          <cell r="N311">
            <v>67.33</v>
          </cell>
          <cell r="O311">
            <v>76.22</v>
          </cell>
        </row>
        <row r="312">
          <cell r="L312" t="str">
            <v>Manggarai Timur</v>
          </cell>
          <cell r="M312">
            <v>88.16</v>
          </cell>
          <cell r="N312">
            <v>78.47</v>
          </cell>
          <cell r="O312">
            <v>83.314999999999998</v>
          </cell>
        </row>
        <row r="313">
          <cell r="L313" t="str">
            <v>Sabu Raijua</v>
          </cell>
          <cell r="M313">
            <v>82.85</v>
          </cell>
          <cell r="N313">
            <v>71.680000000000007</v>
          </cell>
          <cell r="O313">
            <v>77.265000000000001</v>
          </cell>
        </row>
        <row r="314">
          <cell r="L314" t="str">
            <v>Malaka</v>
          </cell>
          <cell r="M314">
            <v>76.63</v>
          </cell>
          <cell r="N314">
            <v>67.680000000000007</v>
          </cell>
          <cell r="O314">
            <v>72.155000000000001</v>
          </cell>
        </row>
        <row r="315">
          <cell r="L315" t="str">
            <v>Kota Kupang</v>
          </cell>
          <cell r="M315">
            <v>79.099999999999994</v>
          </cell>
          <cell r="N315">
            <v>54.86</v>
          </cell>
          <cell r="O315">
            <v>66.97999999999999</v>
          </cell>
        </row>
        <row r="316">
          <cell r="L316" t="str">
            <v>Sambas</v>
          </cell>
          <cell r="M316">
            <v>85.2</v>
          </cell>
          <cell r="N316">
            <v>59.91</v>
          </cell>
          <cell r="O316">
            <v>72.555000000000007</v>
          </cell>
        </row>
        <row r="317">
          <cell r="L317" t="str">
            <v>Bengkayang</v>
          </cell>
          <cell r="M317">
            <v>86.85</v>
          </cell>
          <cell r="N317">
            <v>56.88</v>
          </cell>
          <cell r="O317">
            <v>71.864999999999995</v>
          </cell>
        </row>
        <row r="318">
          <cell r="L318" t="str">
            <v>Landak</v>
          </cell>
          <cell r="M318">
            <v>85.61</v>
          </cell>
          <cell r="N318">
            <v>56.55</v>
          </cell>
          <cell r="O318">
            <v>71.08</v>
          </cell>
        </row>
        <row r="319">
          <cell r="L319" t="str">
            <v>Mempawah</v>
          </cell>
          <cell r="M319">
            <v>88.88</v>
          </cell>
          <cell r="N319">
            <v>56.54</v>
          </cell>
          <cell r="O319">
            <v>72.709999999999994</v>
          </cell>
        </row>
        <row r="320">
          <cell r="L320" t="str">
            <v>Sanggau</v>
          </cell>
          <cell r="M320">
            <v>87.44</v>
          </cell>
          <cell r="N320">
            <v>54.67</v>
          </cell>
          <cell r="O320">
            <v>71.055000000000007</v>
          </cell>
        </row>
        <row r="321">
          <cell r="L321" t="str">
            <v>Ketapang</v>
          </cell>
          <cell r="M321">
            <v>89.57</v>
          </cell>
          <cell r="N321">
            <v>41.81</v>
          </cell>
          <cell r="O321">
            <v>65.69</v>
          </cell>
        </row>
        <row r="322">
          <cell r="L322" t="str">
            <v>Sintang</v>
          </cell>
          <cell r="M322">
            <v>85.87</v>
          </cell>
          <cell r="N322">
            <v>63.22</v>
          </cell>
          <cell r="O322">
            <v>74.545000000000002</v>
          </cell>
        </row>
        <row r="323">
          <cell r="L323" t="str">
            <v>Kapuas Hulu</v>
          </cell>
          <cell r="M323">
            <v>86.15</v>
          </cell>
          <cell r="N323">
            <v>65.25</v>
          </cell>
          <cell r="O323">
            <v>75.7</v>
          </cell>
        </row>
        <row r="324">
          <cell r="L324" t="str">
            <v>Sekadau</v>
          </cell>
          <cell r="M324">
            <v>90.71</v>
          </cell>
          <cell r="N324">
            <v>61.41</v>
          </cell>
          <cell r="O324">
            <v>76.06</v>
          </cell>
        </row>
        <row r="325">
          <cell r="L325" t="str">
            <v>Melawi</v>
          </cell>
          <cell r="M325">
            <v>88.96</v>
          </cell>
          <cell r="N325">
            <v>60.51</v>
          </cell>
          <cell r="O325">
            <v>74.734999999999999</v>
          </cell>
        </row>
        <row r="326">
          <cell r="L326" t="str">
            <v>Kayong Utara</v>
          </cell>
          <cell r="M326">
            <v>86.82</v>
          </cell>
          <cell r="N326">
            <v>55.67</v>
          </cell>
          <cell r="O326">
            <v>71.245000000000005</v>
          </cell>
        </row>
        <row r="327">
          <cell r="L327" t="str">
            <v>Kubu Raya</v>
          </cell>
          <cell r="M327">
            <v>87.66</v>
          </cell>
          <cell r="N327">
            <v>43.07</v>
          </cell>
          <cell r="O327">
            <v>65.364999999999995</v>
          </cell>
        </row>
        <row r="328">
          <cell r="L328" t="str">
            <v>Kota Pontianak</v>
          </cell>
          <cell r="M328">
            <v>78.59</v>
          </cell>
          <cell r="N328">
            <v>50.68</v>
          </cell>
          <cell r="O328">
            <v>64.635000000000005</v>
          </cell>
        </row>
        <row r="329">
          <cell r="L329" t="str">
            <v>Kota Singkawang</v>
          </cell>
          <cell r="M329">
            <v>81.13</v>
          </cell>
          <cell r="N329">
            <v>50.46</v>
          </cell>
          <cell r="O329">
            <v>65.795000000000002</v>
          </cell>
        </row>
        <row r="330">
          <cell r="L330" t="str">
            <v>Kotawaringin Barat</v>
          </cell>
          <cell r="M330">
            <v>88.89</v>
          </cell>
          <cell r="N330">
            <v>47.87</v>
          </cell>
          <cell r="O330">
            <v>68.38</v>
          </cell>
        </row>
        <row r="331">
          <cell r="L331" t="str">
            <v>Kotawaringin Timur</v>
          </cell>
          <cell r="M331">
            <v>85.63</v>
          </cell>
          <cell r="N331">
            <v>40.770000000000003</v>
          </cell>
          <cell r="O331">
            <v>63.2</v>
          </cell>
        </row>
        <row r="332">
          <cell r="L332" t="str">
            <v>Kapuas</v>
          </cell>
          <cell r="M332">
            <v>88.1</v>
          </cell>
          <cell r="N332">
            <v>53.9</v>
          </cell>
          <cell r="O332">
            <v>71</v>
          </cell>
        </row>
        <row r="333">
          <cell r="L333" t="str">
            <v>Barito Selatan</v>
          </cell>
          <cell r="M333">
            <v>84.54</v>
          </cell>
          <cell r="N333">
            <v>52.58</v>
          </cell>
          <cell r="O333">
            <v>68.56</v>
          </cell>
        </row>
        <row r="334">
          <cell r="L334" t="str">
            <v>Barito Utara</v>
          </cell>
          <cell r="M334">
            <v>84.87</v>
          </cell>
          <cell r="N334">
            <v>55.61</v>
          </cell>
          <cell r="O334">
            <v>70.240000000000009</v>
          </cell>
        </row>
        <row r="335">
          <cell r="L335" t="str">
            <v>Sukamara</v>
          </cell>
          <cell r="M335">
            <v>85.39</v>
          </cell>
          <cell r="N335">
            <v>52.27</v>
          </cell>
          <cell r="O335">
            <v>68.83</v>
          </cell>
        </row>
        <row r="336">
          <cell r="L336" t="str">
            <v>Lamandau</v>
          </cell>
          <cell r="M336">
            <v>87.99</v>
          </cell>
          <cell r="N336">
            <v>53.78</v>
          </cell>
          <cell r="O336">
            <v>70.884999999999991</v>
          </cell>
        </row>
        <row r="337">
          <cell r="L337" t="str">
            <v>Seruyan</v>
          </cell>
          <cell r="M337">
            <v>89.33</v>
          </cell>
          <cell r="N337">
            <v>48.06</v>
          </cell>
          <cell r="O337">
            <v>68.694999999999993</v>
          </cell>
        </row>
        <row r="338">
          <cell r="L338" t="str">
            <v>Katingan</v>
          </cell>
          <cell r="M338">
            <v>85.96</v>
          </cell>
          <cell r="N338">
            <v>47.82</v>
          </cell>
          <cell r="O338">
            <v>66.89</v>
          </cell>
        </row>
        <row r="339">
          <cell r="L339" t="str">
            <v>Pulang Pisau</v>
          </cell>
          <cell r="M339">
            <v>90.03</v>
          </cell>
          <cell r="N339">
            <v>53.13</v>
          </cell>
          <cell r="O339">
            <v>71.58</v>
          </cell>
        </row>
        <row r="340">
          <cell r="L340" t="str">
            <v>Gunung Mas</v>
          </cell>
          <cell r="M340">
            <v>87.72</v>
          </cell>
          <cell r="N340">
            <v>47.35</v>
          </cell>
          <cell r="O340">
            <v>67.534999999999997</v>
          </cell>
        </row>
        <row r="341">
          <cell r="L341" t="str">
            <v>Barito Timur</v>
          </cell>
          <cell r="M341">
            <v>87.71</v>
          </cell>
          <cell r="N341">
            <v>68.91</v>
          </cell>
          <cell r="O341">
            <v>78.31</v>
          </cell>
        </row>
        <row r="342">
          <cell r="L342" t="str">
            <v>Murung Raya</v>
          </cell>
          <cell r="M342">
            <v>82.49</v>
          </cell>
          <cell r="N342">
            <v>37.92</v>
          </cell>
          <cell r="O342">
            <v>60.204999999999998</v>
          </cell>
        </row>
        <row r="343">
          <cell r="L343" t="str">
            <v>Kota Palangka Raya</v>
          </cell>
          <cell r="M343">
            <v>82.15</v>
          </cell>
          <cell r="N343">
            <v>49.37</v>
          </cell>
          <cell r="O343">
            <v>65.760000000000005</v>
          </cell>
        </row>
        <row r="344">
          <cell r="L344" t="str">
            <v>Tanah Laut</v>
          </cell>
          <cell r="M344">
            <v>88.96</v>
          </cell>
          <cell r="N344">
            <v>56.4</v>
          </cell>
          <cell r="O344">
            <v>72.679999999999993</v>
          </cell>
        </row>
        <row r="345">
          <cell r="L345" t="str">
            <v>Kotabaru</v>
          </cell>
          <cell r="M345">
            <v>85.02</v>
          </cell>
          <cell r="N345">
            <v>45.25</v>
          </cell>
          <cell r="O345">
            <v>65.134999999999991</v>
          </cell>
        </row>
        <row r="346">
          <cell r="L346" t="str">
            <v>Banjar</v>
          </cell>
          <cell r="M346">
            <v>86.42</v>
          </cell>
          <cell r="N346">
            <v>55.45</v>
          </cell>
          <cell r="O346">
            <v>70.935000000000002</v>
          </cell>
        </row>
        <row r="347">
          <cell r="L347" t="str">
            <v>Barito Kuala</v>
          </cell>
          <cell r="M347">
            <v>88.92</v>
          </cell>
          <cell r="N347">
            <v>57.66</v>
          </cell>
          <cell r="O347">
            <v>73.289999999999992</v>
          </cell>
        </row>
        <row r="348">
          <cell r="L348" t="str">
            <v>Tapin</v>
          </cell>
          <cell r="M348">
            <v>83.28</v>
          </cell>
          <cell r="N348">
            <v>53.03</v>
          </cell>
          <cell r="O348">
            <v>68.155000000000001</v>
          </cell>
        </row>
        <row r="349">
          <cell r="L349" t="str">
            <v>Hulu Sungai Selatan</v>
          </cell>
          <cell r="M349">
            <v>87.24</v>
          </cell>
          <cell r="N349">
            <v>64.319999999999993</v>
          </cell>
          <cell r="O349">
            <v>75.78</v>
          </cell>
        </row>
        <row r="350">
          <cell r="L350" t="str">
            <v>Hulu Sungai Tengah</v>
          </cell>
          <cell r="M350">
            <v>85.5</v>
          </cell>
          <cell r="N350">
            <v>63.51</v>
          </cell>
          <cell r="O350">
            <v>74.504999999999995</v>
          </cell>
        </row>
        <row r="351">
          <cell r="L351" t="str">
            <v>Hulu Sungai Utara</v>
          </cell>
          <cell r="M351">
            <v>84.75</v>
          </cell>
          <cell r="N351">
            <v>63.09</v>
          </cell>
          <cell r="O351">
            <v>73.92</v>
          </cell>
        </row>
        <row r="352">
          <cell r="L352" t="str">
            <v>Tabalong</v>
          </cell>
          <cell r="M352">
            <v>85.03</v>
          </cell>
          <cell r="N352">
            <v>63.08</v>
          </cell>
          <cell r="O352">
            <v>74.055000000000007</v>
          </cell>
        </row>
        <row r="353">
          <cell r="L353" t="str">
            <v>Tanah Bumbu</v>
          </cell>
          <cell r="M353">
            <v>87.02</v>
          </cell>
          <cell r="N353">
            <v>46.8</v>
          </cell>
          <cell r="O353">
            <v>66.91</v>
          </cell>
        </row>
        <row r="354">
          <cell r="L354" t="str">
            <v>Balangan</v>
          </cell>
          <cell r="M354">
            <v>86.86</v>
          </cell>
          <cell r="N354">
            <v>66.81</v>
          </cell>
          <cell r="O354">
            <v>76.835000000000008</v>
          </cell>
        </row>
        <row r="355">
          <cell r="L355" t="str">
            <v>Kota Banjarmasin</v>
          </cell>
          <cell r="M355">
            <v>77.16</v>
          </cell>
          <cell r="N355">
            <v>50.93</v>
          </cell>
          <cell r="O355">
            <v>64.045000000000002</v>
          </cell>
        </row>
        <row r="356">
          <cell r="L356" t="str">
            <v>Kota Banjar Baru</v>
          </cell>
          <cell r="M356">
            <v>81.87</v>
          </cell>
          <cell r="N356">
            <v>52.65</v>
          </cell>
          <cell r="O356">
            <v>67.260000000000005</v>
          </cell>
        </row>
        <row r="357">
          <cell r="L357" t="str">
            <v>Paser</v>
          </cell>
          <cell r="M357">
            <v>89.43</v>
          </cell>
          <cell r="N357">
            <v>46.22</v>
          </cell>
          <cell r="O357">
            <v>67.825000000000003</v>
          </cell>
        </row>
        <row r="358">
          <cell r="L358" t="str">
            <v>Kutai Barat</v>
          </cell>
          <cell r="M358">
            <v>83.77</v>
          </cell>
          <cell r="N358">
            <v>55.1</v>
          </cell>
          <cell r="O358">
            <v>69.435000000000002</v>
          </cell>
        </row>
        <row r="359">
          <cell r="L359" t="str">
            <v>Kutai Kartanegara</v>
          </cell>
          <cell r="M359">
            <v>83.85</v>
          </cell>
          <cell r="N359">
            <v>44.86</v>
          </cell>
          <cell r="O359">
            <v>64.35499999999999</v>
          </cell>
        </row>
        <row r="360">
          <cell r="L360" t="str">
            <v>Kutai Timur</v>
          </cell>
          <cell r="M360">
            <v>86.25</v>
          </cell>
          <cell r="N360">
            <v>43.71</v>
          </cell>
          <cell r="O360">
            <v>64.98</v>
          </cell>
        </row>
        <row r="361">
          <cell r="L361" t="str">
            <v>Berau</v>
          </cell>
          <cell r="M361">
            <v>86.02</v>
          </cell>
          <cell r="N361">
            <v>46.32</v>
          </cell>
          <cell r="O361">
            <v>66.17</v>
          </cell>
        </row>
        <row r="362">
          <cell r="L362" t="str">
            <v>Penajam Paser Utara</v>
          </cell>
          <cell r="M362">
            <v>88.5</v>
          </cell>
          <cell r="N362">
            <v>56.79</v>
          </cell>
          <cell r="O362">
            <v>72.644999999999996</v>
          </cell>
        </row>
        <row r="363">
          <cell r="L363" t="str">
            <v>Mahakam Ulu</v>
          </cell>
          <cell r="M363">
            <v>81.17</v>
          </cell>
          <cell r="N363">
            <v>57.98</v>
          </cell>
          <cell r="O363">
            <v>69.575000000000003</v>
          </cell>
        </row>
        <row r="364">
          <cell r="L364" t="str">
            <v>Kota Balikpapan</v>
          </cell>
          <cell r="M364">
            <v>80.33</v>
          </cell>
          <cell r="N364">
            <v>52.71</v>
          </cell>
          <cell r="O364">
            <v>66.52</v>
          </cell>
        </row>
        <row r="365">
          <cell r="L365" t="str">
            <v>Kota Samarinda</v>
          </cell>
          <cell r="M365">
            <v>80.87</v>
          </cell>
          <cell r="N365">
            <v>49.7</v>
          </cell>
          <cell r="O365">
            <v>65.284999999999997</v>
          </cell>
        </row>
        <row r="366">
          <cell r="L366" t="str">
            <v>Kota Bontang</v>
          </cell>
          <cell r="M366">
            <v>84.11</v>
          </cell>
          <cell r="N366">
            <v>50.72</v>
          </cell>
          <cell r="O366">
            <v>67.414999999999992</v>
          </cell>
        </row>
        <row r="367">
          <cell r="L367" t="str">
            <v>Malinau</v>
          </cell>
          <cell r="M367">
            <v>86.54</v>
          </cell>
          <cell r="N367">
            <v>57.83</v>
          </cell>
          <cell r="O367">
            <v>72.185000000000002</v>
          </cell>
        </row>
        <row r="368">
          <cell r="L368" t="str">
            <v>Bulungan</v>
          </cell>
          <cell r="M368">
            <v>87.8</v>
          </cell>
          <cell r="N368">
            <v>53.51</v>
          </cell>
          <cell r="O368">
            <v>70.655000000000001</v>
          </cell>
        </row>
        <row r="369">
          <cell r="L369" t="str">
            <v>Tana Tidung</v>
          </cell>
          <cell r="M369">
            <v>87.49</v>
          </cell>
          <cell r="N369">
            <v>58.41</v>
          </cell>
          <cell r="O369">
            <v>72.949999999999989</v>
          </cell>
        </row>
        <row r="370">
          <cell r="L370" t="str">
            <v>Nunukan</v>
          </cell>
          <cell r="M370">
            <v>90.74</v>
          </cell>
          <cell r="N370">
            <v>58.03</v>
          </cell>
          <cell r="O370">
            <v>74.384999999999991</v>
          </cell>
        </row>
        <row r="371">
          <cell r="L371" t="str">
            <v>Kota Tarakan</v>
          </cell>
          <cell r="M371">
            <v>81.88</v>
          </cell>
          <cell r="N371">
            <v>44</v>
          </cell>
          <cell r="O371">
            <v>62.94</v>
          </cell>
        </row>
        <row r="372">
          <cell r="L372" t="str">
            <v>Bolaang Mongondow</v>
          </cell>
          <cell r="M372">
            <v>86.06</v>
          </cell>
          <cell r="N372">
            <v>48.52</v>
          </cell>
          <cell r="O372">
            <v>67.290000000000006</v>
          </cell>
        </row>
        <row r="373">
          <cell r="L373" t="str">
            <v>Minahasa</v>
          </cell>
          <cell r="M373">
            <v>79.84</v>
          </cell>
          <cell r="N373">
            <v>49.54</v>
          </cell>
          <cell r="O373">
            <v>64.69</v>
          </cell>
        </row>
        <row r="374">
          <cell r="L374" t="str">
            <v>Kepulauan Sangihe</v>
          </cell>
          <cell r="M374">
            <v>80.64</v>
          </cell>
          <cell r="N374">
            <v>45.18</v>
          </cell>
          <cell r="O374">
            <v>62.91</v>
          </cell>
        </row>
        <row r="375">
          <cell r="L375" t="str">
            <v>Kepulauan Talaud</v>
          </cell>
          <cell r="M375">
            <v>80.400000000000006</v>
          </cell>
          <cell r="N375">
            <v>57.74</v>
          </cell>
          <cell r="O375">
            <v>69.070000000000007</v>
          </cell>
        </row>
        <row r="376">
          <cell r="L376" t="str">
            <v>Minahasa Selatan</v>
          </cell>
          <cell r="M376">
            <v>84</v>
          </cell>
          <cell r="N376">
            <v>48.62</v>
          </cell>
          <cell r="O376">
            <v>66.31</v>
          </cell>
        </row>
        <row r="377">
          <cell r="L377" t="str">
            <v>Minahasa Utara</v>
          </cell>
          <cell r="M377">
            <v>82.7</v>
          </cell>
          <cell r="N377">
            <v>43.66</v>
          </cell>
          <cell r="O377">
            <v>63.18</v>
          </cell>
        </row>
        <row r="378">
          <cell r="L378" t="str">
            <v>Bolaang Mongondow Utara</v>
          </cell>
          <cell r="M378">
            <v>84.19</v>
          </cell>
          <cell r="N378">
            <v>49.42</v>
          </cell>
          <cell r="O378">
            <v>66.805000000000007</v>
          </cell>
        </row>
        <row r="379">
          <cell r="L379" t="str">
            <v>Siau Tagulandang Biaro</v>
          </cell>
          <cell r="M379">
            <v>83.78</v>
          </cell>
          <cell r="N379">
            <v>55.19</v>
          </cell>
          <cell r="O379">
            <v>69.484999999999999</v>
          </cell>
        </row>
        <row r="380">
          <cell r="L380" t="str">
            <v>Minahasa Tenggara</v>
          </cell>
          <cell r="M380">
            <v>87.19</v>
          </cell>
          <cell r="N380">
            <v>57.93</v>
          </cell>
          <cell r="O380">
            <v>72.56</v>
          </cell>
        </row>
        <row r="381">
          <cell r="L381" t="str">
            <v>Bolaang Mongondow Selatan</v>
          </cell>
          <cell r="M381">
            <v>87.3</v>
          </cell>
          <cell r="N381">
            <v>44.36</v>
          </cell>
          <cell r="O381">
            <v>65.83</v>
          </cell>
        </row>
        <row r="382">
          <cell r="L382" t="str">
            <v>Bolaang Mongondow Timur</v>
          </cell>
          <cell r="M382">
            <v>85.46</v>
          </cell>
          <cell r="N382">
            <v>37.76</v>
          </cell>
          <cell r="O382">
            <v>61.61</v>
          </cell>
        </row>
        <row r="383">
          <cell r="L383" t="str">
            <v>Kota Manado</v>
          </cell>
          <cell r="M383">
            <v>76.34</v>
          </cell>
          <cell r="N383">
            <v>50.09</v>
          </cell>
          <cell r="O383">
            <v>63.215000000000003</v>
          </cell>
        </row>
        <row r="384">
          <cell r="L384" t="str">
            <v>Kota Bitung</v>
          </cell>
          <cell r="M384">
            <v>82.61</v>
          </cell>
          <cell r="N384">
            <v>52.39</v>
          </cell>
          <cell r="O384">
            <v>67.5</v>
          </cell>
        </row>
        <row r="385">
          <cell r="L385" t="str">
            <v>Kota Tomohon</v>
          </cell>
          <cell r="M385">
            <v>76.36</v>
          </cell>
          <cell r="N385">
            <v>50.92</v>
          </cell>
          <cell r="O385">
            <v>63.64</v>
          </cell>
        </row>
        <row r="386">
          <cell r="L386" t="str">
            <v>Kota Kotamobagu</v>
          </cell>
          <cell r="M386">
            <v>86.25</v>
          </cell>
          <cell r="N386">
            <v>55.52</v>
          </cell>
          <cell r="O386">
            <v>70.885000000000005</v>
          </cell>
        </row>
        <row r="387">
          <cell r="L387" t="str">
            <v>Banggai Kepulauan</v>
          </cell>
          <cell r="M387">
            <v>84.89</v>
          </cell>
          <cell r="N387">
            <v>61.84</v>
          </cell>
          <cell r="O387">
            <v>73.365000000000009</v>
          </cell>
        </row>
        <row r="388">
          <cell r="L388" t="str">
            <v>Banggai</v>
          </cell>
          <cell r="M388">
            <v>86.46</v>
          </cell>
          <cell r="N388">
            <v>56.41</v>
          </cell>
          <cell r="O388">
            <v>71.435000000000002</v>
          </cell>
        </row>
        <row r="389">
          <cell r="L389" t="str">
            <v>Morowali</v>
          </cell>
          <cell r="M389">
            <v>85.2</v>
          </cell>
          <cell r="N389">
            <v>30.82</v>
          </cell>
          <cell r="O389">
            <v>58.010000000000005</v>
          </cell>
        </row>
        <row r="390">
          <cell r="L390" t="str">
            <v>Poso</v>
          </cell>
          <cell r="M390">
            <v>82.17</v>
          </cell>
          <cell r="N390">
            <v>54.34</v>
          </cell>
          <cell r="O390">
            <v>68.254999999999995</v>
          </cell>
        </row>
        <row r="391">
          <cell r="L391" t="str">
            <v>Donggala</v>
          </cell>
          <cell r="M391">
            <v>85.01</v>
          </cell>
          <cell r="N391">
            <v>50.77</v>
          </cell>
          <cell r="O391">
            <v>67.89</v>
          </cell>
        </row>
        <row r="392">
          <cell r="L392" t="str">
            <v>Toli-Toli</v>
          </cell>
          <cell r="M392">
            <v>87.54</v>
          </cell>
          <cell r="N392">
            <v>49.58</v>
          </cell>
          <cell r="O392">
            <v>68.56</v>
          </cell>
        </row>
        <row r="393">
          <cell r="L393" t="str">
            <v>Buol</v>
          </cell>
          <cell r="M393">
            <v>85.95</v>
          </cell>
          <cell r="N393">
            <v>54.36</v>
          </cell>
          <cell r="O393">
            <v>70.155000000000001</v>
          </cell>
        </row>
        <row r="394">
          <cell r="L394" t="str">
            <v>Parigi Moutong</v>
          </cell>
          <cell r="M394">
            <v>88.91</v>
          </cell>
          <cell r="N394">
            <v>59.79</v>
          </cell>
          <cell r="O394">
            <v>74.349999999999994</v>
          </cell>
        </row>
        <row r="395">
          <cell r="L395" t="str">
            <v>Tojo Una-Una</v>
          </cell>
          <cell r="M395">
            <v>88.83</v>
          </cell>
          <cell r="N395">
            <v>60.41</v>
          </cell>
          <cell r="O395">
            <v>74.62</v>
          </cell>
        </row>
        <row r="396">
          <cell r="L396" t="str">
            <v>Sigi</v>
          </cell>
          <cell r="M396">
            <v>86.93</v>
          </cell>
          <cell r="N396">
            <v>64.430000000000007</v>
          </cell>
          <cell r="O396">
            <v>75.680000000000007</v>
          </cell>
        </row>
        <row r="397">
          <cell r="L397" t="str">
            <v>Banggai Laut</v>
          </cell>
          <cell r="M397">
            <v>85.2</v>
          </cell>
          <cell r="N397">
            <v>52.51</v>
          </cell>
          <cell r="O397">
            <v>68.855000000000004</v>
          </cell>
        </row>
        <row r="398">
          <cell r="L398" t="str">
            <v>Morowali Utara</v>
          </cell>
          <cell r="M398">
            <v>84.72</v>
          </cell>
          <cell r="N398">
            <v>54.5</v>
          </cell>
          <cell r="O398">
            <v>69.61</v>
          </cell>
        </row>
        <row r="399">
          <cell r="L399" t="str">
            <v>Kota Palu</v>
          </cell>
          <cell r="M399">
            <v>83.4</v>
          </cell>
          <cell r="N399">
            <v>57.72</v>
          </cell>
          <cell r="O399">
            <v>70.56</v>
          </cell>
        </row>
        <row r="400">
          <cell r="L400" t="str">
            <v>Kepulauan Selayar</v>
          </cell>
          <cell r="M400">
            <v>79.84</v>
          </cell>
          <cell r="N400">
            <v>55.25</v>
          </cell>
          <cell r="O400">
            <v>67.545000000000002</v>
          </cell>
        </row>
        <row r="401">
          <cell r="L401" t="str">
            <v>Bulukumba</v>
          </cell>
          <cell r="M401">
            <v>84.85</v>
          </cell>
          <cell r="N401">
            <v>60.79</v>
          </cell>
          <cell r="O401">
            <v>72.819999999999993</v>
          </cell>
        </row>
        <row r="402">
          <cell r="L402" t="str">
            <v>Bantaeng</v>
          </cell>
          <cell r="M402">
            <v>88.05</v>
          </cell>
          <cell r="N402">
            <v>69.11</v>
          </cell>
          <cell r="O402">
            <v>78.58</v>
          </cell>
        </row>
        <row r="403">
          <cell r="L403" t="str">
            <v>Jeneponto</v>
          </cell>
          <cell r="M403">
            <v>85.1</v>
          </cell>
          <cell r="N403">
            <v>50.51</v>
          </cell>
          <cell r="O403">
            <v>67.804999999999993</v>
          </cell>
        </row>
        <row r="404">
          <cell r="L404" t="str">
            <v>Takalar</v>
          </cell>
          <cell r="M404">
            <v>85.3</v>
          </cell>
          <cell r="N404">
            <v>44.93</v>
          </cell>
          <cell r="O404">
            <v>65.114999999999995</v>
          </cell>
        </row>
        <row r="405">
          <cell r="L405" t="str">
            <v>Gowa</v>
          </cell>
          <cell r="M405">
            <v>86.57</v>
          </cell>
          <cell r="N405">
            <v>59.5</v>
          </cell>
          <cell r="O405">
            <v>73.034999999999997</v>
          </cell>
        </row>
        <row r="406">
          <cell r="L406" t="str">
            <v>Sinjai</v>
          </cell>
          <cell r="M406">
            <v>84.36</v>
          </cell>
          <cell r="N406">
            <v>61.79</v>
          </cell>
          <cell r="O406">
            <v>73.075000000000003</v>
          </cell>
        </row>
        <row r="407">
          <cell r="L407" t="str">
            <v>Maros</v>
          </cell>
          <cell r="M407">
            <v>79.400000000000006</v>
          </cell>
          <cell r="N407">
            <v>43.88</v>
          </cell>
          <cell r="O407">
            <v>61.64</v>
          </cell>
        </row>
        <row r="408">
          <cell r="L408" t="str">
            <v>Pangkajene dan Kepulauan</v>
          </cell>
          <cell r="M408">
            <v>84.96</v>
          </cell>
          <cell r="N408">
            <v>58.16</v>
          </cell>
          <cell r="O408">
            <v>71.56</v>
          </cell>
        </row>
        <row r="409">
          <cell r="L409" t="str">
            <v>Barru</v>
          </cell>
          <cell r="M409">
            <v>78.569999999999993</v>
          </cell>
          <cell r="N409">
            <v>41.26</v>
          </cell>
          <cell r="O409">
            <v>59.914999999999992</v>
          </cell>
        </row>
        <row r="410">
          <cell r="L410" t="str">
            <v>Bone</v>
          </cell>
          <cell r="M410">
            <v>82.44</v>
          </cell>
          <cell r="N410">
            <v>47.12</v>
          </cell>
          <cell r="O410">
            <v>64.78</v>
          </cell>
        </row>
        <row r="411">
          <cell r="L411" t="str">
            <v>Soppeng</v>
          </cell>
          <cell r="M411">
            <v>81.41</v>
          </cell>
          <cell r="N411">
            <v>45.23</v>
          </cell>
          <cell r="O411">
            <v>63.319999999999993</v>
          </cell>
        </row>
        <row r="412">
          <cell r="L412" t="str">
            <v>Wajo</v>
          </cell>
          <cell r="M412">
            <v>84.58</v>
          </cell>
          <cell r="N412">
            <v>52.19</v>
          </cell>
          <cell r="O412">
            <v>68.384999999999991</v>
          </cell>
        </row>
        <row r="413">
          <cell r="L413" t="str">
            <v>Sidenreng Rappang</v>
          </cell>
          <cell r="M413">
            <v>83.97</v>
          </cell>
          <cell r="N413">
            <v>39.21</v>
          </cell>
          <cell r="O413">
            <v>61.59</v>
          </cell>
        </row>
        <row r="414">
          <cell r="L414" t="str">
            <v>Pinrang</v>
          </cell>
          <cell r="M414">
            <v>82.58</v>
          </cell>
          <cell r="N414">
            <v>46.53</v>
          </cell>
          <cell r="O414">
            <v>64.555000000000007</v>
          </cell>
        </row>
        <row r="415">
          <cell r="L415" t="str">
            <v>Enrekang</v>
          </cell>
          <cell r="M415">
            <v>85.25</v>
          </cell>
          <cell r="N415">
            <v>65.17</v>
          </cell>
          <cell r="O415">
            <v>75.210000000000008</v>
          </cell>
        </row>
        <row r="416">
          <cell r="L416" t="str">
            <v>Luwu</v>
          </cell>
          <cell r="M416">
            <v>81.73</v>
          </cell>
          <cell r="N416">
            <v>54.78</v>
          </cell>
          <cell r="O416">
            <v>68.254999999999995</v>
          </cell>
        </row>
        <row r="417">
          <cell r="L417" t="str">
            <v>Tana Toraja</v>
          </cell>
          <cell r="M417">
            <v>80.709999999999994</v>
          </cell>
          <cell r="N417">
            <v>71.72</v>
          </cell>
          <cell r="O417">
            <v>76.215000000000003</v>
          </cell>
        </row>
        <row r="418">
          <cell r="L418" t="str">
            <v>Luwu Utara</v>
          </cell>
          <cell r="M418">
            <v>84.96</v>
          </cell>
          <cell r="N418">
            <v>53.34</v>
          </cell>
          <cell r="O418">
            <v>69.150000000000006</v>
          </cell>
        </row>
        <row r="419">
          <cell r="L419" t="str">
            <v>Luwu Timur</v>
          </cell>
          <cell r="M419">
            <v>86.06</v>
          </cell>
          <cell r="N419">
            <v>53.55</v>
          </cell>
          <cell r="O419">
            <v>69.805000000000007</v>
          </cell>
        </row>
        <row r="420">
          <cell r="L420" t="str">
            <v>Toraja Utara</v>
          </cell>
          <cell r="M420">
            <v>78.75</v>
          </cell>
          <cell r="N420">
            <v>66.069999999999993</v>
          </cell>
          <cell r="O420">
            <v>72.41</v>
          </cell>
        </row>
        <row r="421">
          <cell r="L421" t="str">
            <v>Kota Makasar</v>
          </cell>
          <cell r="M421">
            <v>77.44</v>
          </cell>
          <cell r="N421">
            <v>47.06</v>
          </cell>
          <cell r="O421">
            <v>62.25</v>
          </cell>
        </row>
        <row r="422">
          <cell r="L422" t="str">
            <v>Kota Parepare</v>
          </cell>
          <cell r="M422">
            <v>81.42</v>
          </cell>
          <cell r="N422">
            <v>58.3</v>
          </cell>
          <cell r="O422">
            <v>69.86</v>
          </cell>
        </row>
        <row r="423">
          <cell r="L423" t="str">
            <v>Kota Palopo</v>
          </cell>
          <cell r="M423">
            <v>80.45</v>
          </cell>
          <cell r="N423">
            <v>52.02</v>
          </cell>
          <cell r="O423">
            <v>66.234999999999999</v>
          </cell>
        </row>
        <row r="424">
          <cell r="L424" t="str">
            <v>Buton</v>
          </cell>
          <cell r="M424">
            <v>81.17</v>
          </cell>
          <cell r="N424">
            <v>57.19</v>
          </cell>
          <cell r="O424">
            <v>69.180000000000007</v>
          </cell>
        </row>
        <row r="425">
          <cell r="L425" t="str">
            <v>Muna</v>
          </cell>
          <cell r="M425">
            <v>78.23</v>
          </cell>
          <cell r="N425">
            <v>62.68</v>
          </cell>
          <cell r="O425">
            <v>70.454999999999998</v>
          </cell>
        </row>
        <row r="426">
          <cell r="L426" t="str">
            <v>Konawe</v>
          </cell>
          <cell r="M426">
            <v>84.67</v>
          </cell>
          <cell r="N426">
            <v>50.13</v>
          </cell>
          <cell r="O426">
            <v>67.400000000000006</v>
          </cell>
        </row>
        <row r="427">
          <cell r="L427" t="str">
            <v>Kolaka</v>
          </cell>
          <cell r="M427">
            <v>91.12</v>
          </cell>
          <cell r="N427">
            <v>74.58</v>
          </cell>
          <cell r="O427">
            <v>82.85</v>
          </cell>
        </row>
        <row r="428">
          <cell r="L428" t="str">
            <v>Konawe Selatan</v>
          </cell>
          <cell r="M428">
            <v>88.63</v>
          </cell>
          <cell r="N428">
            <v>51.12</v>
          </cell>
          <cell r="O428">
            <v>69.875</v>
          </cell>
        </row>
        <row r="429">
          <cell r="L429" t="str">
            <v>Bombana</v>
          </cell>
          <cell r="M429">
            <v>87.13</v>
          </cell>
          <cell r="N429">
            <v>56.64</v>
          </cell>
          <cell r="O429">
            <v>71.884999999999991</v>
          </cell>
        </row>
        <row r="430">
          <cell r="L430" t="str">
            <v>Wakatobi</v>
          </cell>
          <cell r="M430">
            <v>83.86</v>
          </cell>
          <cell r="N430">
            <v>61.69</v>
          </cell>
          <cell r="O430">
            <v>72.775000000000006</v>
          </cell>
        </row>
        <row r="431">
          <cell r="L431" t="str">
            <v>Kolaka Utara</v>
          </cell>
          <cell r="M431">
            <v>91.64</v>
          </cell>
          <cell r="N431">
            <v>71.069999999999993</v>
          </cell>
          <cell r="O431">
            <v>81.35499999999999</v>
          </cell>
        </row>
        <row r="432">
          <cell r="L432" t="str">
            <v>Buton Utara</v>
          </cell>
          <cell r="M432">
            <v>87.13</v>
          </cell>
          <cell r="N432">
            <v>76.31</v>
          </cell>
          <cell r="O432">
            <v>81.72</v>
          </cell>
        </row>
        <row r="433">
          <cell r="L433" t="str">
            <v>Konawe Utara</v>
          </cell>
          <cell r="M433">
            <v>87.92</v>
          </cell>
          <cell r="N433">
            <v>67.75</v>
          </cell>
          <cell r="O433">
            <v>77.835000000000008</v>
          </cell>
        </row>
        <row r="434">
          <cell r="L434" t="str">
            <v>Kolaka Timur</v>
          </cell>
          <cell r="M434">
            <v>86.19</v>
          </cell>
          <cell r="N434">
            <v>57.02</v>
          </cell>
          <cell r="O434">
            <v>71.605000000000004</v>
          </cell>
        </row>
        <row r="435">
          <cell r="L435" t="str">
            <v>Konawe Kepulauan</v>
          </cell>
          <cell r="M435">
            <v>89.62</v>
          </cell>
          <cell r="N435">
            <v>72.73</v>
          </cell>
          <cell r="O435">
            <v>81.175000000000011</v>
          </cell>
        </row>
        <row r="436">
          <cell r="L436" t="str">
            <v>Muna Barat</v>
          </cell>
          <cell r="M436">
            <v>84.53</v>
          </cell>
          <cell r="N436">
            <v>63.43</v>
          </cell>
          <cell r="O436">
            <v>73.98</v>
          </cell>
        </row>
        <row r="437">
          <cell r="L437" t="str">
            <v>Buton Tengah</v>
          </cell>
          <cell r="M437">
            <v>79.349999999999994</v>
          </cell>
          <cell r="N437">
            <v>56.57</v>
          </cell>
          <cell r="O437">
            <v>67.959999999999994</v>
          </cell>
        </row>
        <row r="438">
          <cell r="L438" t="str">
            <v>Buton Selatan</v>
          </cell>
          <cell r="M438">
            <v>87.79</v>
          </cell>
          <cell r="N438">
            <v>75.989999999999995</v>
          </cell>
          <cell r="O438">
            <v>81.89</v>
          </cell>
        </row>
        <row r="439">
          <cell r="L439" t="str">
            <v>Kota Kendari</v>
          </cell>
          <cell r="M439">
            <v>81.25</v>
          </cell>
          <cell r="N439">
            <v>55.49</v>
          </cell>
          <cell r="O439">
            <v>68.37</v>
          </cell>
        </row>
        <row r="440">
          <cell r="L440" t="str">
            <v>Kota Baubau</v>
          </cell>
          <cell r="M440">
            <v>80.510000000000005</v>
          </cell>
          <cell r="N440">
            <v>58.12</v>
          </cell>
          <cell r="O440">
            <v>69.314999999999998</v>
          </cell>
        </row>
        <row r="441">
          <cell r="L441" t="str">
            <v>Boalemo</v>
          </cell>
          <cell r="M441">
            <v>84.4</v>
          </cell>
          <cell r="N441">
            <v>54.18</v>
          </cell>
          <cell r="O441">
            <v>69.290000000000006</v>
          </cell>
        </row>
        <row r="442">
          <cell r="L442" t="str">
            <v>Gorontalo</v>
          </cell>
          <cell r="M442">
            <v>86.05</v>
          </cell>
          <cell r="N442">
            <v>56.83</v>
          </cell>
          <cell r="O442">
            <v>71.44</v>
          </cell>
        </row>
        <row r="443">
          <cell r="L443" t="str">
            <v>Pohuwato</v>
          </cell>
          <cell r="M443">
            <v>87.31</v>
          </cell>
          <cell r="N443">
            <v>56.23</v>
          </cell>
          <cell r="O443">
            <v>71.77</v>
          </cell>
        </row>
        <row r="444">
          <cell r="L444" t="str">
            <v>Bone Bolango</v>
          </cell>
          <cell r="M444">
            <v>85.14</v>
          </cell>
          <cell r="N444">
            <v>52.56</v>
          </cell>
          <cell r="O444">
            <v>68.849999999999994</v>
          </cell>
        </row>
        <row r="445">
          <cell r="L445" t="str">
            <v>Gorontalo Utara</v>
          </cell>
          <cell r="M445">
            <v>83.16</v>
          </cell>
          <cell r="N445">
            <v>56.14</v>
          </cell>
          <cell r="O445">
            <v>69.650000000000006</v>
          </cell>
        </row>
        <row r="446">
          <cell r="L446" t="str">
            <v>Kota Gorontalo</v>
          </cell>
          <cell r="M446">
            <v>79.75</v>
          </cell>
          <cell r="N446">
            <v>53.75</v>
          </cell>
          <cell r="O446">
            <v>66.75</v>
          </cell>
        </row>
        <row r="447">
          <cell r="L447" t="str">
            <v>Majene</v>
          </cell>
          <cell r="M447">
            <v>80.13</v>
          </cell>
          <cell r="N447">
            <v>47.42</v>
          </cell>
          <cell r="O447">
            <v>63.774999999999999</v>
          </cell>
        </row>
        <row r="448">
          <cell r="L448" t="str">
            <v>Polewali Mandar</v>
          </cell>
          <cell r="M448">
            <v>83.99</v>
          </cell>
          <cell r="N448">
            <v>57.47</v>
          </cell>
          <cell r="O448">
            <v>70.72999999999999</v>
          </cell>
        </row>
        <row r="449">
          <cell r="L449" t="str">
            <v>Mamasa</v>
          </cell>
          <cell r="M449">
            <v>86.93</v>
          </cell>
          <cell r="N449">
            <v>63.75</v>
          </cell>
          <cell r="O449">
            <v>75.34</v>
          </cell>
        </row>
        <row r="450">
          <cell r="L450" t="str">
            <v>Mamuju</v>
          </cell>
          <cell r="M450">
            <v>88.45</v>
          </cell>
          <cell r="N450">
            <v>61.92</v>
          </cell>
          <cell r="O450">
            <v>75.185000000000002</v>
          </cell>
        </row>
        <row r="451">
          <cell r="L451" t="str">
            <v>Mamuju Utara / Pasangkayu</v>
          </cell>
          <cell r="M451">
            <v>88.81</v>
          </cell>
          <cell r="N451">
            <v>54.11</v>
          </cell>
          <cell r="O451">
            <v>71.460000000000008</v>
          </cell>
        </row>
        <row r="452">
          <cell r="L452" t="str">
            <v>Mamuju Tengah</v>
          </cell>
          <cell r="M452">
            <v>89.21</v>
          </cell>
          <cell r="N452">
            <v>47.53</v>
          </cell>
          <cell r="O452">
            <v>68.37</v>
          </cell>
        </row>
        <row r="453">
          <cell r="L453" t="str">
            <v>Maluku Tenggara Barat / Kepulauan Tanimbar</v>
          </cell>
          <cell r="M453">
            <v>73.88</v>
          </cell>
          <cell r="N453">
            <v>51.95</v>
          </cell>
          <cell r="O453">
            <v>62.914999999999999</v>
          </cell>
        </row>
        <row r="454">
          <cell r="L454" t="str">
            <v>Maluku Tenggara</v>
          </cell>
          <cell r="M454">
            <v>72.290000000000006</v>
          </cell>
          <cell r="N454">
            <v>62.98</v>
          </cell>
          <cell r="O454">
            <v>67.635000000000005</v>
          </cell>
        </row>
        <row r="455">
          <cell r="L455" t="str">
            <v>Maluku Tengah</v>
          </cell>
          <cell r="M455">
            <v>74.52</v>
          </cell>
          <cell r="N455">
            <v>57.48</v>
          </cell>
          <cell r="O455">
            <v>66</v>
          </cell>
        </row>
        <row r="456">
          <cell r="L456" t="str">
            <v>Buru</v>
          </cell>
          <cell r="M456">
            <v>86.05</v>
          </cell>
          <cell r="N456">
            <v>58.34</v>
          </cell>
          <cell r="O456">
            <v>72.194999999999993</v>
          </cell>
        </row>
        <row r="457">
          <cell r="L457" t="str">
            <v>Kepulauan Aru</v>
          </cell>
          <cell r="M457">
            <v>81.540000000000006</v>
          </cell>
          <cell r="N457">
            <v>40.89</v>
          </cell>
          <cell r="O457">
            <v>61.215000000000003</v>
          </cell>
        </row>
        <row r="458">
          <cell r="L458" t="str">
            <v>Seram Bagian Barat</v>
          </cell>
          <cell r="M458">
            <v>78.11</v>
          </cell>
          <cell r="N458">
            <v>60.95</v>
          </cell>
          <cell r="O458">
            <v>69.53</v>
          </cell>
        </row>
        <row r="459">
          <cell r="L459" t="str">
            <v>Seram Bagian Timur</v>
          </cell>
          <cell r="M459">
            <v>71.34</v>
          </cell>
          <cell r="N459">
            <v>50.33</v>
          </cell>
          <cell r="O459">
            <v>60.835000000000001</v>
          </cell>
        </row>
        <row r="460">
          <cell r="L460" t="str">
            <v>Maluku Barat Daya</v>
          </cell>
          <cell r="M460">
            <v>81.34</v>
          </cell>
          <cell r="N460">
            <v>59.96</v>
          </cell>
          <cell r="O460">
            <v>70.650000000000006</v>
          </cell>
        </row>
        <row r="461">
          <cell r="L461" t="str">
            <v>Buru Selatan</v>
          </cell>
          <cell r="M461">
            <v>77.47</v>
          </cell>
          <cell r="N461">
            <v>66.41</v>
          </cell>
          <cell r="O461">
            <v>71.94</v>
          </cell>
        </row>
        <row r="462">
          <cell r="L462" t="str">
            <v>Kota Ambon</v>
          </cell>
          <cell r="M462">
            <v>76.290000000000006</v>
          </cell>
          <cell r="N462">
            <v>56.95</v>
          </cell>
          <cell r="O462">
            <v>66.62</v>
          </cell>
        </row>
        <row r="463">
          <cell r="L463" t="str">
            <v>Kota Tual</v>
          </cell>
          <cell r="M463">
            <v>77.53</v>
          </cell>
          <cell r="N463">
            <v>44.42</v>
          </cell>
          <cell r="O463">
            <v>60.975000000000001</v>
          </cell>
        </row>
        <row r="464">
          <cell r="L464" t="str">
            <v>Halmahera Barat</v>
          </cell>
          <cell r="M464">
            <v>81.3</v>
          </cell>
          <cell r="N464">
            <v>56.71</v>
          </cell>
          <cell r="O464">
            <v>69.004999999999995</v>
          </cell>
        </row>
        <row r="465">
          <cell r="L465" t="str">
            <v>Halmahera Tengah</v>
          </cell>
          <cell r="M465">
            <v>89.94</v>
          </cell>
          <cell r="N465">
            <v>49.51</v>
          </cell>
          <cell r="O465">
            <v>69.724999999999994</v>
          </cell>
        </row>
        <row r="466">
          <cell r="L466" t="str">
            <v>Kepulauan Sula</v>
          </cell>
          <cell r="M466">
            <v>80.38</v>
          </cell>
          <cell r="N466">
            <v>46.46</v>
          </cell>
          <cell r="O466">
            <v>63.42</v>
          </cell>
        </row>
        <row r="467">
          <cell r="L467" t="str">
            <v>Halmahera Selatan</v>
          </cell>
          <cell r="M467">
            <v>85.31</v>
          </cell>
          <cell r="N467">
            <v>63.33</v>
          </cell>
          <cell r="O467">
            <v>74.319999999999993</v>
          </cell>
        </row>
        <row r="468">
          <cell r="L468" t="str">
            <v>Halmahera Utara</v>
          </cell>
          <cell r="M468">
            <v>81.739999999999995</v>
          </cell>
          <cell r="N468">
            <v>59.19</v>
          </cell>
          <cell r="O468">
            <v>70.465000000000003</v>
          </cell>
        </row>
        <row r="469">
          <cell r="L469" t="str">
            <v>Halmahera Timur</v>
          </cell>
          <cell r="M469">
            <v>86.74</v>
          </cell>
          <cell r="N469">
            <v>50.93</v>
          </cell>
          <cell r="O469">
            <v>68.834999999999994</v>
          </cell>
        </row>
        <row r="470">
          <cell r="L470" t="str">
            <v>Pulau Morotai</v>
          </cell>
          <cell r="M470">
            <v>81.290000000000006</v>
          </cell>
          <cell r="N470">
            <v>51.33</v>
          </cell>
          <cell r="O470">
            <v>66.31</v>
          </cell>
        </row>
        <row r="471">
          <cell r="L471" t="str">
            <v>Pulau Taliabu</v>
          </cell>
          <cell r="M471">
            <v>81.75</v>
          </cell>
          <cell r="N471">
            <v>48.02</v>
          </cell>
          <cell r="O471">
            <v>64.885000000000005</v>
          </cell>
        </row>
        <row r="472">
          <cell r="L472" t="str">
            <v>Kota Ternate</v>
          </cell>
          <cell r="M472">
            <v>75.48</v>
          </cell>
          <cell r="N472">
            <v>51.59</v>
          </cell>
          <cell r="O472">
            <v>63.535000000000004</v>
          </cell>
        </row>
        <row r="473">
          <cell r="L473" t="str">
            <v>Kota Tidore Kepulauan</v>
          </cell>
          <cell r="M473">
            <v>85.74</v>
          </cell>
          <cell r="N473">
            <v>53.14</v>
          </cell>
          <cell r="O473">
            <v>69.44</v>
          </cell>
        </row>
        <row r="474">
          <cell r="L474" t="str">
            <v>Fakfak</v>
          </cell>
          <cell r="M474">
            <v>73.42</v>
          </cell>
          <cell r="N474">
            <v>49</v>
          </cell>
          <cell r="O474">
            <v>61.21</v>
          </cell>
        </row>
        <row r="475">
          <cell r="L475" t="str">
            <v>Kaimana</v>
          </cell>
          <cell r="M475">
            <v>79.14</v>
          </cell>
          <cell r="N475">
            <v>53.94</v>
          </cell>
          <cell r="O475">
            <v>66.539999999999992</v>
          </cell>
        </row>
        <row r="476">
          <cell r="L476" t="str">
            <v>Teluk Wondama</v>
          </cell>
          <cell r="M476">
            <v>79.5</v>
          </cell>
          <cell r="N476">
            <v>64.84</v>
          </cell>
          <cell r="O476">
            <v>72.17</v>
          </cell>
        </row>
        <row r="477">
          <cell r="L477" t="str">
            <v>Teluk Bintuni</v>
          </cell>
          <cell r="M477">
            <v>81.7</v>
          </cell>
          <cell r="N477">
            <v>52.88</v>
          </cell>
          <cell r="O477">
            <v>67.290000000000006</v>
          </cell>
        </row>
        <row r="478">
          <cell r="L478" t="str">
            <v>Manokwari</v>
          </cell>
          <cell r="M478">
            <v>81.739999999999995</v>
          </cell>
          <cell r="N478">
            <v>58.51</v>
          </cell>
          <cell r="O478">
            <v>70.125</v>
          </cell>
        </row>
        <row r="479">
          <cell r="L479" t="str">
            <v>Sorong Selatan</v>
          </cell>
          <cell r="M479" t="str">
            <v>-</v>
          </cell>
          <cell r="N479" t="str">
            <v>-</v>
          </cell>
          <cell r="O479" t="str">
            <v>-</v>
          </cell>
        </row>
        <row r="480">
          <cell r="L480" t="str">
            <v>Sorong</v>
          </cell>
          <cell r="M480" t="str">
            <v>-</v>
          </cell>
          <cell r="N480" t="str">
            <v>-</v>
          </cell>
          <cell r="O480" t="str">
            <v>-</v>
          </cell>
        </row>
        <row r="481">
          <cell r="L481" t="str">
            <v>Raja Ampat</v>
          </cell>
          <cell r="M481" t="str">
            <v>-</v>
          </cell>
          <cell r="N481" t="str">
            <v>-</v>
          </cell>
          <cell r="O481" t="str">
            <v>-</v>
          </cell>
        </row>
        <row r="482">
          <cell r="L482" t="str">
            <v>Tambrauw</v>
          </cell>
          <cell r="M482" t="str">
            <v>-</v>
          </cell>
          <cell r="N482" t="str">
            <v>-</v>
          </cell>
          <cell r="O482" t="str">
            <v>-</v>
          </cell>
        </row>
        <row r="483">
          <cell r="L483" t="str">
            <v>Maybrat</v>
          </cell>
          <cell r="M483" t="str">
            <v>-</v>
          </cell>
          <cell r="N483" t="str">
            <v>-</v>
          </cell>
          <cell r="O483" t="str">
            <v>-</v>
          </cell>
        </row>
        <row r="484">
          <cell r="L484" t="str">
            <v>Manokwari Selatan</v>
          </cell>
          <cell r="M484">
            <v>87.77</v>
          </cell>
          <cell r="N484">
            <v>74.150000000000006</v>
          </cell>
          <cell r="O484">
            <v>80.960000000000008</v>
          </cell>
        </row>
        <row r="485">
          <cell r="L485" t="str">
            <v>Pegunungan Arfak</v>
          </cell>
          <cell r="M485">
            <v>94.55</v>
          </cell>
          <cell r="N485">
            <v>89.75</v>
          </cell>
          <cell r="O485">
            <v>92.15</v>
          </cell>
        </row>
        <row r="486">
          <cell r="L486" t="str">
            <v>Kota Sorong</v>
          </cell>
          <cell r="M486" t="str">
            <v>-</v>
          </cell>
          <cell r="N486" t="str">
            <v>-</v>
          </cell>
          <cell r="O486" t="e">
            <v>#DIV/0!</v>
          </cell>
        </row>
        <row r="487">
          <cell r="L487" t="str">
            <v>Raja Ampat</v>
          </cell>
          <cell r="M487">
            <v>80.42</v>
          </cell>
          <cell r="N487">
            <v>45.15</v>
          </cell>
          <cell r="O487">
            <v>62.784999999999997</v>
          </cell>
        </row>
        <row r="488">
          <cell r="L488" t="str">
            <v>Sorong</v>
          </cell>
          <cell r="M488">
            <v>84.46</v>
          </cell>
          <cell r="N488">
            <v>53.71</v>
          </cell>
          <cell r="O488">
            <v>69.084999999999994</v>
          </cell>
        </row>
        <row r="489">
          <cell r="L489" t="str">
            <v>Sorong Selatan</v>
          </cell>
          <cell r="M489">
            <v>78.86</v>
          </cell>
          <cell r="N489">
            <v>59.46</v>
          </cell>
          <cell r="O489">
            <v>69.16</v>
          </cell>
        </row>
        <row r="490">
          <cell r="L490" t="str">
            <v>Maybrat</v>
          </cell>
          <cell r="M490">
            <v>83.86</v>
          </cell>
          <cell r="N490">
            <v>78.510000000000005</v>
          </cell>
          <cell r="O490">
            <v>81.185000000000002</v>
          </cell>
        </row>
        <row r="491">
          <cell r="L491" t="str">
            <v>Tambrauw</v>
          </cell>
          <cell r="M491">
            <v>87.47</v>
          </cell>
          <cell r="N491">
            <v>71.13</v>
          </cell>
          <cell r="O491">
            <v>79.3</v>
          </cell>
        </row>
        <row r="492">
          <cell r="L492" t="str">
            <v>Kota Sorong</v>
          </cell>
          <cell r="M492">
            <v>76.23</v>
          </cell>
          <cell r="N492">
            <v>50.71</v>
          </cell>
          <cell r="O492">
            <v>63.47</v>
          </cell>
        </row>
        <row r="493">
          <cell r="L493" t="str">
            <v>Merauke</v>
          </cell>
          <cell r="M493" t="str">
            <v>-</v>
          </cell>
          <cell r="N493" t="str">
            <v>-</v>
          </cell>
          <cell r="O493" t="str">
            <v>-</v>
          </cell>
        </row>
        <row r="494">
          <cell r="L494" t="str">
            <v>Jayawijaya</v>
          </cell>
          <cell r="M494" t="str">
            <v>-</v>
          </cell>
          <cell r="N494" t="str">
            <v>-</v>
          </cell>
          <cell r="O494" t="str">
            <v>-</v>
          </cell>
        </row>
        <row r="495">
          <cell r="L495" t="str">
            <v>Jayapura</v>
          </cell>
          <cell r="M495">
            <v>77</v>
          </cell>
          <cell r="N495">
            <v>51.68</v>
          </cell>
          <cell r="O495">
            <v>64.34</v>
          </cell>
        </row>
        <row r="496">
          <cell r="L496" t="str">
            <v>Nabire</v>
          </cell>
          <cell r="M496" t="str">
            <v>-</v>
          </cell>
          <cell r="N496" t="str">
            <v>-</v>
          </cell>
          <cell r="O496" t="str">
            <v>-</v>
          </cell>
        </row>
        <row r="497">
          <cell r="L497" t="str">
            <v>Kepulauan Yapen</v>
          </cell>
          <cell r="M497">
            <v>79.16</v>
          </cell>
          <cell r="N497">
            <v>54.83</v>
          </cell>
          <cell r="O497">
            <v>66.995000000000005</v>
          </cell>
        </row>
        <row r="498">
          <cell r="L498" t="str">
            <v>Biak Numfor</v>
          </cell>
          <cell r="M498">
            <v>80.650000000000006</v>
          </cell>
          <cell r="N498">
            <v>67.13</v>
          </cell>
          <cell r="O498">
            <v>73.89</v>
          </cell>
        </row>
        <row r="499">
          <cell r="L499" t="str">
            <v>Paniai</v>
          </cell>
          <cell r="M499" t="str">
            <v>-</v>
          </cell>
          <cell r="N499" t="str">
            <v>-</v>
          </cell>
          <cell r="O499" t="str">
            <v>-</v>
          </cell>
        </row>
        <row r="500">
          <cell r="L500" t="str">
            <v>Puncak Jaya</v>
          </cell>
          <cell r="M500" t="str">
            <v>-</v>
          </cell>
          <cell r="N500" t="str">
            <v>-</v>
          </cell>
          <cell r="O500" t="str">
            <v>-</v>
          </cell>
        </row>
        <row r="501">
          <cell r="L501" t="str">
            <v>Mimika</v>
          </cell>
          <cell r="M501" t="str">
            <v>-</v>
          </cell>
          <cell r="N501" t="str">
            <v>-</v>
          </cell>
          <cell r="O501" t="str">
            <v>-</v>
          </cell>
        </row>
        <row r="502">
          <cell r="L502" t="str">
            <v>Boven Digoel</v>
          </cell>
          <cell r="M502" t="str">
            <v>-</v>
          </cell>
          <cell r="N502" t="str">
            <v>-</v>
          </cell>
          <cell r="O502" t="str">
            <v>-</v>
          </cell>
        </row>
        <row r="503">
          <cell r="L503" t="str">
            <v>Mappi</v>
          </cell>
          <cell r="M503" t="str">
            <v>-</v>
          </cell>
          <cell r="N503" t="str">
            <v>-</v>
          </cell>
          <cell r="O503" t="str">
            <v>-</v>
          </cell>
        </row>
        <row r="504">
          <cell r="L504" t="str">
            <v>Asmat</v>
          </cell>
          <cell r="M504" t="str">
            <v>-</v>
          </cell>
          <cell r="N504" t="str">
            <v>-</v>
          </cell>
          <cell r="O504" t="str">
            <v>-</v>
          </cell>
        </row>
        <row r="505">
          <cell r="L505" t="str">
            <v>Yahukimo</v>
          </cell>
          <cell r="M505" t="str">
            <v>-</v>
          </cell>
          <cell r="N505" t="str">
            <v>-</v>
          </cell>
          <cell r="O505" t="str">
            <v>-</v>
          </cell>
        </row>
        <row r="506">
          <cell r="L506" t="str">
            <v>Pegunungan Bintang</v>
          </cell>
          <cell r="M506" t="str">
            <v>-</v>
          </cell>
          <cell r="N506" t="str">
            <v>-</v>
          </cell>
          <cell r="O506" t="str">
            <v>-</v>
          </cell>
        </row>
        <row r="507">
          <cell r="L507" t="str">
            <v>Tolikara</v>
          </cell>
          <cell r="M507" t="str">
            <v>-</v>
          </cell>
          <cell r="N507" t="str">
            <v>-</v>
          </cell>
          <cell r="O507" t="str">
            <v>-</v>
          </cell>
        </row>
        <row r="508">
          <cell r="L508" t="str">
            <v>Sarmi</v>
          </cell>
          <cell r="M508">
            <v>73.69</v>
          </cell>
          <cell r="N508">
            <v>47.53</v>
          </cell>
          <cell r="O508">
            <v>60.61</v>
          </cell>
        </row>
        <row r="509">
          <cell r="L509" t="str">
            <v>Keerom</v>
          </cell>
          <cell r="M509">
            <v>89.21</v>
          </cell>
          <cell r="N509">
            <v>67.150000000000006</v>
          </cell>
          <cell r="O509">
            <v>78.180000000000007</v>
          </cell>
        </row>
        <row r="510">
          <cell r="L510" t="str">
            <v>Waropen</v>
          </cell>
          <cell r="M510">
            <v>85.34</v>
          </cell>
          <cell r="N510">
            <v>71.19</v>
          </cell>
          <cell r="O510">
            <v>78.265000000000001</v>
          </cell>
        </row>
        <row r="511">
          <cell r="L511" t="str">
            <v>Supiori</v>
          </cell>
          <cell r="M511">
            <v>74.61</v>
          </cell>
          <cell r="N511">
            <v>56.34</v>
          </cell>
          <cell r="O511">
            <v>65.474999999999994</v>
          </cell>
        </row>
        <row r="512">
          <cell r="L512" t="str">
            <v>Mamberamo Raya</v>
          </cell>
          <cell r="M512">
            <v>73.03</v>
          </cell>
          <cell r="N512">
            <v>35.33</v>
          </cell>
          <cell r="O512">
            <v>54.18</v>
          </cell>
        </row>
        <row r="513">
          <cell r="L513" t="str">
            <v>Nduga</v>
          </cell>
          <cell r="M513" t="str">
            <v>-</v>
          </cell>
          <cell r="N513" t="str">
            <v>-</v>
          </cell>
          <cell r="O513" t="str">
            <v>-</v>
          </cell>
        </row>
        <row r="514">
          <cell r="L514" t="str">
            <v>Lanny Jaya</v>
          </cell>
          <cell r="M514" t="str">
            <v>-</v>
          </cell>
          <cell r="N514" t="str">
            <v>-</v>
          </cell>
          <cell r="O514" t="str">
            <v>-</v>
          </cell>
        </row>
        <row r="515">
          <cell r="L515" t="str">
            <v>Mamberamo Tengah</v>
          </cell>
          <cell r="M515" t="str">
            <v>-</v>
          </cell>
          <cell r="N515" t="str">
            <v>-</v>
          </cell>
          <cell r="O515" t="str">
            <v>-</v>
          </cell>
        </row>
        <row r="516">
          <cell r="L516" t="str">
            <v>Yalimo</v>
          </cell>
          <cell r="M516" t="str">
            <v>-</v>
          </cell>
          <cell r="N516" t="str">
            <v>-</v>
          </cell>
          <cell r="O516" t="str">
            <v>-</v>
          </cell>
        </row>
        <row r="517">
          <cell r="L517" t="str">
            <v>Puncak</v>
          </cell>
          <cell r="M517" t="str">
            <v>-</v>
          </cell>
          <cell r="N517" t="str">
            <v>-</v>
          </cell>
          <cell r="O517" t="str">
            <v>-</v>
          </cell>
        </row>
        <row r="518">
          <cell r="L518" t="str">
            <v>Dogiyai</v>
          </cell>
          <cell r="M518" t="str">
            <v>-</v>
          </cell>
          <cell r="N518" t="str">
            <v>-</v>
          </cell>
          <cell r="O518" t="str">
            <v>-</v>
          </cell>
        </row>
        <row r="519">
          <cell r="L519" t="str">
            <v>Intan Jaya</v>
          </cell>
          <cell r="M519" t="str">
            <v>-</v>
          </cell>
          <cell r="N519" t="str">
            <v>-</v>
          </cell>
          <cell r="O519" t="str">
            <v>-</v>
          </cell>
        </row>
        <row r="520">
          <cell r="L520" t="str">
            <v>Deiyai</v>
          </cell>
          <cell r="M520" t="str">
            <v>-</v>
          </cell>
          <cell r="N520" t="str">
            <v>-</v>
          </cell>
          <cell r="O520" t="str">
            <v>-</v>
          </cell>
        </row>
        <row r="521">
          <cell r="L521" t="str">
            <v>Kota Jayapura</v>
          </cell>
          <cell r="M521">
            <v>78.569999999999993</v>
          </cell>
          <cell r="N521">
            <v>55.29</v>
          </cell>
          <cell r="O521">
            <v>66.929999999999993</v>
          </cell>
        </row>
        <row r="522">
          <cell r="L522" t="str">
            <v>Merauke</v>
          </cell>
          <cell r="M522">
            <v>84.72</v>
          </cell>
          <cell r="N522">
            <v>61.17</v>
          </cell>
          <cell r="O522">
            <v>72.944999999999993</v>
          </cell>
        </row>
        <row r="523">
          <cell r="L523" t="str">
            <v>Boven Digoel</v>
          </cell>
          <cell r="M523">
            <v>80.89</v>
          </cell>
          <cell r="N523">
            <v>61.59</v>
          </cell>
          <cell r="O523">
            <v>71.240000000000009</v>
          </cell>
        </row>
        <row r="524">
          <cell r="L524" t="str">
            <v>Mappi</v>
          </cell>
          <cell r="M524">
            <v>75.569999999999993</v>
          </cell>
          <cell r="N524">
            <v>45.54</v>
          </cell>
          <cell r="O524">
            <v>60.554999999999993</v>
          </cell>
        </row>
        <row r="525">
          <cell r="L525" t="str">
            <v>Asmat</v>
          </cell>
          <cell r="M525">
            <v>84.78</v>
          </cell>
          <cell r="N525">
            <v>70.14</v>
          </cell>
          <cell r="O525">
            <v>77.460000000000008</v>
          </cell>
        </row>
        <row r="526">
          <cell r="L526" t="str">
            <v>Mimika</v>
          </cell>
          <cell r="M526">
            <v>85.54</v>
          </cell>
          <cell r="N526">
            <v>47.38</v>
          </cell>
          <cell r="O526">
            <v>66.460000000000008</v>
          </cell>
        </row>
        <row r="527">
          <cell r="L527" t="str">
            <v>Dogiyai</v>
          </cell>
          <cell r="M527">
            <v>93.58</v>
          </cell>
          <cell r="N527">
            <v>92.75</v>
          </cell>
          <cell r="O527">
            <v>93.164999999999992</v>
          </cell>
        </row>
        <row r="528">
          <cell r="L528" t="str">
            <v>Deiyai</v>
          </cell>
          <cell r="M528">
            <v>72.41</v>
          </cell>
          <cell r="N528">
            <v>41.31</v>
          </cell>
          <cell r="O528">
            <v>56.86</v>
          </cell>
        </row>
        <row r="529">
          <cell r="L529" t="str">
            <v>Nabire</v>
          </cell>
          <cell r="M529">
            <v>83.59</v>
          </cell>
          <cell r="N529">
            <v>57.71</v>
          </cell>
          <cell r="O529">
            <v>70.650000000000006</v>
          </cell>
        </row>
        <row r="530">
          <cell r="L530" t="str">
            <v>Paniai</v>
          </cell>
          <cell r="M530">
            <v>86.8</v>
          </cell>
          <cell r="N530">
            <v>48.63</v>
          </cell>
          <cell r="O530">
            <v>67.715000000000003</v>
          </cell>
        </row>
        <row r="531">
          <cell r="L531" t="str">
            <v>Intan Jaya</v>
          </cell>
          <cell r="M531">
            <v>79.010000000000005</v>
          </cell>
          <cell r="N531">
            <v>55.03</v>
          </cell>
          <cell r="O531">
            <v>67.02000000000001</v>
          </cell>
        </row>
        <row r="532">
          <cell r="L532" t="str">
            <v>Puncak</v>
          </cell>
          <cell r="M532">
            <v>88.62</v>
          </cell>
          <cell r="N532">
            <v>83.77</v>
          </cell>
          <cell r="O532">
            <v>86.194999999999993</v>
          </cell>
        </row>
        <row r="533">
          <cell r="L533" t="str">
            <v>Puncak Jaya</v>
          </cell>
          <cell r="M533">
            <v>86.32</v>
          </cell>
          <cell r="N533">
            <v>63.37</v>
          </cell>
          <cell r="O533">
            <v>74.844999999999999</v>
          </cell>
        </row>
        <row r="534">
          <cell r="L534" t="str">
            <v>Nduga</v>
          </cell>
          <cell r="M534">
            <v>94.58</v>
          </cell>
          <cell r="N534">
            <v>95.08</v>
          </cell>
          <cell r="O534">
            <v>94.83</v>
          </cell>
        </row>
        <row r="535">
          <cell r="L535" t="str">
            <v>Jayawijaya</v>
          </cell>
          <cell r="M535">
            <v>88.02</v>
          </cell>
          <cell r="N535">
            <v>83.77</v>
          </cell>
          <cell r="O535">
            <v>85.894999999999996</v>
          </cell>
        </row>
        <row r="536">
          <cell r="L536" t="str">
            <v>Lanny Jaya</v>
          </cell>
          <cell r="M536">
            <v>93.69</v>
          </cell>
          <cell r="N536">
            <v>93.41</v>
          </cell>
          <cell r="O536">
            <v>93.55</v>
          </cell>
        </row>
        <row r="537">
          <cell r="L537" t="str">
            <v>Tolikara</v>
          </cell>
          <cell r="M537">
            <v>91.33</v>
          </cell>
          <cell r="N537">
            <v>85.85</v>
          </cell>
          <cell r="O537">
            <v>88.59</v>
          </cell>
        </row>
        <row r="538">
          <cell r="L538" t="str">
            <v>Mamberamo Tengah</v>
          </cell>
          <cell r="M538">
            <v>91.94</v>
          </cell>
          <cell r="N538">
            <v>88.97</v>
          </cell>
          <cell r="O538">
            <v>90.454999999999998</v>
          </cell>
        </row>
        <row r="539">
          <cell r="L539" t="str">
            <v>Yalimo</v>
          </cell>
          <cell r="M539">
            <v>83.09</v>
          </cell>
          <cell r="N539">
            <v>84.36</v>
          </cell>
          <cell r="O539">
            <v>83.724999999999994</v>
          </cell>
        </row>
        <row r="540">
          <cell r="L540" t="str">
            <v>Yahukimo</v>
          </cell>
          <cell r="M540">
            <v>90.21</v>
          </cell>
          <cell r="N540">
            <v>80.209999999999994</v>
          </cell>
          <cell r="O540">
            <v>85.21</v>
          </cell>
        </row>
        <row r="541">
          <cell r="L541" t="str">
            <v>Pegunungan Bintang</v>
          </cell>
          <cell r="M541">
            <v>89.51</v>
          </cell>
          <cell r="N541">
            <v>85.1</v>
          </cell>
          <cell r="O541">
            <v>87.305000000000007</v>
          </cell>
        </row>
      </sheetData>
      <sheetData sheetId="1">
        <row r="2">
          <cell r="L2" t="str">
            <v>Simeulue</v>
          </cell>
          <cell r="M2">
            <v>5.7</v>
          </cell>
          <cell r="N2">
            <v>5.2</v>
          </cell>
          <cell r="O2">
            <v>5.5</v>
          </cell>
        </row>
        <row r="3">
          <cell r="L3" t="str">
            <v>Aceh Singkil</v>
          </cell>
          <cell r="M3">
            <v>5.76</v>
          </cell>
          <cell r="N3">
            <v>7.8</v>
          </cell>
          <cell r="O3">
            <v>6.44</v>
          </cell>
        </row>
        <row r="4">
          <cell r="L4" t="str">
            <v>Aceh Selatan</v>
          </cell>
          <cell r="M4">
            <v>3.88</v>
          </cell>
          <cell r="N4">
            <v>5.75</v>
          </cell>
          <cell r="O4">
            <v>4.5599999999999996</v>
          </cell>
        </row>
        <row r="5">
          <cell r="L5" t="str">
            <v>Aceh Tenggara</v>
          </cell>
          <cell r="M5">
            <v>5.1100000000000003</v>
          </cell>
          <cell r="N5">
            <v>4.3099999999999996</v>
          </cell>
          <cell r="O5">
            <v>4.79</v>
          </cell>
        </row>
        <row r="6">
          <cell r="L6" t="str">
            <v>Aceh Timur</v>
          </cell>
          <cell r="M6">
            <v>3.75</v>
          </cell>
          <cell r="N6">
            <v>16.260000000000002</v>
          </cell>
          <cell r="O6">
            <v>7.75</v>
          </cell>
        </row>
        <row r="7">
          <cell r="L7" t="str">
            <v>Aceh Tengah</v>
          </cell>
          <cell r="M7">
            <v>2.75</v>
          </cell>
          <cell r="N7">
            <v>6.13</v>
          </cell>
          <cell r="O7">
            <v>4.21</v>
          </cell>
        </row>
        <row r="8">
          <cell r="L8" t="str">
            <v>Aceh Barat</v>
          </cell>
          <cell r="M8">
            <v>7.03</v>
          </cell>
          <cell r="N8">
            <v>3.3</v>
          </cell>
          <cell r="O8">
            <v>5.58</v>
          </cell>
        </row>
        <row r="9">
          <cell r="L9" t="str">
            <v>Aceh Besar</v>
          </cell>
          <cell r="M9">
            <v>5.56</v>
          </cell>
          <cell r="N9">
            <v>11.76</v>
          </cell>
          <cell r="O9">
            <v>7.93</v>
          </cell>
        </row>
        <row r="10">
          <cell r="L10" t="str">
            <v>Pidie</v>
          </cell>
          <cell r="M10">
            <v>6.01</v>
          </cell>
          <cell r="N10">
            <v>5.27</v>
          </cell>
          <cell r="O10">
            <v>5.74</v>
          </cell>
        </row>
        <row r="11">
          <cell r="L11" t="str">
            <v>Bireuen</v>
          </cell>
          <cell r="M11">
            <v>4.1500000000000004</v>
          </cell>
          <cell r="N11">
            <v>3.62</v>
          </cell>
          <cell r="O11">
            <v>3.93</v>
          </cell>
        </row>
        <row r="12">
          <cell r="L12" t="str">
            <v>Aceh Utara</v>
          </cell>
          <cell r="M12">
            <v>7.04</v>
          </cell>
          <cell r="N12">
            <v>6.61</v>
          </cell>
          <cell r="O12">
            <v>6.88</v>
          </cell>
        </row>
        <row r="13">
          <cell r="L13" t="str">
            <v>Aceh Barat Daya</v>
          </cell>
          <cell r="M13">
            <v>1.3</v>
          </cell>
          <cell r="N13">
            <v>9.48</v>
          </cell>
          <cell r="O13">
            <v>3.83</v>
          </cell>
        </row>
        <row r="14">
          <cell r="L14" t="str">
            <v>Gayo Lues</v>
          </cell>
          <cell r="M14">
            <v>1.0900000000000001</v>
          </cell>
          <cell r="N14">
            <v>4</v>
          </cell>
          <cell r="O14">
            <v>2.4</v>
          </cell>
        </row>
        <row r="15">
          <cell r="L15" t="str">
            <v>Aceh Tamiang</v>
          </cell>
          <cell r="M15">
            <v>4.74</v>
          </cell>
          <cell r="N15">
            <v>10.51</v>
          </cell>
          <cell r="O15">
            <v>6.95</v>
          </cell>
        </row>
        <row r="16">
          <cell r="L16" t="str">
            <v>Nagan Raya</v>
          </cell>
          <cell r="M16">
            <v>4.08</v>
          </cell>
          <cell r="N16">
            <v>7.49</v>
          </cell>
          <cell r="O16">
            <v>5.22</v>
          </cell>
        </row>
        <row r="17">
          <cell r="L17" t="str">
            <v>Aceh Jaya</v>
          </cell>
          <cell r="M17">
            <v>3.37</v>
          </cell>
          <cell r="N17">
            <v>1.84</v>
          </cell>
          <cell r="O17">
            <v>2.75</v>
          </cell>
        </row>
        <row r="18">
          <cell r="L18" t="str">
            <v>Bener Meriah</v>
          </cell>
          <cell r="M18">
            <v>0.59</v>
          </cell>
          <cell r="N18">
            <v>4.05</v>
          </cell>
          <cell r="O18">
            <v>2.2000000000000002</v>
          </cell>
        </row>
        <row r="19">
          <cell r="L19" t="str">
            <v>Pidie Jaya</v>
          </cell>
          <cell r="M19">
            <v>2.2200000000000002</v>
          </cell>
          <cell r="N19">
            <v>6.53</v>
          </cell>
          <cell r="O19">
            <v>3.82</v>
          </cell>
        </row>
        <row r="20">
          <cell r="L20" t="str">
            <v>Kota Banda Aceh</v>
          </cell>
          <cell r="M20">
            <v>3.76</v>
          </cell>
          <cell r="N20">
            <v>13.06</v>
          </cell>
          <cell r="O20">
            <v>7.55</v>
          </cell>
        </row>
        <row r="21">
          <cell r="L21" t="str">
            <v>Kota Sabang</v>
          </cell>
          <cell r="M21">
            <v>2.87</v>
          </cell>
          <cell r="N21">
            <v>3.05</v>
          </cell>
          <cell r="O21">
            <v>2.95</v>
          </cell>
        </row>
        <row r="22">
          <cell r="L22" t="str">
            <v>Kota Langsa</v>
          </cell>
          <cell r="M22">
            <v>6.65</v>
          </cell>
          <cell r="N22">
            <v>8.49</v>
          </cell>
          <cell r="O22">
            <v>7.34</v>
          </cell>
        </row>
        <row r="23">
          <cell r="L23" t="str">
            <v>Kota Lhokseumawe</v>
          </cell>
          <cell r="M23">
            <v>6.93</v>
          </cell>
          <cell r="N23">
            <v>10.82</v>
          </cell>
          <cell r="O23">
            <v>8.4700000000000006</v>
          </cell>
        </row>
        <row r="24">
          <cell r="L24" t="str">
            <v>Kota Subulussalam</v>
          </cell>
          <cell r="M24">
            <v>5.95</v>
          </cell>
          <cell r="N24">
            <v>3.68</v>
          </cell>
          <cell r="O24">
            <v>5.12</v>
          </cell>
        </row>
        <row r="25">
          <cell r="L25" t="str">
            <v>Nias</v>
          </cell>
          <cell r="M25">
            <v>1.89</v>
          </cell>
          <cell r="N25">
            <v>2.29</v>
          </cell>
          <cell r="O25">
            <v>2.1</v>
          </cell>
        </row>
        <row r="26">
          <cell r="L26" t="str">
            <v>Mandailing Natal</v>
          </cell>
          <cell r="M26">
            <v>5.09</v>
          </cell>
          <cell r="N26">
            <v>10.34</v>
          </cell>
          <cell r="O26">
            <v>7.22</v>
          </cell>
        </row>
        <row r="27">
          <cell r="L27" t="str">
            <v>Tapanuli Selatan</v>
          </cell>
          <cell r="M27">
            <v>2.0299999999999998</v>
          </cell>
          <cell r="N27">
            <v>5.08</v>
          </cell>
          <cell r="O27">
            <v>3.41</v>
          </cell>
        </row>
        <row r="28">
          <cell r="L28" t="str">
            <v>Tapanuli Tengah</v>
          </cell>
          <cell r="M28">
            <v>8.15</v>
          </cell>
          <cell r="N28">
            <v>6.56</v>
          </cell>
          <cell r="O28">
            <v>7.45</v>
          </cell>
        </row>
        <row r="29">
          <cell r="L29" t="str">
            <v>Tapanuli Utara</v>
          </cell>
          <cell r="M29">
            <v>0.59</v>
          </cell>
          <cell r="N29">
            <v>1.87</v>
          </cell>
          <cell r="O29">
            <v>1.21</v>
          </cell>
        </row>
        <row r="30">
          <cell r="L30" t="str">
            <v>Toba Samosir / Toba</v>
          </cell>
          <cell r="M30">
            <v>1.45</v>
          </cell>
          <cell r="N30">
            <v>0.69</v>
          </cell>
          <cell r="O30">
            <v>1.0900000000000001</v>
          </cell>
        </row>
        <row r="31">
          <cell r="L31" t="str">
            <v>Labuhan Batu</v>
          </cell>
          <cell r="M31">
            <v>3.35</v>
          </cell>
          <cell r="N31">
            <v>10.43</v>
          </cell>
          <cell r="O31">
            <v>5.9</v>
          </cell>
        </row>
        <row r="32">
          <cell r="L32" t="str">
            <v>Asahan</v>
          </cell>
          <cell r="M32">
            <v>5.75</v>
          </cell>
          <cell r="N32">
            <v>6.24</v>
          </cell>
          <cell r="O32">
            <v>5.94</v>
          </cell>
        </row>
        <row r="33">
          <cell r="L33" t="str">
            <v>Simalungun</v>
          </cell>
          <cell r="M33">
            <v>3.86</v>
          </cell>
          <cell r="N33">
            <v>6.84</v>
          </cell>
          <cell r="O33">
            <v>5.17</v>
          </cell>
        </row>
        <row r="34">
          <cell r="L34" t="str">
            <v>Dairi</v>
          </cell>
          <cell r="M34">
            <v>0.32</v>
          </cell>
          <cell r="N34">
            <v>2.63</v>
          </cell>
          <cell r="O34">
            <v>1.43</v>
          </cell>
        </row>
        <row r="35">
          <cell r="L35" t="str">
            <v>Karo</v>
          </cell>
          <cell r="M35">
            <v>1.61</v>
          </cell>
          <cell r="N35">
            <v>3.27</v>
          </cell>
          <cell r="O35">
            <v>2.4</v>
          </cell>
        </row>
        <row r="36">
          <cell r="L36" t="str">
            <v>Deli Serdang</v>
          </cell>
          <cell r="M36">
            <v>7.42</v>
          </cell>
          <cell r="N36">
            <v>9.08</v>
          </cell>
          <cell r="O36">
            <v>8.02</v>
          </cell>
        </row>
        <row r="37">
          <cell r="L37" t="str">
            <v>Langkat</v>
          </cell>
          <cell r="M37">
            <v>7.38</v>
          </cell>
          <cell r="N37">
            <v>4.1500000000000004</v>
          </cell>
          <cell r="O37">
            <v>6.08</v>
          </cell>
        </row>
        <row r="38">
          <cell r="L38" t="str">
            <v>Nias Selatan</v>
          </cell>
          <cell r="M38">
            <v>3.29</v>
          </cell>
          <cell r="N38">
            <v>2.74</v>
          </cell>
          <cell r="O38">
            <v>3.03</v>
          </cell>
        </row>
        <row r="39">
          <cell r="L39" t="str">
            <v>Humbang Hasundutan</v>
          </cell>
          <cell r="M39">
            <v>1.05</v>
          </cell>
          <cell r="N39">
            <v>0.78</v>
          </cell>
          <cell r="O39">
            <v>0.92</v>
          </cell>
        </row>
        <row r="40">
          <cell r="L40" t="str">
            <v>Pakpak Bharat</v>
          </cell>
          <cell r="M40">
            <v>0.47</v>
          </cell>
          <cell r="N40">
            <v>1.53</v>
          </cell>
          <cell r="O40">
            <v>0.97</v>
          </cell>
        </row>
        <row r="41">
          <cell r="L41" t="str">
            <v>Samosir</v>
          </cell>
          <cell r="M41">
            <v>1.57</v>
          </cell>
          <cell r="N41">
            <v>0.15</v>
          </cell>
          <cell r="O41">
            <v>0.89</v>
          </cell>
        </row>
        <row r="42">
          <cell r="L42" t="str">
            <v>Serdang Bedagai</v>
          </cell>
          <cell r="M42">
            <v>4.09</v>
          </cell>
          <cell r="N42">
            <v>6.18</v>
          </cell>
          <cell r="O42">
            <v>4.88</v>
          </cell>
        </row>
        <row r="43">
          <cell r="L43" t="str">
            <v>Batu Bara</v>
          </cell>
          <cell r="M43">
            <v>5.23</v>
          </cell>
          <cell r="N43">
            <v>6.59</v>
          </cell>
          <cell r="O43">
            <v>5.75</v>
          </cell>
        </row>
        <row r="44">
          <cell r="L44" t="str">
            <v>Padang Lawas Utara</v>
          </cell>
          <cell r="M44">
            <v>3.98</v>
          </cell>
          <cell r="N44">
            <v>4.01</v>
          </cell>
          <cell r="O44">
            <v>3.99</v>
          </cell>
        </row>
        <row r="45">
          <cell r="L45" t="str">
            <v>Padang Lawas</v>
          </cell>
          <cell r="M45">
            <v>1.86</v>
          </cell>
          <cell r="N45">
            <v>10.38</v>
          </cell>
          <cell r="O45">
            <v>5.47</v>
          </cell>
        </row>
        <row r="46">
          <cell r="L46" t="str">
            <v>Labuhan Batu Selatan</v>
          </cell>
          <cell r="M46">
            <v>2.4700000000000002</v>
          </cell>
          <cell r="N46">
            <v>4.51</v>
          </cell>
          <cell r="O46">
            <v>3.24</v>
          </cell>
        </row>
        <row r="47">
          <cell r="L47" t="str">
            <v>Labuhan Batu Utara</v>
          </cell>
          <cell r="M47">
            <v>3.11</v>
          </cell>
          <cell r="N47">
            <v>7.56</v>
          </cell>
          <cell r="O47">
            <v>4.5999999999999996</v>
          </cell>
        </row>
        <row r="48">
          <cell r="L48" t="str">
            <v>Nias Utara</v>
          </cell>
          <cell r="M48">
            <v>2.0499999999999998</v>
          </cell>
          <cell r="N48">
            <v>3.69</v>
          </cell>
          <cell r="O48">
            <v>2.82</v>
          </cell>
        </row>
        <row r="49">
          <cell r="L49" t="str">
            <v>Nias Barat</v>
          </cell>
          <cell r="M49">
            <v>1.59</v>
          </cell>
          <cell r="N49">
            <v>0.43</v>
          </cell>
          <cell r="O49">
            <v>1</v>
          </cell>
        </row>
        <row r="50">
          <cell r="L50" t="str">
            <v>Kota Sibolga</v>
          </cell>
          <cell r="M50">
            <v>8.36</v>
          </cell>
          <cell r="N50">
            <v>4.0999999999999996</v>
          </cell>
          <cell r="O50">
            <v>6.52</v>
          </cell>
        </row>
        <row r="51">
          <cell r="L51" t="str">
            <v>Kota Tanjung Balai</v>
          </cell>
          <cell r="M51">
            <v>3.73</v>
          </cell>
          <cell r="N51">
            <v>4.63</v>
          </cell>
          <cell r="O51">
            <v>4.08</v>
          </cell>
        </row>
        <row r="52">
          <cell r="L52" t="str">
            <v>Kota Pematang Siantar</v>
          </cell>
          <cell r="M52">
            <v>6.97</v>
          </cell>
          <cell r="N52">
            <v>9.35</v>
          </cell>
          <cell r="O52">
            <v>8</v>
          </cell>
        </row>
        <row r="53">
          <cell r="L53" t="str">
            <v>Kota Tebing Tinggi</v>
          </cell>
          <cell r="M53">
            <v>6.4</v>
          </cell>
          <cell r="N53">
            <v>5.84</v>
          </cell>
          <cell r="O53">
            <v>6.18</v>
          </cell>
        </row>
        <row r="54">
          <cell r="L54" t="str">
            <v>Kota Medan</v>
          </cell>
          <cell r="M54">
            <v>9.43</v>
          </cell>
          <cell r="N54">
            <v>6.15</v>
          </cell>
          <cell r="O54">
            <v>8.1300000000000008</v>
          </cell>
        </row>
        <row r="55">
          <cell r="L55" t="str">
            <v>Kota Binjai</v>
          </cell>
          <cell r="M55">
            <v>3.39</v>
          </cell>
          <cell r="N55">
            <v>8.69</v>
          </cell>
          <cell r="O55">
            <v>5.44</v>
          </cell>
        </row>
        <row r="56">
          <cell r="L56" t="str">
            <v>Kota Padangsidimpuan</v>
          </cell>
          <cell r="M56">
            <v>7.22</v>
          </cell>
          <cell r="N56">
            <v>7.11</v>
          </cell>
          <cell r="O56">
            <v>7.17</v>
          </cell>
        </row>
        <row r="57">
          <cell r="L57" t="str">
            <v>Kota Gunungsitoli</v>
          </cell>
          <cell r="M57">
            <v>3.44</v>
          </cell>
          <cell r="N57">
            <v>3.13</v>
          </cell>
          <cell r="O57">
            <v>3.3</v>
          </cell>
        </row>
        <row r="58">
          <cell r="L58" t="str">
            <v>Kepulauan Mentawai</v>
          </cell>
          <cell r="M58">
            <v>1.1399999999999999</v>
          </cell>
          <cell r="N58">
            <v>1.8</v>
          </cell>
          <cell r="O58">
            <v>1.44</v>
          </cell>
        </row>
        <row r="59">
          <cell r="L59" t="str">
            <v>Pesisir Selatan</v>
          </cell>
          <cell r="M59">
            <v>5.22</v>
          </cell>
          <cell r="N59">
            <v>4.79</v>
          </cell>
          <cell r="O59">
            <v>5.0599999999999996</v>
          </cell>
        </row>
        <row r="60">
          <cell r="L60" t="str">
            <v>Solok</v>
          </cell>
          <cell r="M60">
            <v>1.8</v>
          </cell>
          <cell r="N60">
            <v>8.9600000000000009</v>
          </cell>
          <cell r="O60">
            <v>4.91</v>
          </cell>
        </row>
        <row r="61">
          <cell r="L61" t="str">
            <v>Sijunjung</v>
          </cell>
          <cell r="M61">
            <v>3.26</v>
          </cell>
          <cell r="N61">
            <v>6.9</v>
          </cell>
          <cell r="O61">
            <v>4.7300000000000004</v>
          </cell>
        </row>
        <row r="62">
          <cell r="L62" t="str">
            <v>Tanah Datar</v>
          </cell>
          <cell r="M62">
            <v>4.92</v>
          </cell>
          <cell r="N62">
            <v>5.85</v>
          </cell>
          <cell r="O62">
            <v>5.3</v>
          </cell>
        </row>
        <row r="63">
          <cell r="L63" t="str">
            <v>Padang Pariaman</v>
          </cell>
          <cell r="M63">
            <v>5.51</v>
          </cell>
          <cell r="N63">
            <v>8.0399999999999991</v>
          </cell>
          <cell r="O63">
            <v>6.59</v>
          </cell>
        </row>
        <row r="64">
          <cell r="L64" t="str">
            <v>Agam</v>
          </cell>
          <cell r="M64">
            <v>3.06</v>
          </cell>
          <cell r="N64">
            <v>7.09</v>
          </cell>
          <cell r="O64">
            <v>4.7300000000000004</v>
          </cell>
        </row>
        <row r="65">
          <cell r="L65" t="str">
            <v>Lima Puluh Kota</v>
          </cell>
          <cell r="M65">
            <v>4.22</v>
          </cell>
          <cell r="N65">
            <v>2.98</v>
          </cell>
          <cell r="O65">
            <v>3.68</v>
          </cell>
        </row>
        <row r="66">
          <cell r="L66" t="str">
            <v>Pasaman</v>
          </cell>
          <cell r="M66">
            <v>4.42</v>
          </cell>
          <cell r="N66">
            <v>6.45</v>
          </cell>
          <cell r="O66">
            <v>5.25</v>
          </cell>
        </row>
        <row r="67">
          <cell r="L67" t="str">
            <v>Solok Selatan</v>
          </cell>
          <cell r="M67">
            <v>1.93</v>
          </cell>
          <cell r="N67">
            <v>2.82</v>
          </cell>
          <cell r="O67">
            <v>2.2999999999999998</v>
          </cell>
        </row>
        <row r="68">
          <cell r="L68" t="str">
            <v>Dharmasraya</v>
          </cell>
          <cell r="M68">
            <v>5.3</v>
          </cell>
          <cell r="N68">
            <v>7.14</v>
          </cell>
          <cell r="O68">
            <v>6.02</v>
          </cell>
        </row>
        <row r="69">
          <cell r="L69" t="str">
            <v>Pasaman Barat</v>
          </cell>
          <cell r="M69">
            <v>6.05</v>
          </cell>
          <cell r="N69">
            <v>6.86</v>
          </cell>
          <cell r="O69">
            <v>6.34</v>
          </cell>
        </row>
        <row r="70">
          <cell r="L70" t="str">
            <v>Kota Padang</v>
          </cell>
          <cell r="M70">
            <v>8.43</v>
          </cell>
          <cell r="N70">
            <v>12.01</v>
          </cell>
          <cell r="O70">
            <v>9.8800000000000008</v>
          </cell>
        </row>
        <row r="71">
          <cell r="L71" t="str">
            <v>Kota Solok</v>
          </cell>
          <cell r="M71">
            <v>4.78</v>
          </cell>
          <cell r="N71">
            <v>2.14</v>
          </cell>
          <cell r="O71">
            <v>3.62</v>
          </cell>
        </row>
        <row r="72">
          <cell r="L72" t="str">
            <v>Kota Sawah Lunto</v>
          </cell>
          <cell r="M72">
            <v>6.39</v>
          </cell>
          <cell r="N72">
            <v>4.43</v>
          </cell>
          <cell r="O72">
            <v>5.55</v>
          </cell>
        </row>
        <row r="73">
          <cell r="L73" t="str">
            <v>Kota Padang Panjang</v>
          </cell>
          <cell r="M73">
            <v>4.4400000000000004</v>
          </cell>
          <cell r="N73">
            <v>5.62</v>
          </cell>
          <cell r="O73">
            <v>4.9400000000000004</v>
          </cell>
        </row>
        <row r="74">
          <cell r="L74" t="str">
            <v>Kota Bukittinggi</v>
          </cell>
          <cell r="M74">
            <v>4.2</v>
          </cell>
          <cell r="N74">
            <v>5.45</v>
          </cell>
          <cell r="O74">
            <v>4.72</v>
          </cell>
        </row>
        <row r="75">
          <cell r="L75" t="str">
            <v>Kota Payakumbuh</v>
          </cell>
          <cell r="M75">
            <v>4.4000000000000004</v>
          </cell>
          <cell r="N75">
            <v>5.5</v>
          </cell>
          <cell r="O75">
            <v>4.87</v>
          </cell>
        </row>
        <row r="76">
          <cell r="L76" t="str">
            <v>Kota Pariaman</v>
          </cell>
          <cell r="M76">
            <v>4.3099999999999996</v>
          </cell>
          <cell r="N76">
            <v>6.71</v>
          </cell>
          <cell r="O76">
            <v>5.32</v>
          </cell>
        </row>
        <row r="77">
          <cell r="L77" t="str">
            <v>Kuantan Singingi</v>
          </cell>
          <cell r="M77">
            <v>1.85</v>
          </cell>
          <cell r="N77">
            <v>3.68</v>
          </cell>
          <cell r="O77">
            <v>2.48</v>
          </cell>
        </row>
        <row r="78">
          <cell r="L78" t="str">
            <v>Indragiri Hulu</v>
          </cell>
          <cell r="M78">
            <v>1.75</v>
          </cell>
          <cell r="N78">
            <v>4.17</v>
          </cell>
          <cell r="O78">
            <v>2.5499999999999998</v>
          </cell>
        </row>
        <row r="79">
          <cell r="L79" t="str">
            <v>Indragiri Hilir</v>
          </cell>
          <cell r="M79">
            <v>1.1499999999999999</v>
          </cell>
          <cell r="N79">
            <v>3.18</v>
          </cell>
          <cell r="O79">
            <v>1.86</v>
          </cell>
        </row>
        <row r="80">
          <cell r="L80" t="str">
            <v>Pelalawan</v>
          </cell>
          <cell r="M80">
            <v>1.7</v>
          </cell>
          <cell r="N80">
            <v>3.04</v>
          </cell>
          <cell r="O80">
            <v>2.13</v>
          </cell>
        </row>
        <row r="81">
          <cell r="L81" t="str">
            <v>Siak</v>
          </cell>
          <cell r="M81">
            <v>3.01</v>
          </cell>
          <cell r="N81">
            <v>7.48</v>
          </cell>
          <cell r="O81">
            <v>4.53</v>
          </cell>
        </row>
        <row r="82">
          <cell r="L82" t="str">
            <v>Kampar</v>
          </cell>
          <cell r="M82">
            <v>3.56</v>
          </cell>
          <cell r="N82">
            <v>3.9</v>
          </cell>
          <cell r="O82">
            <v>3.67</v>
          </cell>
        </row>
        <row r="83">
          <cell r="L83" t="str">
            <v>Rokan Hulu</v>
          </cell>
          <cell r="M83">
            <v>2.12</v>
          </cell>
          <cell r="N83">
            <v>3.93</v>
          </cell>
          <cell r="O83">
            <v>2.73</v>
          </cell>
        </row>
        <row r="84">
          <cell r="L84" t="str">
            <v>Bengkalis</v>
          </cell>
          <cell r="M84">
            <v>5.63</v>
          </cell>
          <cell r="N84">
            <v>6.39</v>
          </cell>
          <cell r="O84">
            <v>5.88</v>
          </cell>
        </row>
        <row r="85">
          <cell r="L85" t="str">
            <v>Rokan Hilir</v>
          </cell>
          <cell r="M85">
            <v>3.92</v>
          </cell>
          <cell r="N85">
            <v>5.09</v>
          </cell>
          <cell r="O85">
            <v>4.3099999999999996</v>
          </cell>
        </row>
        <row r="86">
          <cell r="L86" t="str">
            <v>Kepulauan Meranti</v>
          </cell>
          <cell r="M86">
            <v>4.54</v>
          </cell>
          <cell r="N86">
            <v>4.45</v>
          </cell>
          <cell r="O86">
            <v>4.51</v>
          </cell>
        </row>
        <row r="87">
          <cell r="L87" t="str">
            <v>Kota Pekanbaru</v>
          </cell>
          <cell r="M87">
            <v>4.26</v>
          </cell>
          <cell r="N87">
            <v>5.17</v>
          </cell>
          <cell r="O87">
            <v>4.63</v>
          </cell>
        </row>
        <row r="88">
          <cell r="L88" t="str">
            <v>Kota Dumai</v>
          </cell>
          <cell r="M88">
            <v>4.91</v>
          </cell>
          <cell r="N88">
            <v>4.16</v>
          </cell>
          <cell r="O88">
            <v>4.66</v>
          </cell>
        </row>
        <row r="89">
          <cell r="L89" t="str">
            <v>Kerinci</v>
          </cell>
          <cell r="M89">
            <v>0.64</v>
          </cell>
          <cell r="N89">
            <v>4.99</v>
          </cell>
          <cell r="O89">
            <v>2.5099999999999998</v>
          </cell>
        </row>
        <row r="90">
          <cell r="L90" t="str">
            <v>Merangin</v>
          </cell>
          <cell r="M90">
            <v>2.5299999999999998</v>
          </cell>
          <cell r="N90">
            <v>6.56</v>
          </cell>
          <cell r="O90">
            <v>4.18</v>
          </cell>
        </row>
        <row r="91">
          <cell r="L91" t="str">
            <v>Sarolangun</v>
          </cell>
          <cell r="M91">
            <v>2.71</v>
          </cell>
          <cell r="N91">
            <v>9.34</v>
          </cell>
          <cell r="O91">
            <v>5.03</v>
          </cell>
        </row>
        <row r="92">
          <cell r="L92" t="str">
            <v>Batang Hari</v>
          </cell>
          <cell r="M92">
            <v>3.11</v>
          </cell>
          <cell r="N92">
            <v>7.52</v>
          </cell>
          <cell r="O92">
            <v>4.49</v>
          </cell>
        </row>
        <row r="93">
          <cell r="L93" t="str">
            <v>Muaro Jambi</v>
          </cell>
          <cell r="M93">
            <v>1.5</v>
          </cell>
          <cell r="N93">
            <v>12.3</v>
          </cell>
          <cell r="O93">
            <v>5.27</v>
          </cell>
        </row>
        <row r="94">
          <cell r="L94" t="str">
            <v>Tanjung Jabung Timur</v>
          </cell>
          <cell r="M94">
            <v>1.1000000000000001</v>
          </cell>
          <cell r="N94">
            <v>4.17</v>
          </cell>
          <cell r="O94">
            <v>2.06</v>
          </cell>
        </row>
        <row r="95">
          <cell r="L95" t="str">
            <v>Tanjung Jabung Barat</v>
          </cell>
          <cell r="M95">
            <v>3.28</v>
          </cell>
          <cell r="N95">
            <v>3.05</v>
          </cell>
          <cell r="O95">
            <v>3.2</v>
          </cell>
        </row>
        <row r="96">
          <cell r="L96" t="str">
            <v>Tebo</v>
          </cell>
          <cell r="M96">
            <v>1.93</v>
          </cell>
          <cell r="N96">
            <v>3.55</v>
          </cell>
          <cell r="O96">
            <v>2.5</v>
          </cell>
        </row>
        <row r="97">
          <cell r="L97" t="str">
            <v>Bungo</v>
          </cell>
          <cell r="M97">
            <v>2.93</v>
          </cell>
          <cell r="N97">
            <v>7.77</v>
          </cell>
          <cell r="O97">
            <v>4.67</v>
          </cell>
        </row>
        <row r="98">
          <cell r="L98" t="str">
            <v>Kota Jambi</v>
          </cell>
          <cell r="M98">
            <v>4.66</v>
          </cell>
          <cell r="N98">
            <v>11.68</v>
          </cell>
          <cell r="O98">
            <v>7.38</v>
          </cell>
        </row>
        <row r="99">
          <cell r="L99" t="str">
            <v>Kota Sungai Penuh</v>
          </cell>
          <cell r="M99">
            <v>4.0199999999999996</v>
          </cell>
          <cell r="N99">
            <v>4.7</v>
          </cell>
          <cell r="O99">
            <v>4.3</v>
          </cell>
        </row>
        <row r="100">
          <cell r="L100" t="str">
            <v>Ogan Komering Ulu</v>
          </cell>
          <cell r="M100">
            <v>4.28</v>
          </cell>
          <cell r="N100">
            <v>3.69</v>
          </cell>
          <cell r="O100">
            <v>4.05</v>
          </cell>
        </row>
        <row r="101">
          <cell r="L101" t="str">
            <v>Ogan Komering Ilir</v>
          </cell>
          <cell r="M101">
            <v>3.04</v>
          </cell>
          <cell r="N101">
            <v>4.0199999999999996</v>
          </cell>
          <cell r="O101">
            <v>3.38</v>
          </cell>
        </row>
        <row r="102">
          <cell r="L102" t="str">
            <v>Muara Enim</v>
          </cell>
          <cell r="M102">
            <v>3.85</v>
          </cell>
          <cell r="N102">
            <v>4.47</v>
          </cell>
          <cell r="O102">
            <v>4.09</v>
          </cell>
        </row>
        <row r="103">
          <cell r="L103" t="str">
            <v>Lahat</v>
          </cell>
          <cell r="M103">
            <v>2.48</v>
          </cell>
          <cell r="N103">
            <v>4.05</v>
          </cell>
          <cell r="O103">
            <v>3.11</v>
          </cell>
        </row>
        <row r="104">
          <cell r="L104" t="str">
            <v>Musi Rawas</v>
          </cell>
          <cell r="M104">
            <v>1.9</v>
          </cell>
          <cell r="N104">
            <v>2</v>
          </cell>
          <cell r="O104">
            <v>1.94</v>
          </cell>
        </row>
        <row r="105">
          <cell r="L105" t="str">
            <v>Musi Banyuasin</v>
          </cell>
          <cell r="M105">
            <v>1.58</v>
          </cell>
          <cell r="N105">
            <v>3.08</v>
          </cell>
          <cell r="O105">
            <v>2.13</v>
          </cell>
        </row>
        <row r="106">
          <cell r="L106" t="str">
            <v>Banyu Asin</v>
          </cell>
          <cell r="M106">
            <v>1.39</v>
          </cell>
          <cell r="N106">
            <v>7.31</v>
          </cell>
          <cell r="O106">
            <v>3.24</v>
          </cell>
        </row>
        <row r="107">
          <cell r="L107" t="str">
            <v>Ogan Komering Ulu Selatan</v>
          </cell>
          <cell r="M107">
            <v>1.01</v>
          </cell>
          <cell r="N107">
            <v>2.98</v>
          </cell>
          <cell r="O107">
            <v>1.8</v>
          </cell>
        </row>
        <row r="108">
          <cell r="L108" t="str">
            <v>Ogan Komering Ulu Timur</v>
          </cell>
          <cell r="M108">
            <v>3.37</v>
          </cell>
          <cell r="N108">
            <v>3.56</v>
          </cell>
          <cell r="O108">
            <v>3.45</v>
          </cell>
        </row>
        <row r="109">
          <cell r="L109" t="str">
            <v>Ogan Ilir</v>
          </cell>
          <cell r="M109">
            <v>2.63</v>
          </cell>
          <cell r="N109">
            <v>2.69</v>
          </cell>
          <cell r="O109">
            <v>2.65</v>
          </cell>
        </row>
        <row r="110">
          <cell r="L110" t="str">
            <v>Empat Lawang</v>
          </cell>
          <cell r="M110">
            <v>3.42</v>
          </cell>
          <cell r="N110">
            <v>2.08</v>
          </cell>
          <cell r="O110">
            <v>2.84</v>
          </cell>
        </row>
        <row r="111">
          <cell r="L111" t="str">
            <v>Penukal Abab Lematang Ilir</v>
          </cell>
          <cell r="M111">
            <v>4.24</v>
          </cell>
          <cell r="N111">
            <v>3.04</v>
          </cell>
          <cell r="O111">
            <v>3.72</v>
          </cell>
        </row>
        <row r="112">
          <cell r="L112" t="str">
            <v>Musi Rawas Utara</v>
          </cell>
          <cell r="M112">
            <v>4.29</v>
          </cell>
          <cell r="N112">
            <v>5.88</v>
          </cell>
          <cell r="O112">
            <v>4.91</v>
          </cell>
        </row>
        <row r="113">
          <cell r="L113" t="str">
            <v>Kota Palembang</v>
          </cell>
          <cell r="M113">
            <v>8.09</v>
          </cell>
          <cell r="N113">
            <v>5.1100000000000003</v>
          </cell>
          <cell r="O113">
            <v>6.98</v>
          </cell>
        </row>
        <row r="114">
          <cell r="L114" t="str">
            <v>Kota Prabumulih</v>
          </cell>
          <cell r="M114">
            <v>5.14</v>
          </cell>
          <cell r="N114">
            <v>4.67</v>
          </cell>
          <cell r="O114">
            <v>4.9400000000000004</v>
          </cell>
        </row>
        <row r="115">
          <cell r="L115" t="str">
            <v>Kota Pagar Alam</v>
          </cell>
          <cell r="M115">
            <v>2.1800000000000002</v>
          </cell>
          <cell r="N115">
            <v>2.5499999999999998</v>
          </cell>
          <cell r="O115">
            <v>2.34</v>
          </cell>
        </row>
        <row r="116">
          <cell r="L116" t="str">
            <v>Kota Lubuklinggau</v>
          </cell>
          <cell r="M116">
            <v>6.35</v>
          </cell>
          <cell r="N116">
            <v>3.84</v>
          </cell>
          <cell r="O116">
            <v>5.29</v>
          </cell>
        </row>
        <row r="117">
          <cell r="L117" t="str">
            <v>Bengkulu Selatan</v>
          </cell>
          <cell r="M117">
            <v>3.64</v>
          </cell>
          <cell r="N117">
            <v>2.7</v>
          </cell>
          <cell r="O117">
            <v>3.25</v>
          </cell>
        </row>
        <row r="118">
          <cell r="L118" t="str">
            <v>Rejang Lebong</v>
          </cell>
          <cell r="M118">
            <v>2.74</v>
          </cell>
          <cell r="N118">
            <v>2</v>
          </cell>
          <cell r="O118">
            <v>2.4300000000000002</v>
          </cell>
        </row>
        <row r="119">
          <cell r="L119" t="str">
            <v>Bengkulu Utara</v>
          </cell>
          <cell r="M119">
            <v>2.82</v>
          </cell>
          <cell r="N119">
            <v>2.99</v>
          </cell>
          <cell r="O119">
            <v>2.89</v>
          </cell>
        </row>
        <row r="120">
          <cell r="L120" t="str">
            <v>Kaur</v>
          </cell>
          <cell r="M120">
            <v>3.95</v>
          </cell>
          <cell r="N120">
            <v>3.34</v>
          </cell>
          <cell r="O120">
            <v>3.71</v>
          </cell>
        </row>
        <row r="121">
          <cell r="L121" t="str">
            <v>Seluma</v>
          </cell>
          <cell r="M121">
            <v>1.55</v>
          </cell>
          <cell r="N121">
            <v>3.76</v>
          </cell>
          <cell r="O121">
            <v>2.38</v>
          </cell>
        </row>
        <row r="122">
          <cell r="L122" t="str">
            <v>Mukomuko</v>
          </cell>
          <cell r="M122">
            <v>1.73</v>
          </cell>
          <cell r="N122">
            <v>3.77</v>
          </cell>
          <cell r="O122">
            <v>2.41</v>
          </cell>
        </row>
        <row r="123">
          <cell r="L123" t="str">
            <v>Lebong</v>
          </cell>
          <cell r="M123">
            <v>1.81</v>
          </cell>
          <cell r="N123">
            <v>3.79</v>
          </cell>
          <cell r="O123">
            <v>2.5499999999999998</v>
          </cell>
        </row>
        <row r="124">
          <cell r="L124" t="str">
            <v>Kepahiang</v>
          </cell>
          <cell r="M124">
            <v>1.98</v>
          </cell>
          <cell r="N124">
            <v>2.93</v>
          </cell>
          <cell r="O124">
            <v>2.37</v>
          </cell>
        </row>
        <row r="125">
          <cell r="L125" t="str">
            <v>Bengkulu Tengah</v>
          </cell>
          <cell r="M125">
            <v>1.81</v>
          </cell>
          <cell r="N125">
            <v>3.92</v>
          </cell>
          <cell r="O125">
            <v>2.56</v>
          </cell>
        </row>
        <row r="126">
          <cell r="L126" t="str">
            <v>Kota Bengkulu</v>
          </cell>
          <cell r="M126">
            <v>5.23</v>
          </cell>
          <cell r="N126">
            <v>4.6900000000000004</v>
          </cell>
          <cell r="O126">
            <v>5</v>
          </cell>
        </row>
        <row r="127">
          <cell r="L127" t="str">
            <v>Lampung Barat</v>
          </cell>
          <cell r="M127">
            <v>1.39</v>
          </cell>
          <cell r="N127">
            <v>3.03</v>
          </cell>
          <cell r="O127">
            <v>2.09</v>
          </cell>
        </row>
        <row r="128">
          <cell r="L128" t="str">
            <v>Tanggamus</v>
          </cell>
          <cell r="M128">
            <v>2.35</v>
          </cell>
          <cell r="N128">
            <v>4.6900000000000004</v>
          </cell>
          <cell r="O128">
            <v>3.19</v>
          </cell>
        </row>
        <row r="129">
          <cell r="L129" t="str">
            <v>Lampung Selatan</v>
          </cell>
          <cell r="M129">
            <v>4.25</v>
          </cell>
          <cell r="N129">
            <v>5.86</v>
          </cell>
          <cell r="O129">
            <v>4.84</v>
          </cell>
        </row>
        <row r="130">
          <cell r="L130" t="str">
            <v>Lampung Timur</v>
          </cell>
          <cell r="M130">
            <v>2.93</v>
          </cell>
          <cell r="N130">
            <v>3.17</v>
          </cell>
          <cell r="O130">
            <v>3.02</v>
          </cell>
        </row>
        <row r="131">
          <cell r="L131" t="str">
            <v>Lampung Tengah</v>
          </cell>
          <cell r="M131">
            <v>3.35</v>
          </cell>
          <cell r="N131">
            <v>3.31</v>
          </cell>
          <cell r="O131">
            <v>3.33</v>
          </cell>
        </row>
        <row r="132">
          <cell r="L132" t="str">
            <v>Lampung Utara</v>
          </cell>
          <cell r="M132">
            <v>3.73</v>
          </cell>
          <cell r="N132">
            <v>9.39</v>
          </cell>
          <cell r="O132">
            <v>5.85</v>
          </cell>
        </row>
        <row r="133">
          <cell r="L133" t="str">
            <v>Way Kanan</v>
          </cell>
          <cell r="M133">
            <v>3.11</v>
          </cell>
          <cell r="N133">
            <v>3.51</v>
          </cell>
          <cell r="O133">
            <v>3.27</v>
          </cell>
        </row>
        <row r="134">
          <cell r="L134" t="str">
            <v>Tulangbawang</v>
          </cell>
          <cell r="M134">
            <v>2.17</v>
          </cell>
          <cell r="N134">
            <v>5.26</v>
          </cell>
          <cell r="O134">
            <v>3.23</v>
          </cell>
        </row>
        <row r="135">
          <cell r="L135" t="str">
            <v>Pesawaran</v>
          </cell>
          <cell r="M135">
            <v>2.83</v>
          </cell>
          <cell r="N135">
            <v>6.95</v>
          </cell>
          <cell r="O135">
            <v>4.3600000000000003</v>
          </cell>
        </row>
        <row r="136">
          <cell r="L136" t="str">
            <v>Pringsewu</v>
          </cell>
          <cell r="M136">
            <v>3.29</v>
          </cell>
          <cell r="N136">
            <v>6.21</v>
          </cell>
          <cell r="O136">
            <v>4.3899999999999997</v>
          </cell>
        </row>
        <row r="137">
          <cell r="L137" t="str">
            <v>Mesuji</v>
          </cell>
          <cell r="M137">
            <v>2.58</v>
          </cell>
          <cell r="N137">
            <v>3.36</v>
          </cell>
          <cell r="O137">
            <v>2.85</v>
          </cell>
        </row>
        <row r="138">
          <cell r="L138" t="str">
            <v>Tulang Bawang Barat</v>
          </cell>
          <cell r="M138">
            <v>4.0599999999999996</v>
          </cell>
          <cell r="N138">
            <v>4.21</v>
          </cell>
          <cell r="O138">
            <v>4.12</v>
          </cell>
        </row>
        <row r="139">
          <cell r="L139" t="str">
            <v>Pesisir Barat</v>
          </cell>
          <cell r="M139">
            <v>2.16</v>
          </cell>
          <cell r="N139">
            <v>4.47</v>
          </cell>
          <cell r="O139">
            <v>3.04</v>
          </cell>
        </row>
        <row r="140">
          <cell r="L140" t="str">
            <v>Kota Bandar Lampung</v>
          </cell>
          <cell r="M140">
            <v>7.01</v>
          </cell>
          <cell r="N140">
            <v>8.1</v>
          </cell>
          <cell r="O140">
            <v>7.44</v>
          </cell>
        </row>
        <row r="141">
          <cell r="L141" t="str">
            <v>Kota Metro</v>
          </cell>
          <cell r="M141">
            <v>4</v>
          </cell>
          <cell r="N141">
            <v>3.29</v>
          </cell>
          <cell r="O141">
            <v>3.71</v>
          </cell>
        </row>
        <row r="142">
          <cell r="L142" t="str">
            <v>Bangka</v>
          </cell>
          <cell r="M142">
            <v>2.68</v>
          </cell>
          <cell r="N142">
            <v>8.9</v>
          </cell>
          <cell r="O142">
            <v>4.91</v>
          </cell>
        </row>
        <row r="143">
          <cell r="L143" t="str">
            <v>Belitung</v>
          </cell>
          <cell r="M143">
            <v>3.16</v>
          </cell>
          <cell r="N143">
            <v>5.22</v>
          </cell>
          <cell r="O143">
            <v>3.88</v>
          </cell>
        </row>
        <row r="144">
          <cell r="L144" t="str">
            <v>Bangka Barat</v>
          </cell>
          <cell r="M144">
            <v>4.66</v>
          </cell>
          <cell r="N144">
            <v>5.27</v>
          </cell>
          <cell r="O144">
            <v>4.88</v>
          </cell>
        </row>
        <row r="145">
          <cell r="L145" t="str">
            <v>Bangka Tengah</v>
          </cell>
          <cell r="M145">
            <v>4.6100000000000003</v>
          </cell>
          <cell r="N145">
            <v>3.52</v>
          </cell>
          <cell r="O145">
            <v>4.2300000000000004</v>
          </cell>
        </row>
        <row r="146">
          <cell r="L146" t="str">
            <v>Bangka Selatan</v>
          </cell>
          <cell r="M146">
            <v>4.6100000000000003</v>
          </cell>
          <cell r="N146">
            <v>5.61</v>
          </cell>
          <cell r="O146">
            <v>4.9400000000000004</v>
          </cell>
        </row>
        <row r="147">
          <cell r="L147" t="str">
            <v>Belitung Timur</v>
          </cell>
          <cell r="M147">
            <v>2.7</v>
          </cell>
          <cell r="N147">
            <v>2.5</v>
          </cell>
          <cell r="O147">
            <v>2.63</v>
          </cell>
        </row>
        <row r="148">
          <cell r="L148" t="str">
            <v>Kota Pangkal Pinang</v>
          </cell>
          <cell r="M148">
            <v>5.52</v>
          </cell>
          <cell r="N148">
            <v>6.69</v>
          </cell>
          <cell r="O148">
            <v>5.98</v>
          </cell>
        </row>
        <row r="149">
          <cell r="L149" t="str">
            <v>Karimun</v>
          </cell>
          <cell r="M149">
            <v>5.53</v>
          </cell>
          <cell r="N149">
            <v>5.5</v>
          </cell>
          <cell r="O149">
            <v>5.52</v>
          </cell>
        </row>
        <row r="150">
          <cell r="L150" t="str">
            <v>Bintan</v>
          </cell>
          <cell r="M150">
            <v>3.06</v>
          </cell>
          <cell r="N150">
            <v>7.12</v>
          </cell>
          <cell r="O150">
            <v>4.53</v>
          </cell>
        </row>
        <row r="151">
          <cell r="L151" t="str">
            <v>Natuna</v>
          </cell>
          <cell r="M151">
            <v>2.76</v>
          </cell>
          <cell r="N151">
            <v>5.63</v>
          </cell>
          <cell r="O151">
            <v>3.89</v>
          </cell>
        </row>
        <row r="152">
          <cell r="L152" t="str">
            <v>Lingga</v>
          </cell>
          <cell r="M152">
            <v>3.43</v>
          </cell>
          <cell r="N152">
            <v>3.27</v>
          </cell>
          <cell r="O152">
            <v>3.38</v>
          </cell>
        </row>
        <row r="153">
          <cell r="L153" t="str">
            <v>Kepulauan Anambas</v>
          </cell>
          <cell r="M153">
            <v>2.81</v>
          </cell>
          <cell r="N153">
            <v>1.72</v>
          </cell>
          <cell r="O153">
            <v>2.38</v>
          </cell>
        </row>
        <row r="154">
          <cell r="L154" t="str">
            <v>Kota Batam</v>
          </cell>
          <cell r="M154">
            <v>7.2</v>
          </cell>
          <cell r="N154">
            <v>8.49</v>
          </cell>
          <cell r="O154">
            <v>7.68</v>
          </cell>
        </row>
        <row r="155">
          <cell r="L155" t="str">
            <v>Kota Tanjung Pinang</v>
          </cell>
          <cell r="M155">
            <v>5.16</v>
          </cell>
          <cell r="N155">
            <v>4.0199999999999996</v>
          </cell>
          <cell r="O155">
            <v>4.6900000000000004</v>
          </cell>
        </row>
        <row r="156">
          <cell r="L156" t="str">
            <v>Kep. Seribu</v>
          </cell>
          <cell r="M156">
            <v>6.95</v>
          </cell>
          <cell r="N156">
            <v>9.2899999999999991</v>
          </cell>
          <cell r="O156">
            <v>7.93</v>
          </cell>
        </row>
        <row r="157">
          <cell r="L157" t="str">
            <v>Kota Jakarta Selatan</v>
          </cell>
          <cell r="M157">
            <v>6.68</v>
          </cell>
          <cell r="N157">
            <v>2.92</v>
          </cell>
          <cell r="O157">
            <v>5.22</v>
          </cell>
        </row>
        <row r="158">
          <cell r="L158" t="str">
            <v>Kota Jakarta Timur</v>
          </cell>
          <cell r="M158">
            <v>6.27</v>
          </cell>
          <cell r="N158">
            <v>7.99</v>
          </cell>
          <cell r="O158">
            <v>6.95</v>
          </cell>
        </row>
        <row r="159">
          <cell r="L159" t="str">
            <v>Kota Jakarta Pusat</v>
          </cell>
          <cell r="M159">
            <v>6.4</v>
          </cell>
          <cell r="N159">
            <v>5.99</v>
          </cell>
          <cell r="O159">
            <v>6.24</v>
          </cell>
        </row>
        <row r="160">
          <cell r="L160" t="str">
            <v>Kota Jakarta Barat</v>
          </cell>
          <cell r="M160">
            <v>6.01</v>
          </cell>
          <cell r="N160">
            <v>6.46</v>
          </cell>
          <cell r="O160">
            <v>6.18</v>
          </cell>
        </row>
        <row r="161">
          <cell r="L161" t="str">
            <v>Kota Jakarta Utara</v>
          </cell>
          <cell r="M161">
            <v>5.79</v>
          </cell>
          <cell r="N161">
            <v>6.82</v>
          </cell>
          <cell r="O161">
            <v>6.18</v>
          </cell>
        </row>
        <row r="162">
          <cell r="L162" t="str">
            <v>Bogor</v>
          </cell>
          <cell r="M162">
            <v>7.86</v>
          </cell>
          <cell r="N162">
            <v>6.31</v>
          </cell>
          <cell r="O162">
            <v>7.34</v>
          </cell>
        </row>
        <row r="163">
          <cell r="L163" t="str">
            <v>Sukabumi</v>
          </cell>
          <cell r="M163">
            <v>6.87</v>
          </cell>
          <cell r="N163">
            <v>7.51</v>
          </cell>
          <cell r="O163">
            <v>7.11</v>
          </cell>
        </row>
        <row r="164">
          <cell r="L164" t="str">
            <v>Cianjur</v>
          </cell>
          <cell r="M164">
            <v>6.58</v>
          </cell>
          <cell r="N164">
            <v>4.99</v>
          </cell>
          <cell r="O164">
            <v>5.99</v>
          </cell>
        </row>
        <row r="165">
          <cell r="L165" t="str">
            <v>Bandung</v>
          </cell>
          <cell r="M165">
            <v>6.96</v>
          </cell>
          <cell r="N165">
            <v>5.35</v>
          </cell>
          <cell r="O165">
            <v>6.36</v>
          </cell>
        </row>
        <row r="166">
          <cell r="L166" t="str">
            <v>Garut</v>
          </cell>
          <cell r="M166">
            <v>7.65</v>
          </cell>
          <cell r="N166">
            <v>5.87</v>
          </cell>
          <cell r="O166">
            <v>6.96</v>
          </cell>
        </row>
        <row r="167">
          <cell r="L167" t="str">
            <v>Tasikmalaya</v>
          </cell>
          <cell r="M167">
            <v>4.9000000000000004</v>
          </cell>
          <cell r="N167">
            <v>1.87</v>
          </cell>
          <cell r="O167">
            <v>3.74</v>
          </cell>
        </row>
        <row r="168">
          <cell r="L168" t="str">
            <v>Ciamis</v>
          </cell>
          <cell r="M168">
            <v>4.7</v>
          </cell>
          <cell r="N168">
            <v>1.46</v>
          </cell>
          <cell r="O168">
            <v>3.37</v>
          </cell>
        </row>
        <row r="169">
          <cell r="L169" t="str">
            <v>Kuningan</v>
          </cell>
          <cell r="M169">
            <v>8.57</v>
          </cell>
          <cell r="N169">
            <v>6.51</v>
          </cell>
          <cell r="O169">
            <v>7.78</v>
          </cell>
        </row>
        <row r="170">
          <cell r="L170" t="str">
            <v>Cirebon</v>
          </cell>
          <cell r="M170">
            <v>7.43</v>
          </cell>
          <cell r="N170">
            <v>5.56</v>
          </cell>
          <cell r="O170">
            <v>6.74</v>
          </cell>
        </row>
        <row r="171">
          <cell r="L171" t="str">
            <v>Majalengka</v>
          </cell>
          <cell r="M171">
            <v>3.81</v>
          </cell>
          <cell r="N171">
            <v>4.32</v>
          </cell>
          <cell r="O171">
            <v>4.01</v>
          </cell>
        </row>
        <row r="172">
          <cell r="L172" t="str">
            <v>Sumedang</v>
          </cell>
          <cell r="M172">
            <v>7.08</v>
          </cell>
          <cell r="N172">
            <v>4.7300000000000004</v>
          </cell>
          <cell r="O172">
            <v>6.16</v>
          </cell>
        </row>
        <row r="173">
          <cell r="L173" t="str">
            <v>Indramayu</v>
          </cell>
          <cell r="M173">
            <v>6.58</v>
          </cell>
          <cell r="N173">
            <v>5.69</v>
          </cell>
          <cell r="O173">
            <v>6.25</v>
          </cell>
        </row>
        <row r="174">
          <cell r="L174" t="str">
            <v>Subang</v>
          </cell>
          <cell r="M174">
            <v>6.25</v>
          </cell>
          <cell r="N174">
            <v>7.49</v>
          </cell>
          <cell r="O174">
            <v>6.73</v>
          </cell>
        </row>
        <row r="175">
          <cell r="L175" t="str">
            <v>Purwakarta</v>
          </cell>
          <cell r="M175">
            <v>8.57</v>
          </cell>
          <cell r="N175">
            <v>4.9800000000000004</v>
          </cell>
          <cell r="O175">
            <v>7.34</v>
          </cell>
        </row>
        <row r="176">
          <cell r="L176" t="str">
            <v>Karawang</v>
          </cell>
          <cell r="M176">
            <v>7.39</v>
          </cell>
          <cell r="N176">
            <v>9.32</v>
          </cell>
          <cell r="O176">
            <v>8.0399999999999991</v>
          </cell>
        </row>
        <row r="177">
          <cell r="L177" t="str">
            <v>Bekasi</v>
          </cell>
          <cell r="M177">
            <v>9.17</v>
          </cell>
          <cell r="N177">
            <v>8.1199999999999992</v>
          </cell>
          <cell r="O177">
            <v>8.82</v>
          </cell>
        </row>
        <row r="178">
          <cell r="L178" t="str">
            <v>Bandung Barat</v>
          </cell>
          <cell r="M178">
            <v>6.59</v>
          </cell>
          <cell r="N178">
            <v>6.92</v>
          </cell>
          <cell r="O178">
            <v>6.7</v>
          </cell>
        </row>
        <row r="179">
          <cell r="L179" t="str">
            <v>Pangandaran</v>
          </cell>
          <cell r="M179">
            <v>1.85</v>
          </cell>
          <cell r="N179">
            <v>1.24</v>
          </cell>
          <cell r="O179">
            <v>1.58</v>
          </cell>
        </row>
        <row r="180">
          <cell r="L180" t="str">
            <v>Kota Bogor</v>
          </cell>
          <cell r="M180">
            <v>7.77</v>
          </cell>
          <cell r="N180">
            <v>8.74</v>
          </cell>
          <cell r="O180">
            <v>8.1300000000000008</v>
          </cell>
        </row>
        <row r="181">
          <cell r="L181" t="str">
            <v>Kota Sukabumi</v>
          </cell>
          <cell r="M181">
            <v>9.08</v>
          </cell>
          <cell r="N181">
            <v>7.07</v>
          </cell>
          <cell r="O181">
            <v>8.34</v>
          </cell>
        </row>
        <row r="182">
          <cell r="L182" t="str">
            <v>Kota Bandung</v>
          </cell>
          <cell r="M182">
            <v>7.23</v>
          </cell>
          <cell r="N182">
            <v>7.68</v>
          </cell>
          <cell r="O182">
            <v>7.4</v>
          </cell>
        </row>
        <row r="183">
          <cell r="L183" t="str">
            <v>Kota Cirebon</v>
          </cell>
          <cell r="M183">
            <v>6.27</v>
          </cell>
          <cell r="N183">
            <v>6.32</v>
          </cell>
          <cell r="O183">
            <v>6.29</v>
          </cell>
        </row>
        <row r="184">
          <cell r="L184" t="str">
            <v>Kota Bekasi</v>
          </cell>
          <cell r="M184">
            <v>8.82</v>
          </cell>
          <cell r="N184">
            <v>6.23</v>
          </cell>
          <cell r="O184">
            <v>7.82</v>
          </cell>
        </row>
        <row r="185">
          <cell r="L185" t="str">
            <v>Kota Depok</v>
          </cell>
          <cell r="M185">
            <v>6.55</v>
          </cell>
          <cell r="N185">
            <v>5.8</v>
          </cell>
          <cell r="O185">
            <v>6.27</v>
          </cell>
        </row>
        <row r="186">
          <cell r="L186" t="str">
            <v>Kota Cimahi</v>
          </cell>
          <cell r="M186">
            <v>8.5399999999999991</v>
          </cell>
          <cell r="N186">
            <v>9.69</v>
          </cell>
          <cell r="O186">
            <v>8.9700000000000006</v>
          </cell>
        </row>
        <row r="187">
          <cell r="L187" t="str">
            <v>Kota Tasikmalaya</v>
          </cell>
          <cell r="M187">
            <v>5.44</v>
          </cell>
          <cell r="N187">
            <v>8.1300000000000008</v>
          </cell>
          <cell r="O187">
            <v>6.49</v>
          </cell>
        </row>
        <row r="188">
          <cell r="L188" t="str">
            <v>Kota Banjar</v>
          </cell>
          <cell r="M188">
            <v>4.6399999999999997</v>
          </cell>
          <cell r="N188">
            <v>6.71</v>
          </cell>
          <cell r="O188">
            <v>5.44</v>
          </cell>
        </row>
        <row r="189">
          <cell r="L189" t="str">
            <v>Cilacap</v>
          </cell>
          <cell r="M189">
            <v>8.31</v>
          </cell>
          <cell r="N189">
            <v>7.05</v>
          </cell>
          <cell r="O189">
            <v>7.83</v>
          </cell>
        </row>
        <row r="190">
          <cell r="L190" t="str">
            <v>Banyumas</v>
          </cell>
          <cell r="M190">
            <v>6.73</v>
          </cell>
          <cell r="N190">
            <v>5.26</v>
          </cell>
          <cell r="O190">
            <v>6.18</v>
          </cell>
        </row>
        <row r="191">
          <cell r="L191" t="str">
            <v>Purbalingga</v>
          </cell>
          <cell r="M191">
            <v>6.28</v>
          </cell>
          <cell r="N191">
            <v>3.1</v>
          </cell>
          <cell r="O191">
            <v>4.96</v>
          </cell>
        </row>
        <row r="192">
          <cell r="L192" t="str">
            <v>Banjarnegara</v>
          </cell>
          <cell r="M192">
            <v>4.53</v>
          </cell>
          <cell r="N192">
            <v>7.14</v>
          </cell>
          <cell r="O192">
            <v>5.57</v>
          </cell>
        </row>
        <row r="193">
          <cell r="L193" t="str">
            <v>Kebumen</v>
          </cell>
          <cell r="M193">
            <v>5.96</v>
          </cell>
          <cell r="N193">
            <v>3.87</v>
          </cell>
          <cell r="O193">
            <v>5.07</v>
          </cell>
        </row>
        <row r="194">
          <cell r="L194" t="str">
            <v>Purworejo</v>
          </cell>
          <cell r="M194">
            <v>2.75</v>
          </cell>
          <cell r="N194">
            <v>5.41</v>
          </cell>
          <cell r="O194">
            <v>3.89</v>
          </cell>
        </row>
        <row r="195">
          <cell r="L195" t="str">
            <v>Wonosobo</v>
          </cell>
          <cell r="M195">
            <v>2.86</v>
          </cell>
          <cell r="N195">
            <v>5.7</v>
          </cell>
          <cell r="O195">
            <v>4.0199999999999996</v>
          </cell>
        </row>
        <row r="196">
          <cell r="L196" t="str">
            <v>Magelang</v>
          </cell>
          <cell r="M196">
            <v>4.13</v>
          </cell>
          <cell r="N196">
            <v>2.8</v>
          </cell>
          <cell r="O196">
            <v>3.55</v>
          </cell>
        </row>
        <row r="197">
          <cell r="L197" t="str">
            <v>Boyolali</v>
          </cell>
          <cell r="M197">
            <v>3.14</v>
          </cell>
          <cell r="N197">
            <v>3.18</v>
          </cell>
          <cell r="O197">
            <v>3.16</v>
          </cell>
        </row>
        <row r="198">
          <cell r="L198" t="str">
            <v>Klaten</v>
          </cell>
          <cell r="M198">
            <v>3.05</v>
          </cell>
          <cell r="N198">
            <v>5.16</v>
          </cell>
          <cell r="O198">
            <v>3.97</v>
          </cell>
        </row>
        <row r="199">
          <cell r="L199" t="str">
            <v>Sukoharjo</v>
          </cell>
          <cell r="M199">
            <v>4.0999999999999996</v>
          </cell>
          <cell r="N199">
            <v>3.02</v>
          </cell>
          <cell r="O199">
            <v>3.65</v>
          </cell>
        </row>
        <row r="200">
          <cell r="L200" t="str">
            <v>Wonogiri</v>
          </cell>
          <cell r="M200">
            <v>2.31</v>
          </cell>
          <cell r="N200">
            <v>2.52</v>
          </cell>
          <cell r="O200">
            <v>2.4</v>
          </cell>
        </row>
        <row r="201">
          <cell r="L201" t="str">
            <v>Karanganyar</v>
          </cell>
          <cell r="M201">
            <v>4.67</v>
          </cell>
          <cell r="N201">
            <v>1.9</v>
          </cell>
          <cell r="O201">
            <v>3.47</v>
          </cell>
        </row>
        <row r="202">
          <cell r="L202" t="str">
            <v>Sragen</v>
          </cell>
          <cell r="M202">
            <v>4.37</v>
          </cell>
          <cell r="N202">
            <v>2.46</v>
          </cell>
          <cell r="O202">
            <v>3.53</v>
          </cell>
        </row>
        <row r="203">
          <cell r="L203" t="str">
            <v>Grobogan</v>
          </cell>
          <cell r="M203">
            <v>3.31</v>
          </cell>
          <cell r="N203">
            <v>3.13</v>
          </cell>
          <cell r="O203">
            <v>3.23</v>
          </cell>
        </row>
        <row r="204">
          <cell r="L204" t="str">
            <v>Blora</v>
          </cell>
          <cell r="M204">
            <v>5.25</v>
          </cell>
          <cell r="N204">
            <v>1.5</v>
          </cell>
          <cell r="O204">
            <v>3.67</v>
          </cell>
        </row>
        <row r="205">
          <cell r="L205" t="str">
            <v>Rembang</v>
          </cell>
          <cell r="M205">
            <v>3.84</v>
          </cell>
          <cell r="N205">
            <v>1.43</v>
          </cell>
          <cell r="O205">
            <v>2.84</v>
          </cell>
        </row>
        <row r="206">
          <cell r="L206" t="str">
            <v>Pati</v>
          </cell>
          <cell r="M206">
            <v>3.98</v>
          </cell>
          <cell r="N206">
            <v>3.71</v>
          </cell>
          <cell r="O206">
            <v>3.87</v>
          </cell>
        </row>
        <row r="207">
          <cell r="L207" t="str">
            <v>Kudus</v>
          </cell>
          <cell r="M207">
            <v>3.17</v>
          </cell>
          <cell r="N207">
            <v>3.21</v>
          </cell>
          <cell r="O207">
            <v>3.19</v>
          </cell>
        </row>
        <row r="208">
          <cell r="L208" t="str">
            <v>Jepara</v>
          </cell>
          <cell r="M208">
            <v>3.07</v>
          </cell>
          <cell r="N208">
            <v>3.74</v>
          </cell>
          <cell r="O208">
            <v>3.34</v>
          </cell>
        </row>
        <row r="209">
          <cell r="L209" t="str">
            <v>Demak</v>
          </cell>
          <cell r="M209">
            <v>5.24</v>
          </cell>
          <cell r="N209">
            <v>4.0199999999999996</v>
          </cell>
          <cell r="O209">
            <v>4.75</v>
          </cell>
        </row>
        <row r="210">
          <cell r="L210" t="str">
            <v>Semarang</v>
          </cell>
          <cell r="M210">
            <v>4.32</v>
          </cell>
          <cell r="N210">
            <v>3.02</v>
          </cell>
          <cell r="O210">
            <v>3.73</v>
          </cell>
        </row>
        <row r="211">
          <cell r="L211" t="str">
            <v>Temanggung</v>
          </cell>
          <cell r="M211">
            <v>2.1800000000000002</v>
          </cell>
          <cell r="N211">
            <v>2.57</v>
          </cell>
          <cell r="O211">
            <v>2.35</v>
          </cell>
        </row>
        <row r="212">
          <cell r="L212" t="str">
            <v>Kendal</v>
          </cell>
          <cell r="M212">
            <v>3.58</v>
          </cell>
          <cell r="N212">
            <v>6.91</v>
          </cell>
          <cell r="O212">
            <v>5.01</v>
          </cell>
        </row>
        <row r="213">
          <cell r="L213" t="str">
            <v>Batang</v>
          </cell>
          <cell r="M213">
            <v>5.78</v>
          </cell>
          <cell r="N213">
            <v>5.51</v>
          </cell>
          <cell r="O213">
            <v>5.67</v>
          </cell>
        </row>
        <row r="214">
          <cell r="L214" t="str">
            <v>Pekalongan</v>
          </cell>
          <cell r="M214">
            <v>3.89</v>
          </cell>
          <cell r="N214">
            <v>2.4900000000000002</v>
          </cell>
          <cell r="O214">
            <v>3.3</v>
          </cell>
        </row>
        <row r="215">
          <cell r="L215" t="str">
            <v>Pemalang</v>
          </cell>
          <cell r="M215">
            <v>6.11</v>
          </cell>
          <cell r="N215">
            <v>7.4</v>
          </cell>
          <cell r="O215">
            <v>6.63</v>
          </cell>
        </row>
        <row r="216">
          <cell r="L216" t="str">
            <v>Tegal</v>
          </cell>
          <cell r="M216">
            <v>6.57</v>
          </cell>
          <cell r="N216">
            <v>8.7899999999999991</v>
          </cell>
          <cell r="O216">
            <v>7.53</v>
          </cell>
        </row>
        <row r="217">
          <cell r="L217" t="str">
            <v>Brebes</v>
          </cell>
          <cell r="M217">
            <v>8.52</v>
          </cell>
          <cell r="N217">
            <v>8.07</v>
          </cell>
          <cell r="O217">
            <v>8.35</v>
          </cell>
        </row>
        <row r="218">
          <cell r="L218" t="str">
            <v>Kota Magelang</v>
          </cell>
          <cell r="M218">
            <v>4.8899999999999997</v>
          </cell>
          <cell r="N218">
            <v>3.76</v>
          </cell>
          <cell r="O218">
            <v>4.4000000000000004</v>
          </cell>
        </row>
        <row r="219">
          <cell r="L219" t="str">
            <v>Kota Surakarta</v>
          </cell>
          <cell r="M219">
            <v>4.25</v>
          </cell>
          <cell r="N219">
            <v>5.0999999999999996</v>
          </cell>
          <cell r="O219">
            <v>4.6100000000000003</v>
          </cell>
        </row>
        <row r="220">
          <cell r="L220" t="str">
            <v>Kota Salatiga</v>
          </cell>
          <cell r="M220">
            <v>4.25</v>
          </cell>
          <cell r="N220">
            <v>3.38</v>
          </cell>
          <cell r="O220">
            <v>3.86</v>
          </cell>
        </row>
        <row r="221">
          <cell r="L221" t="str">
            <v>Kota Semarang</v>
          </cell>
          <cell r="M221">
            <v>3.58</v>
          </cell>
          <cell r="N221">
            <v>8.68</v>
          </cell>
          <cell r="O221">
            <v>5.82</v>
          </cell>
        </row>
        <row r="222">
          <cell r="L222" t="str">
            <v>Kota Pekalongan</v>
          </cell>
          <cell r="M222">
            <v>5.49</v>
          </cell>
          <cell r="N222">
            <v>4.16</v>
          </cell>
          <cell r="O222">
            <v>4.91</v>
          </cell>
        </row>
        <row r="223">
          <cell r="L223" t="str">
            <v>Kota Tegal</v>
          </cell>
          <cell r="M223">
            <v>6.26</v>
          </cell>
          <cell r="N223">
            <v>5.3</v>
          </cell>
          <cell r="O223">
            <v>5.88</v>
          </cell>
        </row>
        <row r="224">
          <cell r="L224" t="str">
            <v>Kulon Progo</v>
          </cell>
          <cell r="M224">
            <v>2.11</v>
          </cell>
          <cell r="N224">
            <v>1.9</v>
          </cell>
          <cell r="O224">
            <v>2.0099999999999998</v>
          </cell>
        </row>
        <row r="225">
          <cell r="L225" t="str">
            <v>Bantul</v>
          </cell>
          <cell r="M225">
            <v>4.2300000000000004</v>
          </cell>
          <cell r="N225">
            <v>2.88</v>
          </cell>
          <cell r="O225">
            <v>3.62</v>
          </cell>
        </row>
        <row r="226">
          <cell r="L226" t="str">
            <v>Gunung Kidul</v>
          </cell>
          <cell r="M226">
            <v>2.96</v>
          </cell>
          <cell r="N226">
            <v>1.18</v>
          </cell>
          <cell r="O226">
            <v>2.16</v>
          </cell>
        </row>
        <row r="227">
          <cell r="L227" t="str">
            <v>Sleman</v>
          </cell>
          <cell r="M227">
            <v>4.72</v>
          </cell>
          <cell r="N227">
            <v>3.39</v>
          </cell>
          <cell r="O227">
            <v>4.13</v>
          </cell>
        </row>
        <row r="228">
          <cell r="L228" t="str">
            <v>Kota Yogyakarta</v>
          </cell>
          <cell r="M228">
            <v>6.4</v>
          </cell>
          <cell r="N228">
            <v>5.13</v>
          </cell>
          <cell r="O228">
            <v>5.8</v>
          </cell>
        </row>
        <row r="229">
          <cell r="L229" t="str">
            <v>Pacitan</v>
          </cell>
          <cell r="M229">
            <v>1.8</v>
          </cell>
          <cell r="N229">
            <v>1.29</v>
          </cell>
          <cell r="O229">
            <v>1.56</v>
          </cell>
        </row>
        <row r="230">
          <cell r="L230" t="str">
            <v>Ponorogo</v>
          </cell>
          <cell r="M230">
            <v>4.62</v>
          </cell>
          <cell r="N230">
            <v>3.68</v>
          </cell>
          <cell r="O230">
            <v>4.1900000000000004</v>
          </cell>
        </row>
        <row r="231">
          <cell r="L231" t="str">
            <v>Trenggalek</v>
          </cell>
          <cell r="M231">
            <v>4.3600000000000003</v>
          </cell>
          <cell r="N231">
            <v>3.31</v>
          </cell>
          <cell r="O231">
            <v>3.9</v>
          </cell>
        </row>
        <row r="232">
          <cell r="L232" t="str">
            <v>Tulungagung</v>
          </cell>
          <cell r="M232">
            <v>4.6399999999999997</v>
          </cell>
          <cell r="N232">
            <v>3.4</v>
          </cell>
          <cell r="O232">
            <v>4.12</v>
          </cell>
        </row>
        <row r="233">
          <cell r="L233" t="str">
            <v>Blitar</v>
          </cell>
          <cell r="M233">
            <v>4.72</v>
          </cell>
          <cell r="N233">
            <v>4.8499999999999996</v>
          </cell>
          <cell r="O233">
            <v>4.7699999999999996</v>
          </cell>
        </row>
        <row r="234">
          <cell r="L234" t="str">
            <v>Kediri</v>
          </cell>
          <cell r="M234">
            <v>5.66</v>
          </cell>
          <cell r="N234">
            <v>4.21</v>
          </cell>
          <cell r="O234">
            <v>5.0999999999999996</v>
          </cell>
        </row>
        <row r="235">
          <cell r="L235" t="str">
            <v>Malang</v>
          </cell>
          <cell r="M235">
            <v>5.47</v>
          </cell>
          <cell r="N235">
            <v>4.62</v>
          </cell>
          <cell r="O235">
            <v>5.13</v>
          </cell>
        </row>
        <row r="236">
          <cell r="L236" t="str">
            <v>Lumajang</v>
          </cell>
          <cell r="M236">
            <v>3.44</v>
          </cell>
          <cell r="N236">
            <v>3.03</v>
          </cell>
          <cell r="O236">
            <v>3.28</v>
          </cell>
        </row>
        <row r="237">
          <cell r="L237" t="str">
            <v>Jember</v>
          </cell>
          <cell r="M237">
            <v>3.07</v>
          </cell>
          <cell r="N237">
            <v>3.45</v>
          </cell>
          <cell r="O237">
            <v>3.23</v>
          </cell>
        </row>
        <row r="238">
          <cell r="L238" t="str">
            <v>Banyuwangi</v>
          </cell>
          <cell r="M238">
            <v>4.46</v>
          </cell>
          <cell r="N238">
            <v>3.45</v>
          </cell>
          <cell r="O238">
            <v>4.03</v>
          </cell>
        </row>
        <row r="239">
          <cell r="L239" t="str">
            <v>Bondowoso</v>
          </cell>
          <cell r="M239">
            <v>4.59</v>
          </cell>
          <cell r="N239">
            <v>2.27</v>
          </cell>
          <cell r="O239">
            <v>3.63</v>
          </cell>
        </row>
        <row r="240">
          <cell r="L240" t="str">
            <v>Situbondo</v>
          </cell>
          <cell r="M240">
            <v>3.81</v>
          </cell>
          <cell r="N240">
            <v>2.27</v>
          </cell>
          <cell r="O240">
            <v>3.15</v>
          </cell>
        </row>
        <row r="241">
          <cell r="L241" t="str">
            <v>Probolinggo</v>
          </cell>
          <cell r="M241">
            <v>3.65</v>
          </cell>
          <cell r="N241">
            <v>2.0499999999999998</v>
          </cell>
          <cell r="O241">
            <v>3</v>
          </cell>
        </row>
        <row r="242">
          <cell r="L242" t="str">
            <v>Pasuruan</v>
          </cell>
          <cell r="M242">
            <v>4.99</v>
          </cell>
          <cell r="N242">
            <v>5.0599999999999996</v>
          </cell>
          <cell r="O242">
            <v>5.0199999999999996</v>
          </cell>
        </row>
        <row r="243">
          <cell r="L243" t="str">
            <v>Sidoarjo</v>
          </cell>
          <cell r="M243">
            <v>6.64</v>
          </cell>
          <cell r="N243">
            <v>6.25</v>
          </cell>
          <cell r="O243">
            <v>6.49</v>
          </cell>
        </row>
        <row r="244">
          <cell r="L244" t="str">
            <v>Mojokerto</v>
          </cell>
          <cell r="M244">
            <v>3.97</v>
          </cell>
          <cell r="N244">
            <v>3.73</v>
          </cell>
          <cell r="O244">
            <v>3.87</v>
          </cell>
        </row>
        <row r="245">
          <cell r="L245" t="str">
            <v>Jombang</v>
          </cell>
          <cell r="M245">
            <v>4.4800000000000004</v>
          </cell>
          <cell r="N245">
            <v>2.67</v>
          </cell>
          <cell r="O245">
            <v>3.75</v>
          </cell>
        </row>
        <row r="246">
          <cell r="L246" t="str">
            <v>Nganjuk</v>
          </cell>
          <cell r="M246">
            <v>3.8</v>
          </cell>
          <cell r="N246">
            <v>3.98</v>
          </cell>
          <cell r="O246">
            <v>3.87</v>
          </cell>
        </row>
        <row r="247">
          <cell r="L247" t="str">
            <v>Madiun</v>
          </cell>
          <cell r="M247">
            <v>4.63</v>
          </cell>
          <cell r="N247">
            <v>3.94</v>
          </cell>
          <cell r="O247">
            <v>4.34</v>
          </cell>
        </row>
        <row r="248">
          <cell r="L248" t="str">
            <v>Magetan</v>
          </cell>
          <cell r="M248">
            <v>3.32</v>
          </cell>
          <cell r="N248">
            <v>3.24</v>
          </cell>
          <cell r="O248">
            <v>3.28</v>
          </cell>
        </row>
        <row r="249">
          <cell r="L249" t="str">
            <v>Ngawi</v>
          </cell>
          <cell r="M249">
            <v>3.17</v>
          </cell>
          <cell r="N249">
            <v>1.42</v>
          </cell>
          <cell r="O249">
            <v>2.4</v>
          </cell>
        </row>
        <row r="250">
          <cell r="L250" t="str">
            <v>Bojonegoro</v>
          </cell>
          <cell r="M250">
            <v>4.3899999999999997</v>
          </cell>
          <cell r="N250">
            <v>4.45</v>
          </cell>
          <cell r="O250">
            <v>4.42</v>
          </cell>
        </row>
        <row r="251">
          <cell r="L251" t="str">
            <v>Tuban</v>
          </cell>
          <cell r="M251">
            <v>4.3600000000000003</v>
          </cell>
          <cell r="N251">
            <v>4.16</v>
          </cell>
          <cell r="O251">
            <v>4.28</v>
          </cell>
        </row>
        <row r="252">
          <cell r="L252" t="str">
            <v>Lamongan</v>
          </cell>
          <cell r="M252">
            <v>5</v>
          </cell>
          <cell r="N252">
            <v>3.4</v>
          </cell>
          <cell r="O252">
            <v>4.34</v>
          </cell>
        </row>
        <row r="253">
          <cell r="L253" t="str">
            <v>Gresik</v>
          </cell>
          <cell r="M253">
            <v>6.26</v>
          </cell>
          <cell r="N253">
            <v>6.75</v>
          </cell>
          <cell r="O253">
            <v>6.45</v>
          </cell>
        </row>
        <row r="254">
          <cell r="L254" t="str">
            <v>Bangkalan</v>
          </cell>
          <cell r="M254">
            <v>5.42</v>
          </cell>
          <cell r="N254">
            <v>5.25</v>
          </cell>
          <cell r="O254">
            <v>5.35</v>
          </cell>
        </row>
        <row r="255">
          <cell r="L255" t="str">
            <v>Sampang</v>
          </cell>
          <cell r="M255">
            <v>3.3</v>
          </cell>
          <cell r="N255">
            <v>1.36</v>
          </cell>
          <cell r="O255">
            <v>2.5</v>
          </cell>
        </row>
        <row r="256">
          <cell r="L256" t="str">
            <v>Pamekasan</v>
          </cell>
          <cell r="M256">
            <v>1.94</v>
          </cell>
          <cell r="N256">
            <v>1.3</v>
          </cell>
          <cell r="O256">
            <v>1.64</v>
          </cell>
        </row>
        <row r="257">
          <cell r="L257" t="str">
            <v>Sumenep</v>
          </cell>
          <cell r="M257">
            <v>1.92</v>
          </cell>
          <cell r="N257">
            <v>1.42</v>
          </cell>
          <cell r="O257">
            <v>1.69</v>
          </cell>
        </row>
        <row r="258">
          <cell r="L258" t="str">
            <v>Kota Kediri</v>
          </cell>
          <cell r="M258">
            <v>4.0199999999999996</v>
          </cell>
          <cell r="N258">
            <v>3.77</v>
          </cell>
          <cell r="O258">
            <v>3.91</v>
          </cell>
        </row>
        <row r="259">
          <cell r="L259" t="str">
            <v>Kota Blitar</v>
          </cell>
          <cell r="M259">
            <v>4.82</v>
          </cell>
          <cell r="N259">
            <v>5.5</v>
          </cell>
          <cell r="O259">
            <v>5.1100000000000003</v>
          </cell>
        </row>
        <row r="260">
          <cell r="L260" t="str">
            <v>Kota Malang</v>
          </cell>
          <cell r="M260">
            <v>6.24</v>
          </cell>
          <cell r="N260">
            <v>5.89</v>
          </cell>
          <cell r="O260">
            <v>6.1</v>
          </cell>
        </row>
        <row r="261">
          <cell r="L261" t="str">
            <v>Kota Probolinggo</v>
          </cell>
          <cell r="M261">
            <v>4.5199999999999996</v>
          </cell>
          <cell r="N261">
            <v>4.3</v>
          </cell>
          <cell r="O261">
            <v>4.4400000000000004</v>
          </cell>
        </row>
        <row r="262">
          <cell r="L262" t="str">
            <v>Kota Pasuruan</v>
          </cell>
          <cell r="M262">
            <v>4.9000000000000004</v>
          </cell>
          <cell r="N262">
            <v>4.28</v>
          </cell>
          <cell r="O262">
            <v>4.63</v>
          </cell>
        </row>
        <row r="263">
          <cell r="L263" t="str">
            <v>Kota Mojokerto</v>
          </cell>
          <cell r="M263">
            <v>3.41</v>
          </cell>
          <cell r="N263">
            <v>4.2300000000000004</v>
          </cell>
          <cell r="O263">
            <v>3.76</v>
          </cell>
        </row>
        <row r="264">
          <cell r="L264" t="str">
            <v>Kota Madiun</v>
          </cell>
          <cell r="M264">
            <v>4.46</v>
          </cell>
          <cell r="N264">
            <v>4.1100000000000003</v>
          </cell>
          <cell r="O264">
            <v>4.3</v>
          </cell>
        </row>
        <row r="265">
          <cell r="L265" t="str">
            <v>Kota Surabaya</v>
          </cell>
          <cell r="M265">
            <v>4.8499999999999996</v>
          </cell>
          <cell r="N265">
            <v>4.99</v>
          </cell>
          <cell r="O265">
            <v>4.91</v>
          </cell>
        </row>
        <row r="266">
          <cell r="L266" t="str">
            <v>Kota Batu</v>
          </cell>
          <cell r="M266">
            <v>3.93</v>
          </cell>
          <cell r="N266">
            <v>3.19</v>
          </cell>
          <cell r="O266">
            <v>3.63</v>
          </cell>
        </row>
        <row r="267">
          <cell r="L267" t="str">
            <v>Pandeglang</v>
          </cell>
          <cell r="M267">
            <v>7.66</v>
          </cell>
          <cell r="N267">
            <v>8.84</v>
          </cell>
          <cell r="O267">
            <v>8.09</v>
          </cell>
        </row>
        <row r="268">
          <cell r="L268" t="str">
            <v>Lebak</v>
          </cell>
          <cell r="M268">
            <v>6.52</v>
          </cell>
          <cell r="N268">
            <v>5.75</v>
          </cell>
          <cell r="O268">
            <v>6.23</v>
          </cell>
        </row>
        <row r="269">
          <cell r="L269" t="str">
            <v>Tangerang</v>
          </cell>
          <cell r="M269">
            <v>5.83</v>
          </cell>
          <cell r="N269">
            <v>6.48</v>
          </cell>
          <cell r="O269">
            <v>6.06</v>
          </cell>
        </row>
        <row r="270">
          <cell r="L270" t="str">
            <v>Serang</v>
          </cell>
          <cell r="M270">
            <v>8.3699999999999992</v>
          </cell>
          <cell r="N270">
            <v>10.53</v>
          </cell>
          <cell r="O270">
            <v>9.18</v>
          </cell>
        </row>
        <row r="271">
          <cell r="L271" t="str">
            <v>Kota Tangerang</v>
          </cell>
          <cell r="M271">
            <v>5.57</v>
          </cell>
          <cell r="N271">
            <v>6.49</v>
          </cell>
          <cell r="O271">
            <v>5.92</v>
          </cell>
        </row>
        <row r="272">
          <cell r="L272" t="str">
            <v>Kota Cilegon</v>
          </cell>
          <cell r="M272">
            <v>5.93</v>
          </cell>
          <cell r="N272">
            <v>6.37</v>
          </cell>
          <cell r="O272">
            <v>6.08</v>
          </cell>
        </row>
        <row r="273">
          <cell r="L273" t="str">
            <v>Kota Serang</v>
          </cell>
          <cell r="M273">
            <v>6.95</v>
          </cell>
          <cell r="N273">
            <v>7.4</v>
          </cell>
          <cell r="O273">
            <v>7.12</v>
          </cell>
        </row>
        <row r="274">
          <cell r="L274" t="str">
            <v>Kota Tangerang Selatan</v>
          </cell>
          <cell r="M274">
            <v>4.76</v>
          </cell>
          <cell r="N274">
            <v>5.7</v>
          </cell>
          <cell r="O274">
            <v>5.09</v>
          </cell>
        </row>
        <row r="275">
          <cell r="L275" t="str">
            <v>Jembrana</v>
          </cell>
          <cell r="M275">
            <v>1.69</v>
          </cell>
          <cell r="N275">
            <v>1.35</v>
          </cell>
          <cell r="O275">
            <v>1.53</v>
          </cell>
        </row>
        <row r="276">
          <cell r="L276" t="str">
            <v>Tabanan</v>
          </cell>
          <cell r="M276">
            <v>1.32</v>
          </cell>
          <cell r="N276">
            <v>2.48</v>
          </cell>
          <cell r="O276">
            <v>1.85</v>
          </cell>
        </row>
        <row r="277">
          <cell r="L277" t="str">
            <v>Badung</v>
          </cell>
          <cell r="M277">
            <v>2.16</v>
          </cell>
          <cell r="N277">
            <v>1.43</v>
          </cell>
          <cell r="O277">
            <v>1.83</v>
          </cell>
        </row>
        <row r="278">
          <cell r="L278" t="str">
            <v>Gianyar</v>
          </cell>
          <cell r="M278">
            <v>2.3199999999999998</v>
          </cell>
          <cell r="N278">
            <v>1.59</v>
          </cell>
          <cell r="O278">
            <v>1.98</v>
          </cell>
        </row>
        <row r="279">
          <cell r="L279" t="str">
            <v>Klungkung</v>
          </cell>
          <cell r="M279">
            <v>1.22</v>
          </cell>
          <cell r="N279">
            <v>1.25</v>
          </cell>
          <cell r="O279">
            <v>1.23</v>
          </cell>
        </row>
        <row r="280">
          <cell r="L280" t="str">
            <v>Bangli</v>
          </cell>
          <cell r="M280">
            <v>1.24</v>
          </cell>
          <cell r="N280">
            <v>0.15</v>
          </cell>
          <cell r="O280">
            <v>0.74</v>
          </cell>
        </row>
        <row r="281">
          <cell r="L281" t="str">
            <v>Karangasem</v>
          </cell>
          <cell r="M281">
            <v>1.7</v>
          </cell>
          <cell r="N281">
            <v>1.56</v>
          </cell>
          <cell r="O281">
            <v>1.63</v>
          </cell>
        </row>
        <row r="282">
          <cell r="L282" t="str">
            <v>Buleleng</v>
          </cell>
          <cell r="M282">
            <v>2.59</v>
          </cell>
          <cell r="N282">
            <v>1.46</v>
          </cell>
          <cell r="O282">
            <v>2.06</v>
          </cell>
        </row>
        <row r="283">
          <cell r="L283" t="str">
            <v>Kota Denpasar</v>
          </cell>
          <cell r="M283">
            <v>1.96</v>
          </cell>
          <cell r="N283">
            <v>2.31</v>
          </cell>
          <cell r="O283">
            <v>2.11</v>
          </cell>
        </row>
        <row r="284">
          <cell r="L284" t="str">
            <v>Lombok Barat</v>
          </cell>
          <cell r="M284">
            <v>2.61</v>
          </cell>
          <cell r="N284">
            <v>2.94</v>
          </cell>
          <cell r="O284">
            <v>2.75</v>
          </cell>
        </row>
        <row r="285">
          <cell r="L285" t="str">
            <v>Lombok Tengah</v>
          </cell>
          <cell r="M285">
            <v>3.19</v>
          </cell>
          <cell r="N285">
            <v>1.76</v>
          </cell>
          <cell r="O285">
            <v>2.5499999999999998</v>
          </cell>
        </row>
        <row r="286">
          <cell r="L286" t="str">
            <v>Lombok Timur</v>
          </cell>
          <cell r="M286">
            <v>2.35</v>
          </cell>
          <cell r="N286">
            <v>2.75</v>
          </cell>
          <cell r="O286">
            <v>2.5299999999999998</v>
          </cell>
        </row>
        <row r="287">
          <cell r="L287" t="str">
            <v>Sumbawa</v>
          </cell>
          <cell r="M287">
            <v>3.17</v>
          </cell>
          <cell r="N287">
            <v>2.0499999999999998</v>
          </cell>
          <cell r="O287">
            <v>2.67</v>
          </cell>
        </row>
        <row r="288">
          <cell r="L288" t="str">
            <v>Dompu</v>
          </cell>
          <cell r="M288">
            <v>3.19</v>
          </cell>
          <cell r="N288">
            <v>2.12</v>
          </cell>
          <cell r="O288">
            <v>2.7</v>
          </cell>
        </row>
        <row r="289">
          <cell r="L289" t="str">
            <v>Bima</v>
          </cell>
          <cell r="M289">
            <v>1.52</v>
          </cell>
          <cell r="N289">
            <v>3.04</v>
          </cell>
          <cell r="O289">
            <v>2.19</v>
          </cell>
        </row>
        <row r="290">
          <cell r="L290" t="str">
            <v>Sumbawa Barat</v>
          </cell>
          <cell r="M290">
            <v>3.12</v>
          </cell>
          <cell r="N290">
            <v>3.07</v>
          </cell>
          <cell r="O290">
            <v>3.1</v>
          </cell>
        </row>
        <row r="291">
          <cell r="L291" t="str">
            <v>Lombok Utara</v>
          </cell>
          <cell r="M291">
            <v>1.8</v>
          </cell>
          <cell r="N291">
            <v>1.93</v>
          </cell>
          <cell r="O291">
            <v>1.85</v>
          </cell>
        </row>
        <row r="292">
          <cell r="L292" t="str">
            <v>Kota Mataram</v>
          </cell>
          <cell r="M292">
            <v>5.28</v>
          </cell>
          <cell r="N292">
            <v>4.29</v>
          </cell>
          <cell r="O292">
            <v>4.8499999999999996</v>
          </cell>
        </row>
        <row r="293">
          <cell r="L293" t="str">
            <v>Kota Bima</v>
          </cell>
          <cell r="M293">
            <v>3.22</v>
          </cell>
          <cell r="N293">
            <v>3.33</v>
          </cell>
          <cell r="O293">
            <v>3.27</v>
          </cell>
        </row>
        <row r="294">
          <cell r="L294" t="str">
            <v>Sumba Barat</v>
          </cell>
          <cell r="M294">
            <v>2.25</v>
          </cell>
          <cell r="N294">
            <v>4.34</v>
          </cell>
          <cell r="O294">
            <v>3.21</v>
          </cell>
        </row>
        <row r="295">
          <cell r="L295" t="str">
            <v>Sumba Timur</v>
          </cell>
          <cell r="M295">
            <v>3.42</v>
          </cell>
          <cell r="N295">
            <v>3.52</v>
          </cell>
          <cell r="O295">
            <v>3.46</v>
          </cell>
        </row>
        <row r="296">
          <cell r="L296" t="str">
            <v>Kupang</v>
          </cell>
          <cell r="M296">
            <v>2.68</v>
          </cell>
          <cell r="N296">
            <v>4.3899999999999997</v>
          </cell>
          <cell r="O296">
            <v>3.36</v>
          </cell>
        </row>
        <row r="297">
          <cell r="L297" t="str">
            <v>Timor Tengah Selatan</v>
          </cell>
          <cell r="M297">
            <v>3</v>
          </cell>
          <cell r="N297">
            <v>2.23</v>
          </cell>
          <cell r="O297">
            <v>2.63</v>
          </cell>
        </row>
        <row r="298">
          <cell r="L298" t="str">
            <v>Timor Tengah Utara</v>
          </cell>
          <cell r="M298">
            <v>1.35</v>
          </cell>
          <cell r="N298">
            <v>2.33</v>
          </cell>
          <cell r="O298">
            <v>1.82</v>
          </cell>
        </row>
        <row r="299">
          <cell r="L299" t="str">
            <v>Belu</v>
          </cell>
          <cell r="M299">
            <v>4.22</v>
          </cell>
          <cell r="N299">
            <v>6.92</v>
          </cell>
          <cell r="O299">
            <v>5.41</v>
          </cell>
        </row>
        <row r="300">
          <cell r="L300" t="str">
            <v>Alor</v>
          </cell>
          <cell r="M300">
            <v>1.79</v>
          </cell>
          <cell r="N300">
            <v>2.77</v>
          </cell>
          <cell r="O300">
            <v>2.27</v>
          </cell>
        </row>
        <row r="301">
          <cell r="L301" t="str">
            <v>Lembata</v>
          </cell>
          <cell r="M301">
            <v>2.15</v>
          </cell>
          <cell r="N301">
            <v>2.2000000000000002</v>
          </cell>
          <cell r="O301">
            <v>2.1800000000000002</v>
          </cell>
        </row>
        <row r="302">
          <cell r="L302" t="str">
            <v>Flores Timur</v>
          </cell>
          <cell r="M302">
            <v>3.34</v>
          </cell>
          <cell r="N302">
            <v>3.84</v>
          </cell>
          <cell r="O302">
            <v>3.58</v>
          </cell>
        </row>
        <row r="303">
          <cell r="L303" t="str">
            <v>Sikka</v>
          </cell>
          <cell r="M303">
            <v>1.78</v>
          </cell>
          <cell r="N303">
            <v>2.96</v>
          </cell>
          <cell r="O303">
            <v>2.33</v>
          </cell>
        </row>
        <row r="304">
          <cell r="L304" t="str">
            <v>Ende</v>
          </cell>
          <cell r="M304">
            <v>1.97</v>
          </cell>
          <cell r="N304">
            <v>2.14</v>
          </cell>
          <cell r="O304">
            <v>2.0499999999999998</v>
          </cell>
        </row>
        <row r="305">
          <cell r="L305" t="str">
            <v>Ngada</v>
          </cell>
          <cell r="M305">
            <v>3.39</v>
          </cell>
          <cell r="N305">
            <v>1.96</v>
          </cell>
          <cell r="O305">
            <v>2.68</v>
          </cell>
        </row>
        <row r="306">
          <cell r="L306" t="str">
            <v>Manggarai</v>
          </cell>
          <cell r="M306">
            <v>1.21</v>
          </cell>
          <cell r="N306">
            <v>1.1200000000000001</v>
          </cell>
          <cell r="O306">
            <v>1.17</v>
          </cell>
        </row>
        <row r="307">
          <cell r="L307" t="str">
            <v>Rote Ndao</v>
          </cell>
          <cell r="M307">
            <v>2.35</v>
          </cell>
          <cell r="N307">
            <v>2.52</v>
          </cell>
          <cell r="O307">
            <v>2.42</v>
          </cell>
        </row>
        <row r="308">
          <cell r="L308" t="str">
            <v>Manggarai Barat</v>
          </cell>
          <cell r="M308">
            <v>3.59</v>
          </cell>
          <cell r="N308">
            <v>3.32</v>
          </cell>
          <cell r="O308">
            <v>3.47</v>
          </cell>
        </row>
        <row r="309">
          <cell r="L309" t="str">
            <v>Sumba Tengah</v>
          </cell>
          <cell r="M309">
            <v>1.08</v>
          </cell>
          <cell r="N309">
            <v>2.94</v>
          </cell>
          <cell r="O309">
            <v>1.89</v>
          </cell>
        </row>
        <row r="310">
          <cell r="L310" t="str">
            <v>Sumba Barat Daya</v>
          </cell>
          <cell r="M310">
            <v>3.58</v>
          </cell>
          <cell r="N310">
            <v>1.45</v>
          </cell>
          <cell r="O310">
            <v>2.64</v>
          </cell>
        </row>
        <row r="311">
          <cell r="L311" t="str">
            <v>Nagekeo</v>
          </cell>
          <cell r="M311">
            <v>2.19</v>
          </cell>
          <cell r="N311">
            <v>2.14</v>
          </cell>
          <cell r="O311">
            <v>2.17</v>
          </cell>
        </row>
        <row r="312">
          <cell r="L312" t="str">
            <v>Manggarai Timur</v>
          </cell>
          <cell r="M312">
            <v>0.73</v>
          </cell>
          <cell r="N312">
            <v>0.25</v>
          </cell>
          <cell r="O312">
            <v>0.51</v>
          </cell>
        </row>
        <row r="313">
          <cell r="L313" t="str">
            <v>Sabu Raijua</v>
          </cell>
          <cell r="M313">
            <v>3.68</v>
          </cell>
          <cell r="N313">
            <v>4.38</v>
          </cell>
          <cell r="O313">
            <v>3.99</v>
          </cell>
        </row>
        <row r="314">
          <cell r="L314" t="str">
            <v>Malaka</v>
          </cell>
          <cell r="M314">
            <v>1.19</v>
          </cell>
          <cell r="N314">
            <v>2.02</v>
          </cell>
          <cell r="O314">
            <v>1.58</v>
          </cell>
        </row>
        <row r="315">
          <cell r="L315" t="str">
            <v>Kota Kupang</v>
          </cell>
          <cell r="M315">
            <v>7.9</v>
          </cell>
          <cell r="N315">
            <v>9.6199999999999992</v>
          </cell>
          <cell r="O315">
            <v>8.6</v>
          </cell>
        </row>
        <row r="316">
          <cell r="L316" t="str">
            <v>Sambas</v>
          </cell>
          <cell r="M316">
            <v>5.16</v>
          </cell>
          <cell r="N316">
            <v>4.74</v>
          </cell>
          <cell r="O316">
            <v>4.99</v>
          </cell>
        </row>
        <row r="317">
          <cell r="L317" t="str">
            <v>Bengkayang</v>
          </cell>
          <cell r="M317">
            <v>3.04</v>
          </cell>
          <cell r="N317">
            <v>2.41</v>
          </cell>
          <cell r="O317">
            <v>2.81</v>
          </cell>
        </row>
        <row r="318">
          <cell r="L318" t="str">
            <v>Landak</v>
          </cell>
          <cell r="M318">
            <v>2.23</v>
          </cell>
          <cell r="N318">
            <v>2.19</v>
          </cell>
          <cell r="O318">
            <v>2.2200000000000002</v>
          </cell>
        </row>
        <row r="319">
          <cell r="L319" t="str">
            <v>Mempawah</v>
          </cell>
          <cell r="M319">
            <v>6.91</v>
          </cell>
          <cell r="N319">
            <v>6.56</v>
          </cell>
          <cell r="O319">
            <v>6.78</v>
          </cell>
        </row>
        <row r="320">
          <cell r="L320" t="str">
            <v>Sanggau</v>
          </cell>
          <cell r="M320">
            <v>3.96</v>
          </cell>
          <cell r="N320">
            <v>3.27</v>
          </cell>
          <cell r="O320">
            <v>3.71</v>
          </cell>
        </row>
        <row r="321">
          <cell r="L321" t="str">
            <v>Ketapang</v>
          </cell>
          <cell r="M321">
            <v>6.33</v>
          </cell>
          <cell r="N321">
            <v>6.44</v>
          </cell>
          <cell r="O321">
            <v>6.36</v>
          </cell>
        </row>
        <row r="322">
          <cell r="L322" t="str">
            <v>Sintang</v>
          </cell>
          <cell r="M322">
            <v>3.33</v>
          </cell>
          <cell r="N322">
            <v>2.15</v>
          </cell>
          <cell r="O322">
            <v>2.85</v>
          </cell>
        </row>
        <row r="323">
          <cell r="L323" t="str">
            <v>Kapuas Hulu</v>
          </cell>
          <cell r="M323">
            <v>2.2999999999999998</v>
          </cell>
          <cell r="N323">
            <v>2.0099999999999998</v>
          </cell>
          <cell r="O323">
            <v>2.1800000000000002</v>
          </cell>
        </row>
        <row r="324">
          <cell r="L324" t="str">
            <v>Sekadau</v>
          </cell>
          <cell r="M324">
            <v>2.35</v>
          </cell>
          <cell r="N324">
            <v>2.0699999999999998</v>
          </cell>
          <cell r="O324">
            <v>2.2400000000000002</v>
          </cell>
        </row>
        <row r="325">
          <cell r="L325" t="str">
            <v>Melawi</v>
          </cell>
          <cell r="M325">
            <v>2.48</v>
          </cell>
          <cell r="N325">
            <v>2.2999999999999998</v>
          </cell>
          <cell r="O325">
            <v>2.41</v>
          </cell>
        </row>
        <row r="326">
          <cell r="L326" t="str">
            <v>Kayong Utara</v>
          </cell>
          <cell r="M326">
            <v>3.14</v>
          </cell>
          <cell r="N326">
            <v>2.83</v>
          </cell>
          <cell r="O326">
            <v>3.02</v>
          </cell>
        </row>
        <row r="327">
          <cell r="L327" t="str">
            <v>Kubu Raya</v>
          </cell>
          <cell r="M327">
            <v>6.77</v>
          </cell>
          <cell r="N327">
            <v>6.63</v>
          </cell>
          <cell r="O327">
            <v>6.73</v>
          </cell>
        </row>
        <row r="328">
          <cell r="L328" t="str">
            <v>Kota Pontianak</v>
          </cell>
          <cell r="M328">
            <v>8.61</v>
          </cell>
          <cell r="N328">
            <v>7.81</v>
          </cell>
          <cell r="O328">
            <v>8.2899999999999991</v>
          </cell>
        </row>
        <row r="329">
          <cell r="L329" t="str">
            <v>Kota Singkawang</v>
          </cell>
          <cell r="M329">
            <v>8.2899999999999991</v>
          </cell>
          <cell r="N329">
            <v>7.3</v>
          </cell>
          <cell r="O329">
            <v>7.92</v>
          </cell>
        </row>
        <row r="330">
          <cell r="L330" t="str">
            <v>Kotawaringin Barat</v>
          </cell>
          <cell r="M330">
            <v>4.3899999999999997</v>
          </cell>
          <cell r="N330">
            <v>4.47</v>
          </cell>
          <cell r="O330">
            <v>4.42</v>
          </cell>
        </row>
        <row r="331">
          <cell r="L331" t="str">
            <v>Kotawaringin Timur</v>
          </cell>
          <cell r="M331">
            <v>1.48</v>
          </cell>
          <cell r="N331">
            <v>11.74</v>
          </cell>
          <cell r="O331">
            <v>4.63</v>
          </cell>
        </row>
        <row r="332">
          <cell r="L332" t="str">
            <v>Kapuas</v>
          </cell>
          <cell r="M332">
            <v>4.1100000000000003</v>
          </cell>
          <cell r="N332">
            <v>2.74</v>
          </cell>
          <cell r="O332">
            <v>3.61</v>
          </cell>
        </row>
        <row r="333">
          <cell r="L333" t="str">
            <v>Barito Selatan</v>
          </cell>
          <cell r="M333">
            <v>4.97</v>
          </cell>
          <cell r="N333">
            <v>2.69</v>
          </cell>
          <cell r="O333">
            <v>4.12</v>
          </cell>
        </row>
        <row r="334">
          <cell r="L334" t="str">
            <v>Barito Utara</v>
          </cell>
          <cell r="M334">
            <v>2.73</v>
          </cell>
          <cell r="N334">
            <v>7.98</v>
          </cell>
          <cell r="O334">
            <v>4.71</v>
          </cell>
        </row>
        <row r="335">
          <cell r="L335" t="str">
            <v>Sukamara</v>
          </cell>
          <cell r="M335">
            <v>2.81</v>
          </cell>
          <cell r="N335">
            <v>8.86</v>
          </cell>
          <cell r="O335">
            <v>4.95</v>
          </cell>
        </row>
        <row r="336">
          <cell r="L336" t="str">
            <v>Lamandau</v>
          </cell>
          <cell r="M336">
            <v>2.09</v>
          </cell>
          <cell r="N336">
            <v>5.24</v>
          </cell>
          <cell r="O336">
            <v>3.17</v>
          </cell>
        </row>
        <row r="337">
          <cell r="L337" t="str">
            <v>Seruyan</v>
          </cell>
          <cell r="M337">
            <v>2.61</v>
          </cell>
          <cell r="N337">
            <v>5.31</v>
          </cell>
          <cell r="O337">
            <v>3.47</v>
          </cell>
        </row>
        <row r="338">
          <cell r="L338" t="str">
            <v>Katingan</v>
          </cell>
          <cell r="M338">
            <v>3.62</v>
          </cell>
          <cell r="N338">
            <v>7.32</v>
          </cell>
          <cell r="O338">
            <v>4.88</v>
          </cell>
        </row>
        <row r="339">
          <cell r="L339" t="str">
            <v>Pulang Pisau</v>
          </cell>
          <cell r="M339">
            <v>1.37</v>
          </cell>
          <cell r="N339">
            <v>3.15</v>
          </cell>
          <cell r="O339">
            <v>1.99</v>
          </cell>
        </row>
        <row r="340">
          <cell r="L340" t="str">
            <v>Gunung Mas</v>
          </cell>
          <cell r="M340">
            <v>2.36</v>
          </cell>
          <cell r="N340">
            <v>4.6900000000000004</v>
          </cell>
          <cell r="O340">
            <v>3.12</v>
          </cell>
        </row>
        <row r="341">
          <cell r="L341" t="str">
            <v>Barito Timur</v>
          </cell>
          <cell r="M341">
            <v>3.71</v>
          </cell>
          <cell r="N341">
            <v>2.65</v>
          </cell>
          <cell r="O341">
            <v>3.26</v>
          </cell>
        </row>
        <row r="342">
          <cell r="L342" t="str">
            <v>Murung Raya</v>
          </cell>
          <cell r="M342">
            <v>2.4700000000000002</v>
          </cell>
          <cell r="N342">
            <v>3.91</v>
          </cell>
          <cell r="O342">
            <v>2.9</v>
          </cell>
        </row>
        <row r="343">
          <cell r="L343" t="str">
            <v>Kota Palangka Raya</v>
          </cell>
          <cell r="M343">
            <v>5.8</v>
          </cell>
          <cell r="N343">
            <v>3.73</v>
          </cell>
          <cell r="O343">
            <v>5.0199999999999996</v>
          </cell>
        </row>
        <row r="344">
          <cell r="L344" t="str">
            <v>Tanah Laut</v>
          </cell>
          <cell r="M344">
            <v>3.54</v>
          </cell>
          <cell r="N344">
            <v>3.26</v>
          </cell>
          <cell r="O344">
            <v>3.43</v>
          </cell>
        </row>
        <row r="345">
          <cell r="L345" t="str">
            <v>Kotabaru</v>
          </cell>
          <cell r="M345">
            <v>6.16</v>
          </cell>
          <cell r="N345">
            <v>5.81</v>
          </cell>
          <cell r="O345">
            <v>6.05</v>
          </cell>
        </row>
        <row r="346">
          <cell r="L346" t="str">
            <v>Banjar</v>
          </cell>
          <cell r="M346">
            <v>2.5299999999999998</v>
          </cell>
          <cell r="N346">
            <v>2.99</v>
          </cell>
          <cell r="O346">
            <v>2.71</v>
          </cell>
        </row>
        <row r="347">
          <cell r="L347" t="str">
            <v>Barito Kuala</v>
          </cell>
          <cell r="M347">
            <v>3.42</v>
          </cell>
          <cell r="N347">
            <v>3.4</v>
          </cell>
          <cell r="O347">
            <v>3.41</v>
          </cell>
        </row>
        <row r="348">
          <cell r="L348" t="str">
            <v>Tapin</v>
          </cell>
          <cell r="M348">
            <v>4.6900000000000004</v>
          </cell>
          <cell r="N348">
            <v>2.5499999999999998</v>
          </cell>
          <cell r="O348">
            <v>3.86</v>
          </cell>
        </row>
        <row r="349">
          <cell r="L349" t="str">
            <v>Hulu Sungai Selatan</v>
          </cell>
          <cell r="M349">
            <v>2.19</v>
          </cell>
          <cell r="N349">
            <v>2.0099999999999998</v>
          </cell>
          <cell r="O349">
            <v>2.11</v>
          </cell>
        </row>
        <row r="350">
          <cell r="L350" t="str">
            <v>Hulu Sungai Tengah</v>
          </cell>
          <cell r="M350">
            <v>3.53</v>
          </cell>
          <cell r="N350">
            <v>2.76</v>
          </cell>
          <cell r="O350">
            <v>3.2</v>
          </cell>
        </row>
        <row r="351">
          <cell r="L351" t="str">
            <v>Hulu Sungai Utara</v>
          </cell>
          <cell r="M351">
            <v>3.89</v>
          </cell>
          <cell r="N351">
            <v>3.51</v>
          </cell>
          <cell r="O351">
            <v>3.73</v>
          </cell>
        </row>
        <row r="352">
          <cell r="L352" t="str">
            <v>Tabalong</v>
          </cell>
          <cell r="M352">
            <v>4.0999999999999996</v>
          </cell>
          <cell r="N352">
            <v>2.54</v>
          </cell>
          <cell r="O352">
            <v>3.44</v>
          </cell>
        </row>
        <row r="353">
          <cell r="L353" t="str">
            <v>Tanah Bumbu</v>
          </cell>
          <cell r="M353">
            <v>6.38</v>
          </cell>
          <cell r="N353">
            <v>6.36</v>
          </cell>
          <cell r="O353">
            <v>6.37</v>
          </cell>
        </row>
        <row r="354">
          <cell r="L354" t="str">
            <v>Balangan</v>
          </cell>
          <cell r="M354">
            <v>3.1</v>
          </cell>
          <cell r="N354">
            <v>2.15</v>
          </cell>
          <cell r="O354">
            <v>2.69</v>
          </cell>
        </row>
        <row r="355">
          <cell r="L355" t="str">
            <v>Kota Banjarmasin</v>
          </cell>
          <cell r="M355">
            <v>8.3000000000000007</v>
          </cell>
          <cell r="N355">
            <v>3.98</v>
          </cell>
          <cell r="O355">
            <v>6.56</v>
          </cell>
        </row>
        <row r="356">
          <cell r="L356" t="str">
            <v>Kota Banjar Baru</v>
          </cell>
          <cell r="M356">
            <v>4.08</v>
          </cell>
          <cell r="N356">
            <v>6.25</v>
          </cell>
          <cell r="O356">
            <v>4.93</v>
          </cell>
        </row>
        <row r="357">
          <cell r="L357" t="str">
            <v>Paser</v>
          </cell>
          <cell r="M357">
            <v>3.23</v>
          </cell>
          <cell r="N357">
            <v>7.27</v>
          </cell>
          <cell r="O357">
            <v>4.53</v>
          </cell>
        </row>
        <row r="358">
          <cell r="L358" t="str">
            <v>Kutai Barat</v>
          </cell>
          <cell r="M358">
            <v>7.18</v>
          </cell>
          <cell r="N358">
            <v>2.85</v>
          </cell>
          <cell r="O358">
            <v>5.58</v>
          </cell>
        </row>
        <row r="359">
          <cell r="L359" t="str">
            <v>Kutai Kartanegara</v>
          </cell>
          <cell r="M359">
            <v>3.8</v>
          </cell>
          <cell r="N359">
            <v>4.75</v>
          </cell>
          <cell r="O359">
            <v>4.1100000000000003</v>
          </cell>
        </row>
        <row r="360">
          <cell r="L360" t="str">
            <v>Kutai Timur</v>
          </cell>
          <cell r="M360">
            <v>5.0599999999999996</v>
          </cell>
          <cell r="N360">
            <v>7.39</v>
          </cell>
          <cell r="O360">
            <v>5.76</v>
          </cell>
        </row>
        <row r="361">
          <cell r="L361" t="str">
            <v>Berau</v>
          </cell>
          <cell r="M361">
            <v>4.34</v>
          </cell>
          <cell r="N361">
            <v>6.89</v>
          </cell>
          <cell r="O361">
            <v>5.15</v>
          </cell>
        </row>
        <row r="362">
          <cell r="L362" t="str">
            <v>Penajam Paser Utara</v>
          </cell>
          <cell r="M362">
            <v>2.14</v>
          </cell>
          <cell r="N362">
            <v>1.91</v>
          </cell>
          <cell r="O362">
            <v>2.0499999999999998</v>
          </cell>
        </row>
        <row r="363">
          <cell r="L363" t="str">
            <v>Mahakam Ulu</v>
          </cell>
          <cell r="M363">
            <v>2.65</v>
          </cell>
          <cell r="N363">
            <v>2.2999999999999998</v>
          </cell>
          <cell r="O363">
            <v>2.5099999999999998</v>
          </cell>
        </row>
        <row r="364">
          <cell r="L364" t="str">
            <v>Kota Balikpapan</v>
          </cell>
          <cell r="M364">
            <v>5.99</v>
          </cell>
          <cell r="N364">
            <v>6.59</v>
          </cell>
          <cell r="O364">
            <v>6.22</v>
          </cell>
        </row>
        <row r="365">
          <cell r="L365" t="str">
            <v>Kota Samarinda</v>
          </cell>
          <cell r="M365">
            <v>5.01</v>
          </cell>
          <cell r="N365">
            <v>6.97</v>
          </cell>
          <cell r="O365">
            <v>5.75</v>
          </cell>
        </row>
        <row r="366">
          <cell r="L366" t="str">
            <v>Kota Bontang</v>
          </cell>
          <cell r="M366">
            <v>6.99</v>
          </cell>
          <cell r="N366">
            <v>7.18</v>
          </cell>
          <cell r="O366">
            <v>7.06</v>
          </cell>
        </row>
        <row r="367">
          <cell r="L367" t="str">
            <v>Malinau</v>
          </cell>
          <cell r="M367">
            <v>3.59</v>
          </cell>
          <cell r="N367">
            <v>2.2599999999999998</v>
          </cell>
          <cell r="O367">
            <v>3.1</v>
          </cell>
        </row>
        <row r="368">
          <cell r="L368" t="str">
            <v>Bulungan</v>
          </cell>
          <cell r="M368">
            <v>3.98</v>
          </cell>
          <cell r="N368">
            <v>4.99</v>
          </cell>
          <cell r="O368">
            <v>4.33</v>
          </cell>
        </row>
        <row r="369">
          <cell r="L369" t="str">
            <v>Tana Tidung</v>
          </cell>
          <cell r="M369">
            <v>3.81</v>
          </cell>
          <cell r="N369">
            <v>3.42</v>
          </cell>
          <cell r="O369">
            <v>3.67</v>
          </cell>
        </row>
        <row r="370">
          <cell r="L370" t="str">
            <v>Nunukan</v>
          </cell>
          <cell r="M370">
            <v>2.78</v>
          </cell>
          <cell r="N370">
            <v>2.59</v>
          </cell>
          <cell r="O370">
            <v>2.71</v>
          </cell>
        </row>
        <row r="371">
          <cell r="L371" t="str">
            <v>Kota Tarakan</v>
          </cell>
          <cell r="M371">
            <v>5.37</v>
          </cell>
          <cell r="N371">
            <v>4.59</v>
          </cell>
          <cell r="O371">
            <v>5.1100000000000003</v>
          </cell>
        </row>
        <row r="372">
          <cell r="L372" t="str">
            <v>Bolaang Mongondow</v>
          </cell>
          <cell r="M372">
            <v>4.08</v>
          </cell>
          <cell r="N372">
            <v>5.28</v>
          </cell>
          <cell r="O372">
            <v>4.4800000000000004</v>
          </cell>
        </row>
        <row r="373">
          <cell r="L373" t="str">
            <v>Minahasa</v>
          </cell>
          <cell r="M373">
            <v>6.86</v>
          </cell>
          <cell r="N373">
            <v>7.81</v>
          </cell>
          <cell r="O373">
            <v>7.22</v>
          </cell>
        </row>
        <row r="374">
          <cell r="L374" t="str">
            <v>Kepulauan Sangihe</v>
          </cell>
          <cell r="M374">
            <v>2.52</v>
          </cell>
          <cell r="N374">
            <v>2.4700000000000002</v>
          </cell>
          <cell r="O374">
            <v>2.5</v>
          </cell>
        </row>
        <row r="375">
          <cell r="L375" t="str">
            <v>Kepulauan Talaud</v>
          </cell>
          <cell r="M375">
            <v>3.06</v>
          </cell>
          <cell r="N375">
            <v>3.07</v>
          </cell>
          <cell r="O375">
            <v>3.06</v>
          </cell>
        </row>
        <row r="376">
          <cell r="L376" t="str">
            <v>Minahasa Selatan</v>
          </cell>
          <cell r="M376">
            <v>3.02</v>
          </cell>
          <cell r="N376">
            <v>8.0500000000000007</v>
          </cell>
          <cell r="O376">
            <v>4.79</v>
          </cell>
        </row>
        <row r="377">
          <cell r="L377" t="str">
            <v>Minahasa Utara</v>
          </cell>
          <cell r="M377">
            <v>6.62</v>
          </cell>
          <cell r="N377">
            <v>6.96</v>
          </cell>
          <cell r="O377">
            <v>6.73</v>
          </cell>
        </row>
        <row r="378">
          <cell r="L378" t="str">
            <v>Bolaang Mongondow Utara</v>
          </cell>
          <cell r="M378">
            <v>4.17</v>
          </cell>
          <cell r="N378">
            <v>3.97</v>
          </cell>
          <cell r="O378">
            <v>4.0999999999999996</v>
          </cell>
        </row>
        <row r="379">
          <cell r="L379" t="str">
            <v>Siau Tagulandang Biaro</v>
          </cell>
          <cell r="M379">
            <v>1.49</v>
          </cell>
          <cell r="N379">
            <v>2.63</v>
          </cell>
          <cell r="O379">
            <v>1.94</v>
          </cell>
        </row>
        <row r="380">
          <cell r="L380" t="str">
            <v>Minahasa Tenggara</v>
          </cell>
          <cell r="M380">
            <v>2.16</v>
          </cell>
          <cell r="N380">
            <v>3.73</v>
          </cell>
          <cell r="O380">
            <v>2.76</v>
          </cell>
        </row>
        <row r="381">
          <cell r="L381" t="str">
            <v>Bolaang Mongondow Selatan</v>
          </cell>
          <cell r="M381">
            <v>0.99</v>
          </cell>
          <cell r="N381">
            <v>5.75</v>
          </cell>
          <cell r="O381">
            <v>2.5099999999999998</v>
          </cell>
        </row>
        <row r="382">
          <cell r="L382" t="str">
            <v>Bolaang Mongondow Timur</v>
          </cell>
          <cell r="M382">
            <v>3.22</v>
          </cell>
          <cell r="N382">
            <v>10.56</v>
          </cell>
          <cell r="O382">
            <v>5.35</v>
          </cell>
        </row>
        <row r="383">
          <cell r="L383" t="str">
            <v>Kota Manado</v>
          </cell>
          <cell r="M383">
            <v>7.89</v>
          </cell>
          <cell r="N383">
            <v>10</v>
          </cell>
          <cell r="O383">
            <v>8.73</v>
          </cell>
        </row>
        <row r="384">
          <cell r="L384" t="str">
            <v>Kota Bitung</v>
          </cell>
          <cell r="M384">
            <v>8.14</v>
          </cell>
          <cell r="N384">
            <v>6.47</v>
          </cell>
          <cell r="O384">
            <v>7.51</v>
          </cell>
        </row>
        <row r="385">
          <cell r="L385" t="str">
            <v>Kota Tomohon</v>
          </cell>
          <cell r="M385">
            <v>7.58</v>
          </cell>
          <cell r="N385">
            <v>8.11</v>
          </cell>
          <cell r="O385">
            <v>7.79</v>
          </cell>
        </row>
        <row r="386">
          <cell r="L386" t="str">
            <v>Kota Kotamobagu</v>
          </cell>
          <cell r="M386">
            <v>5.29</v>
          </cell>
          <cell r="N386">
            <v>6.42</v>
          </cell>
          <cell r="O386">
            <v>5.72</v>
          </cell>
        </row>
        <row r="387">
          <cell r="L387" t="str">
            <v>Banggai Kepulauan</v>
          </cell>
          <cell r="M387">
            <v>1.76</v>
          </cell>
          <cell r="N387">
            <v>1.26</v>
          </cell>
          <cell r="O387">
            <v>1.55</v>
          </cell>
        </row>
        <row r="388">
          <cell r="L388" t="str">
            <v>Banggai</v>
          </cell>
          <cell r="M388">
            <v>3.64</v>
          </cell>
          <cell r="N388">
            <v>2.27</v>
          </cell>
          <cell r="O388">
            <v>3.11</v>
          </cell>
        </row>
        <row r="389">
          <cell r="L389" t="str">
            <v>Morowali</v>
          </cell>
          <cell r="M389">
            <v>1.76</v>
          </cell>
          <cell r="N389">
            <v>6.68</v>
          </cell>
          <cell r="O389">
            <v>2.84</v>
          </cell>
        </row>
        <row r="390">
          <cell r="L390" t="str">
            <v>Poso</v>
          </cell>
          <cell r="M390">
            <v>1.3</v>
          </cell>
          <cell r="N390">
            <v>2.5299999999999998</v>
          </cell>
          <cell r="O390">
            <v>1.77</v>
          </cell>
        </row>
        <row r="391">
          <cell r="L391" t="str">
            <v>Donggala</v>
          </cell>
          <cell r="M391">
            <v>1.88</v>
          </cell>
          <cell r="N391">
            <v>4.4000000000000004</v>
          </cell>
          <cell r="O391">
            <v>2.79</v>
          </cell>
        </row>
        <row r="392">
          <cell r="L392" t="str">
            <v>Toli-Toli</v>
          </cell>
          <cell r="M392">
            <v>2.86</v>
          </cell>
          <cell r="N392">
            <v>3.57</v>
          </cell>
          <cell r="O392">
            <v>3.11</v>
          </cell>
        </row>
        <row r="393">
          <cell r="L393" t="str">
            <v>Buol</v>
          </cell>
          <cell r="M393">
            <v>2.1</v>
          </cell>
          <cell r="N393">
            <v>4.8499999999999996</v>
          </cell>
          <cell r="O393">
            <v>3.13</v>
          </cell>
        </row>
        <row r="394">
          <cell r="L394" t="str">
            <v>Parigi Moutong</v>
          </cell>
          <cell r="M394">
            <v>1.82</v>
          </cell>
          <cell r="N394">
            <v>2.5499999999999998</v>
          </cell>
          <cell r="O394">
            <v>2.1</v>
          </cell>
        </row>
        <row r="395">
          <cell r="L395" t="str">
            <v>Tojo Una-Una</v>
          </cell>
          <cell r="M395">
            <v>1.91</v>
          </cell>
          <cell r="N395">
            <v>3.34</v>
          </cell>
          <cell r="O395">
            <v>2.4700000000000002</v>
          </cell>
        </row>
        <row r="396">
          <cell r="L396" t="str">
            <v>Sigi</v>
          </cell>
          <cell r="M396">
            <v>2.19</v>
          </cell>
          <cell r="N396">
            <v>3.05</v>
          </cell>
          <cell r="O396">
            <v>2.5499999999999998</v>
          </cell>
        </row>
        <row r="397">
          <cell r="L397" t="str">
            <v>Banggai Laut</v>
          </cell>
          <cell r="M397">
            <v>0.98</v>
          </cell>
          <cell r="N397">
            <v>7.92</v>
          </cell>
          <cell r="O397">
            <v>3.6</v>
          </cell>
        </row>
        <row r="398">
          <cell r="L398" t="str">
            <v>Morowali Utara</v>
          </cell>
          <cell r="M398">
            <v>2.33</v>
          </cell>
          <cell r="N398">
            <v>2.4500000000000002</v>
          </cell>
          <cell r="O398">
            <v>2.38</v>
          </cell>
        </row>
        <row r="399">
          <cell r="L399" t="str">
            <v>Kota Palu</v>
          </cell>
          <cell r="M399">
            <v>5.76</v>
          </cell>
          <cell r="N399">
            <v>5.43</v>
          </cell>
          <cell r="O399">
            <v>5.63</v>
          </cell>
        </row>
        <row r="400">
          <cell r="L400" t="str">
            <v>Kepulauan Selayar</v>
          </cell>
          <cell r="M400">
            <v>1.91</v>
          </cell>
          <cell r="N400">
            <v>2.25</v>
          </cell>
          <cell r="O400">
            <v>2.0499999999999998</v>
          </cell>
        </row>
        <row r="401">
          <cell r="L401" t="str">
            <v>Bulukumba</v>
          </cell>
          <cell r="M401">
            <v>2.64</v>
          </cell>
          <cell r="N401">
            <v>1.68</v>
          </cell>
          <cell r="O401">
            <v>2.23</v>
          </cell>
        </row>
        <row r="402">
          <cell r="L402" t="str">
            <v>Bantaeng</v>
          </cell>
          <cell r="M402">
            <v>2.41</v>
          </cell>
          <cell r="N402">
            <v>2.76</v>
          </cell>
          <cell r="O402">
            <v>2.57</v>
          </cell>
        </row>
        <row r="403">
          <cell r="L403" t="str">
            <v>Jeneponto</v>
          </cell>
          <cell r="M403">
            <v>2.91</v>
          </cell>
          <cell r="N403">
            <v>1.75</v>
          </cell>
          <cell r="O403">
            <v>2.4700000000000002</v>
          </cell>
        </row>
        <row r="404">
          <cell r="L404" t="str">
            <v>Takalar</v>
          </cell>
          <cell r="M404">
            <v>3.87</v>
          </cell>
          <cell r="N404">
            <v>3.8</v>
          </cell>
          <cell r="O404">
            <v>3.84</v>
          </cell>
        </row>
        <row r="405">
          <cell r="L405" t="str">
            <v>Gowa</v>
          </cell>
          <cell r="M405">
            <v>4.24</v>
          </cell>
          <cell r="N405">
            <v>3.44</v>
          </cell>
          <cell r="O405">
            <v>3.91</v>
          </cell>
        </row>
        <row r="406">
          <cell r="L406" t="str">
            <v>Sinjai</v>
          </cell>
          <cell r="M406">
            <v>1.52</v>
          </cell>
          <cell r="N406">
            <v>1.53</v>
          </cell>
          <cell r="O406">
            <v>1.52</v>
          </cell>
        </row>
        <row r="407">
          <cell r="L407" t="str">
            <v>Maros</v>
          </cell>
          <cell r="M407">
            <v>4.43</v>
          </cell>
          <cell r="N407">
            <v>4.1900000000000004</v>
          </cell>
          <cell r="O407">
            <v>4.34</v>
          </cell>
        </row>
        <row r="408">
          <cell r="L408" t="str">
            <v>Pangkajene dan Kepulauan</v>
          </cell>
          <cell r="M408">
            <v>4.88</v>
          </cell>
          <cell r="N408">
            <v>2.77</v>
          </cell>
          <cell r="O408">
            <v>3.99</v>
          </cell>
        </row>
        <row r="409">
          <cell r="L409" t="str">
            <v>Barru</v>
          </cell>
          <cell r="M409">
            <v>6.48</v>
          </cell>
          <cell r="N409">
            <v>6.29</v>
          </cell>
          <cell r="O409">
            <v>6.42</v>
          </cell>
        </row>
        <row r="410">
          <cell r="L410" t="str">
            <v>Bone</v>
          </cell>
          <cell r="M410">
            <v>1.66</v>
          </cell>
          <cell r="N410">
            <v>3.3</v>
          </cell>
          <cell r="O410">
            <v>2.2799999999999998</v>
          </cell>
        </row>
        <row r="411">
          <cell r="L411" t="str">
            <v>Soppeng</v>
          </cell>
          <cell r="M411">
            <v>2.96</v>
          </cell>
          <cell r="N411">
            <v>3.93</v>
          </cell>
          <cell r="O411">
            <v>3.33</v>
          </cell>
        </row>
        <row r="412">
          <cell r="L412" t="str">
            <v>Wajo</v>
          </cell>
          <cell r="M412">
            <v>1.23</v>
          </cell>
          <cell r="N412">
            <v>3.95</v>
          </cell>
          <cell r="O412">
            <v>2.31</v>
          </cell>
        </row>
        <row r="413">
          <cell r="L413" t="str">
            <v>Sidenreng Rappang</v>
          </cell>
          <cell r="M413">
            <v>2.0699999999999998</v>
          </cell>
          <cell r="N413">
            <v>5</v>
          </cell>
          <cell r="O413">
            <v>3.02</v>
          </cell>
        </row>
        <row r="414">
          <cell r="L414" t="str">
            <v>Pinrang</v>
          </cell>
          <cell r="M414">
            <v>1.91</v>
          </cell>
          <cell r="N414">
            <v>5.17</v>
          </cell>
          <cell r="O414">
            <v>3.12</v>
          </cell>
        </row>
        <row r="415">
          <cell r="L415" t="str">
            <v>Enrekang</v>
          </cell>
          <cell r="M415">
            <v>1.21</v>
          </cell>
          <cell r="N415">
            <v>1.9</v>
          </cell>
          <cell r="O415">
            <v>1.51</v>
          </cell>
        </row>
        <row r="416">
          <cell r="L416" t="str">
            <v>Luwu</v>
          </cell>
          <cell r="M416">
            <v>3.68</v>
          </cell>
          <cell r="N416">
            <v>4.84</v>
          </cell>
          <cell r="O416">
            <v>4.1399999999999997</v>
          </cell>
        </row>
        <row r="417">
          <cell r="L417" t="str">
            <v>Tana Toraja</v>
          </cell>
          <cell r="M417">
            <v>5.3</v>
          </cell>
          <cell r="N417">
            <v>2.36</v>
          </cell>
          <cell r="O417">
            <v>3.98</v>
          </cell>
        </row>
        <row r="418">
          <cell r="L418" t="str">
            <v>Luwu Utara</v>
          </cell>
          <cell r="M418">
            <v>1.67</v>
          </cell>
          <cell r="N418">
            <v>3.54</v>
          </cell>
          <cell r="O418">
            <v>2.39</v>
          </cell>
        </row>
        <row r="419">
          <cell r="L419" t="str">
            <v>Luwu Timur</v>
          </cell>
          <cell r="M419">
            <v>4.33</v>
          </cell>
          <cell r="N419">
            <v>5</v>
          </cell>
          <cell r="O419">
            <v>4.58</v>
          </cell>
        </row>
        <row r="420">
          <cell r="L420" t="str">
            <v>Toraja Utara</v>
          </cell>
          <cell r="M420">
            <v>2.7</v>
          </cell>
          <cell r="N420">
            <v>2.11</v>
          </cell>
          <cell r="O420">
            <v>2.44</v>
          </cell>
        </row>
        <row r="421">
          <cell r="L421" t="str">
            <v>Kota Makasar</v>
          </cell>
          <cell r="M421">
            <v>7.24</v>
          </cell>
          <cell r="N421">
            <v>13.67</v>
          </cell>
          <cell r="O421">
            <v>9.7100000000000009</v>
          </cell>
        </row>
        <row r="422">
          <cell r="L422" t="str">
            <v>Kota Parepare</v>
          </cell>
          <cell r="M422">
            <v>5.88</v>
          </cell>
          <cell r="N422">
            <v>4.34</v>
          </cell>
          <cell r="O422">
            <v>5.23</v>
          </cell>
        </row>
        <row r="423">
          <cell r="L423" t="str">
            <v>Kota Palopo</v>
          </cell>
          <cell r="M423">
            <v>7.05</v>
          </cell>
          <cell r="N423">
            <v>8.5500000000000007</v>
          </cell>
          <cell r="O423">
            <v>7.64</v>
          </cell>
        </row>
        <row r="424">
          <cell r="L424" t="str">
            <v>Buton</v>
          </cell>
          <cell r="M424">
            <v>3.88</v>
          </cell>
          <cell r="N424">
            <v>1.61</v>
          </cell>
          <cell r="O424">
            <v>2.95</v>
          </cell>
        </row>
        <row r="425">
          <cell r="L425" t="str">
            <v>Muna</v>
          </cell>
          <cell r="M425">
            <v>3.42</v>
          </cell>
          <cell r="N425">
            <v>4.2</v>
          </cell>
          <cell r="O425">
            <v>3.78</v>
          </cell>
        </row>
        <row r="426">
          <cell r="L426" t="str">
            <v>Konawe</v>
          </cell>
          <cell r="M426">
            <v>2.42</v>
          </cell>
          <cell r="N426">
            <v>3.91</v>
          </cell>
          <cell r="O426">
            <v>2.95</v>
          </cell>
        </row>
        <row r="427">
          <cell r="L427" t="str">
            <v>Kolaka</v>
          </cell>
          <cell r="M427">
            <v>0.64</v>
          </cell>
          <cell r="N427">
            <v>5.07</v>
          </cell>
          <cell r="O427">
            <v>2.59</v>
          </cell>
        </row>
        <row r="428">
          <cell r="L428" t="str">
            <v>Konawe Selatan</v>
          </cell>
          <cell r="M428">
            <v>2.21</v>
          </cell>
          <cell r="N428">
            <v>3.75</v>
          </cell>
          <cell r="O428">
            <v>2.76</v>
          </cell>
        </row>
        <row r="429">
          <cell r="L429" t="str">
            <v>Bombana</v>
          </cell>
          <cell r="M429">
            <v>1.1599999999999999</v>
          </cell>
          <cell r="N429">
            <v>1.85</v>
          </cell>
          <cell r="O429">
            <v>1.43</v>
          </cell>
        </row>
        <row r="430">
          <cell r="L430" t="str">
            <v>Wakatobi</v>
          </cell>
          <cell r="M430">
            <v>2.91</v>
          </cell>
          <cell r="N430">
            <v>3.16</v>
          </cell>
          <cell r="O430">
            <v>3.02</v>
          </cell>
        </row>
        <row r="431">
          <cell r="L431" t="str">
            <v>Kolaka Utara</v>
          </cell>
          <cell r="M431">
            <v>0.56000000000000005</v>
          </cell>
          <cell r="N431">
            <v>3.08</v>
          </cell>
          <cell r="O431">
            <v>1.64</v>
          </cell>
        </row>
        <row r="432">
          <cell r="L432" t="str">
            <v>Buton Utara</v>
          </cell>
          <cell r="M432">
            <v>2.17</v>
          </cell>
          <cell r="N432">
            <v>2.0699999999999998</v>
          </cell>
          <cell r="O432">
            <v>2.13</v>
          </cell>
        </row>
        <row r="433">
          <cell r="L433" t="str">
            <v>Konawe Utara</v>
          </cell>
          <cell r="M433">
            <v>1.22</v>
          </cell>
          <cell r="N433">
            <v>4.03</v>
          </cell>
          <cell r="O433">
            <v>2.4</v>
          </cell>
        </row>
        <row r="434">
          <cell r="L434" t="str">
            <v>Kolaka Timur</v>
          </cell>
          <cell r="M434">
            <v>1.54</v>
          </cell>
          <cell r="N434">
            <v>3.14</v>
          </cell>
          <cell r="O434">
            <v>2.15</v>
          </cell>
        </row>
        <row r="435">
          <cell r="L435" t="str">
            <v>Konawe Kepulauan</v>
          </cell>
          <cell r="M435">
            <v>0.24</v>
          </cell>
          <cell r="N435">
            <v>3.13</v>
          </cell>
          <cell r="O435">
            <v>1.51</v>
          </cell>
        </row>
        <row r="436">
          <cell r="L436" t="str">
            <v>Muna Barat</v>
          </cell>
          <cell r="M436">
            <v>0.89</v>
          </cell>
          <cell r="N436">
            <v>3.57</v>
          </cell>
          <cell r="O436">
            <v>2.06</v>
          </cell>
        </row>
        <row r="437">
          <cell r="L437" t="str">
            <v>Buton Tengah</v>
          </cell>
          <cell r="M437">
            <v>4.1399999999999997</v>
          </cell>
          <cell r="N437">
            <v>1</v>
          </cell>
          <cell r="O437">
            <v>2.84</v>
          </cell>
        </row>
        <row r="438">
          <cell r="L438" t="str">
            <v>Buton Selatan</v>
          </cell>
          <cell r="M438">
            <v>3.12</v>
          </cell>
          <cell r="N438">
            <v>3.9</v>
          </cell>
          <cell r="O438">
            <v>3.48</v>
          </cell>
        </row>
        <row r="439">
          <cell r="L439" t="str">
            <v>Kota Kendari</v>
          </cell>
          <cell r="M439">
            <v>5.04</v>
          </cell>
          <cell r="N439">
            <v>6.61</v>
          </cell>
          <cell r="O439">
            <v>5.67</v>
          </cell>
        </row>
        <row r="440">
          <cell r="L440" t="str">
            <v>Kota Baubau</v>
          </cell>
          <cell r="M440">
            <v>3.58</v>
          </cell>
          <cell r="N440">
            <v>4.5599999999999996</v>
          </cell>
          <cell r="O440">
            <v>3.99</v>
          </cell>
        </row>
        <row r="441">
          <cell r="L441" t="str">
            <v>Boalemo</v>
          </cell>
          <cell r="M441">
            <v>2.5099999999999998</v>
          </cell>
          <cell r="N441">
            <v>3.96</v>
          </cell>
          <cell r="O441">
            <v>3.06</v>
          </cell>
        </row>
        <row r="442">
          <cell r="L442" t="str">
            <v>Gorontalo</v>
          </cell>
          <cell r="M442">
            <v>2.19</v>
          </cell>
          <cell r="N442">
            <v>3.34</v>
          </cell>
          <cell r="O442">
            <v>2.64</v>
          </cell>
        </row>
        <row r="443">
          <cell r="L443" t="str">
            <v>Pohuwato</v>
          </cell>
          <cell r="M443">
            <v>1.52</v>
          </cell>
          <cell r="N443">
            <v>5.66</v>
          </cell>
          <cell r="O443">
            <v>3.12</v>
          </cell>
        </row>
        <row r="444">
          <cell r="L444" t="str">
            <v>Bone Bolango</v>
          </cell>
          <cell r="M444">
            <v>2.96</v>
          </cell>
          <cell r="N444">
            <v>5.05</v>
          </cell>
          <cell r="O444">
            <v>3.76</v>
          </cell>
        </row>
        <row r="445">
          <cell r="L445" t="str">
            <v>Gorontalo Utara</v>
          </cell>
          <cell r="M445">
            <v>2.68</v>
          </cell>
          <cell r="N445">
            <v>2.97</v>
          </cell>
          <cell r="O445">
            <v>2.79</v>
          </cell>
        </row>
        <row r="446">
          <cell r="L446" t="str">
            <v>Kota Gorontalo</v>
          </cell>
          <cell r="M446">
            <v>4.24</v>
          </cell>
          <cell r="N446">
            <v>3.38</v>
          </cell>
          <cell r="O446">
            <v>3.89</v>
          </cell>
        </row>
        <row r="447">
          <cell r="L447" t="str">
            <v>Majene</v>
          </cell>
          <cell r="M447">
            <v>3.33</v>
          </cell>
          <cell r="N447">
            <v>5.63</v>
          </cell>
          <cell r="O447">
            <v>4.1900000000000004</v>
          </cell>
        </row>
        <row r="448">
          <cell r="L448" t="str">
            <v>Polewali Mandar</v>
          </cell>
          <cell r="M448">
            <v>2.85</v>
          </cell>
          <cell r="N448">
            <v>3.45</v>
          </cell>
          <cell r="O448">
            <v>3.1</v>
          </cell>
        </row>
        <row r="449">
          <cell r="L449" t="str">
            <v>Mamasa</v>
          </cell>
          <cell r="M449">
            <v>2.0499999999999998</v>
          </cell>
          <cell r="N449">
            <v>3.15</v>
          </cell>
          <cell r="O449">
            <v>2.5</v>
          </cell>
        </row>
        <row r="450">
          <cell r="L450" t="str">
            <v>Mamuju</v>
          </cell>
          <cell r="M450">
            <v>1.7</v>
          </cell>
          <cell r="N450">
            <v>4.3600000000000003</v>
          </cell>
          <cell r="O450">
            <v>2.77</v>
          </cell>
        </row>
        <row r="451">
          <cell r="L451" t="str">
            <v>Mamuju Utara / Pasangkayu</v>
          </cell>
          <cell r="M451">
            <v>1.01</v>
          </cell>
          <cell r="N451">
            <v>1.53</v>
          </cell>
          <cell r="O451">
            <v>1.2</v>
          </cell>
        </row>
        <row r="452">
          <cell r="L452" t="str">
            <v>Mamuju Tengah</v>
          </cell>
          <cell r="M452">
            <v>0.18</v>
          </cell>
          <cell r="N452">
            <v>4.75</v>
          </cell>
          <cell r="O452">
            <v>1.7</v>
          </cell>
        </row>
        <row r="453">
          <cell r="L453" t="str">
            <v>Maluku Tenggara Barat / Kepulauan Tanimbar</v>
          </cell>
          <cell r="M453">
            <v>4.5999999999999996</v>
          </cell>
          <cell r="N453">
            <v>3.72</v>
          </cell>
          <cell r="O453">
            <v>4.24</v>
          </cell>
        </row>
        <row r="454">
          <cell r="L454" t="str">
            <v>Maluku Tenggara</v>
          </cell>
          <cell r="M454">
            <v>5.8</v>
          </cell>
          <cell r="N454">
            <v>5.54</v>
          </cell>
          <cell r="O454">
            <v>5.68</v>
          </cell>
        </row>
        <row r="455">
          <cell r="L455" t="str">
            <v>Maluku Tengah</v>
          </cell>
          <cell r="M455">
            <v>7.39</v>
          </cell>
          <cell r="N455">
            <v>5.32</v>
          </cell>
          <cell r="O455">
            <v>6.5</v>
          </cell>
        </row>
        <row r="456">
          <cell r="L456" t="str">
            <v>Buru</v>
          </cell>
          <cell r="M456">
            <v>4.72</v>
          </cell>
          <cell r="N456">
            <v>4.55</v>
          </cell>
          <cell r="O456">
            <v>4.66</v>
          </cell>
        </row>
        <row r="457">
          <cell r="L457" t="str">
            <v>Kepulauan Aru</v>
          </cell>
          <cell r="M457">
            <v>0.94</v>
          </cell>
          <cell r="N457">
            <v>3.73</v>
          </cell>
          <cell r="O457">
            <v>1.83</v>
          </cell>
        </row>
        <row r="458">
          <cell r="L458" t="str">
            <v>Seram Bagian Barat</v>
          </cell>
          <cell r="M458">
            <v>5.87</v>
          </cell>
          <cell r="N458">
            <v>2.73</v>
          </cell>
          <cell r="O458">
            <v>4.5199999999999996</v>
          </cell>
        </row>
        <row r="459">
          <cell r="L459" t="str">
            <v>Seram Bagian Timur</v>
          </cell>
          <cell r="M459">
            <v>2.2400000000000002</v>
          </cell>
          <cell r="N459">
            <v>4.71</v>
          </cell>
          <cell r="O459">
            <v>3.24</v>
          </cell>
        </row>
        <row r="460">
          <cell r="L460" t="str">
            <v>Maluku Barat Daya</v>
          </cell>
          <cell r="M460">
            <v>1.71</v>
          </cell>
          <cell r="N460">
            <v>3.27</v>
          </cell>
          <cell r="O460">
            <v>2.36</v>
          </cell>
        </row>
        <row r="461">
          <cell r="L461" t="str">
            <v>Buru Selatan</v>
          </cell>
          <cell r="M461">
            <v>0.87</v>
          </cell>
          <cell r="N461">
            <v>1.94</v>
          </cell>
          <cell r="O461">
            <v>1.35</v>
          </cell>
        </row>
        <row r="462">
          <cell r="L462" t="str">
            <v>Kota Ambon</v>
          </cell>
          <cell r="M462">
            <v>9.92</v>
          </cell>
          <cell r="N462">
            <v>13.45</v>
          </cell>
          <cell r="O462">
            <v>11.44</v>
          </cell>
        </row>
        <row r="463">
          <cell r="L463" t="str">
            <v>Kota Tual</v>
          </cell>
          <cell r="M463">
            <v>9.56</v>
          </cell>
          <cell r="N463">
            <v>7.17</v>
          </cell>
          <cell r="O463">
            <v>8.68</v>
          </cell>
        </row>
        <row r="464">
          <cell r="L464" t="str">
            <v>Halmahera Barat</v>
          </cell>
          <cell r="M464">
            <v>2.83</v>
          </cell>
          <cell r="N464">
            <v>4.59</v>
          </cell>
          <cell r="O464">
            <v>3.53</v>
          </cell>
        </row>
        <row r="465">
          <cell r="L465" t="str">
            <v>Halmahera Tengah</v>
          </cell>
          <cell r="M465">
            <v>3.8</v>
          </cell>
          <cell r="N465">
            <v>2.68</v>
          </cell>
          <cell r="O465">
            <v>3.43</v>
          </cell>
        </row>
        <row r="466">
          <cell r="L466" t="str">
            <v>Kepulauan Sula</v>
          </cell>
          <cell r="M466">
            <v>2.08</v>
          </cell>
          <cell r="N466">
            <v>3.45</v>
          </cell>
          <cell r="O466">
            <v>2.57</v>
          </cell>
        </row>
        <row r="467">
          <cell r="L467" t="str">
            <v>Halmahera Selatan</v>
          </cell>
          <cell r="M467">
            <v>2.2599999999999998</v>
          </cell>
          <cell r="N467">
            <v>1.6</v>
          </cell>
          <cell r="O467">
            <v>2</v>
          </cell>
        </row>
        <row r="468">
          <cell r="L468" t="str">
            <v>Halmahera Utara</v>
          </cell>
          <cell r="M468">
            <v>6.02</v>
          </cell>
          <cell r="N468">
            <v>6.46</v>
          </cell>
          <cell r="O468">
            <v>6.2</v>
          </cell>
        </row>
        <row r="469">
          <cell r="L469" t="str">
            <v>Halmahera Timur</v>
          </cell>
          <cell r="M469">
            <v>4.3899999999999997</v>
          </cell>
          <cell r="N469">
            <v>4.18</v>
          </cell>
          <cell r="O469">
            <v>4.32</v>
          </cell>
        </row>
        <row r="470">
          <cell r="L470" t="str">
            <v>Pulau Morotai</v>
          </cell>
          <cell r="M470">
            <v>4.63</v>
          </cell>
          <cell r="N470">
            <v>3.48</v>
          </cell>
          <cell r="O470">
            <v>4.21</v>
          </cell>
        </row>
        <row r="471">
          <cell r="L471" t="str">
            <v>Pulau Taliabu</v>
          </cell>
          <cell r="M471">
            <v>2.0699999999999998</v>
          </cell>
          <cell r="N471">
            <v>4.33</v>
          </cell>
          <cell r="O471">
            <v>2.86</v>
          </cell>
        </row>
        <row r="472">
          <cell r="L472" t="str">
            <v>Kota Ternate</v>
          </cell>
          <cell r="M472">
            <v>6.77</v>
          </cell>
          <cell r="N472">
            <v>5.9</v>
          </cell>
          <cell r="O472">
            <v>6.42</v>
          </cell>
        </row>
        <row r="473">
          <cell r="L473" t="str">
            <v>Kota Tidore Kepulauan</v>
          </cell>
          <cell r="M473">
            <v>2.73</v>
          </cell>
          <cell r="N473">
            <v>4.74</v>
          </cell>
          <cell r="O473">
            <v>3.49</v>
          </cell>
        </row>
        <row r="474">
          <cell r="L474" t="str">
            <v>Fakfak</v>
          </cell>
          <cell r="M474">
            <v>4.78</v>
          </cell>
          <cell r="N474">
            <v>8.6300000000000008</v>
          </cell>
          <cell r="O474">
            <v>6.28</v>
          </cell>
        </row>
        <row r="475">
          <cell r="L475" t="str">
            <v>Kaimana</v>
          </cell>
          <cell r="M475">
            <v>4.0999999999999996</v>
          </cell>
          <cell r="N475">
            <v>6.32</v>
          </cell>
          <cell r="O475">
            <v>4.96</v>
          </cell>
        </row>
        <row r="476">
          <cell r="L476" t="str">
            <v>Teluk Wondama</v>
          </cell>
          <cell r="M476">
            <v>2.61</v>
          </cell>
          <cell r="N476">
            <v>2.0699999999999998</v>
          </cell>
          <cell r="O476">
            <v>2.39</v>
          </cell>
        </row>
        <row r="477">
          <cell r="L477" t="str">
            <v>Teluk Bintuni</v>
          </cell>
          <cell r="M477">
            <v>3.54</v>
          </cell>
          <cell r="N477">
            <v>2.31</v>
          </cell>
          <cell r="O477">
            <v>3.16</v>
          </cell>
        </row>
        <row r="478">
          <cell r="L478" t="str">
            <v>Manokwari</v>
          </cell>
          <cell r="M478">
            <v>5.61</v>
          </cell>
          <cell r="N478">
            <v>4.93</v>
          </cell>
          <cell r="O478">
            <v>5.34</v>
          </cell>
        </row>
        <row r="479">
          <cell r="L479" t="str">
            <v>Sorong Selatan</v>
          </cell>
          <cell r="M479">
            <v>3.32</v>
          </cell>
          <cell r="N479">
            <v>2.08</v>
          </cell>
          <cell r="O479">
            <v>2.81</v>
          </cell>
        </row>
        <row r="480">
          <cell r="L480" t="str">
            <v>Sorong</v>
          </cell>
          <cell r="M480">
            <v>4.1100000000000003</v>
          </cell>
          <cell r="N480">
            <v>4.24</v>
          </cell>
          <cell r="O480">
            <v>4.1500000000000004</v>
          </cell>
        </row>
        <row r="481">
          <cell r="L481" t="str">
            <v>Raja Ampat</v>
          </cell>
          <cell r="M481">
            <v>3.44</v>
          </cell>
          <cell r="N481">
            <v>6.28</v>
          </cell>
          <cell r="O481">
            <v>4.3899999999999997</v>
          </cell>
        </row>
        <row r="482">
          <cell r="L482" t="str">
            <v>Tambrauw</v>
          </cell>
          <cell r="M482">
            <v>1.32</v>
          </cell>
          <cell r="N482">
            <v>1.78</v>
          </cell>
          <cell r="O482">
            <v>1.52</v>
          </cell>
        </row>
        <row r="483">
          <cell r="L483" t="str">
            <v>Maybrat</v>
          </cell>
          <cell r="M483">
            <v>2.69</v>
          </cell>
          <cell r="N483">
            <v>4.5</v>
          </cell>
          <cell r="O483">
            <v>3.56</v>
          </cell>
        </row>
        <row r="484">
          <cell r="L484" t="str">
            <v>Manokwari Selatan</v>
          </cell>
          <cell r="M484">
            <v>2.0699999999999998</v>
          </cell>
          <cell r="N484">
            <v>3.12</v>
          </cell>
          <cell r="O484">
            <v>2.54</v>
          </cell>
        </row>
        <row r="485">
          <cell r="L485" t="str">
            <v>Pegunungan Arfak</v>
          </cell>
          <cell r="M485">
            <v>0.59</v>
          </cell>
          <cell r="N485">
            <v>0</v>
          </cell>
          <cell r="O485">
            <v>0.31</v>
          </cell>
        </row>
        <row r="486">
          <cell r="L486" t="str">
            <v>Kota Sorong</v>
          </cell>
          <cell r="M486">
            <v>8.25</v>
          </cell>
          <cell r="N486">
            <v>12.52</v>
          </cell>
          <cell r="O486">
            <v>9.85</v>
          </cell>
        </row>
        <row r="487">
          <cell r="L487" t="str">
            <v>Raja Ampat</v>
          </cell>
          <cell r="M487">
            <v>3.44</v>
          </cell>
          <cell r="N487">
            <v>6.28</v>
          </cell>
          <cell r="O487">
            <v>4.3899999999999997</v>
          </cell>
        </row>
        <row r="488">
          <cell r="L488" t="str">
            <v>Sorong</v>
          </cell>
          <cell r="M488">
            <v>4.1100000000000003</v>
          </cell>
          <cell r="N488">
            <v>4.24</v>
          </cell>
          <cell r="O488">
            <v>4.1500000000000004</v>
          </cell>
        </row>
        <row r="489">
          <cell r="L489" t="str">
            <v>Sorong Selatan</v>
          </cell>
          <cell r="M489">
            <v>3.32</v>
          </cell>
          <cell r="N489">
            <v>2.08</v>
          </cell>
          <cell r="O489">
            <v>2.81</v>
          </cell>
        </row>
        <row r="490">
          <cell r="L490" t="str">
            <v>Maybrat</v>
          </cell>
          <cell r="M490">
            <v>2.69</v>
          </cell>
          <cell r="N490">
            <v>4.5</v>
          </cell>
          <cell r="O490">
            <v>3.56</v>
          </cell>
        </row>
        <row r="491">
          <cell r="L491" t="str">
            <v>Tambrauw</v>
          </cell>
          <cell r="M491">
            <v>1.32</v>
          </cell>
          <cell r="N491">
            <v>1.78</v>
          </cell>
          <cell r="O491">
            <v>1.52</v>
          </cell>
        </row>
        <row r="492">
          <cell r="L492" t="str">
            <v>Kota Sorong</v>
          </cell>
          <cell r="M492">
            <v>8.25</v>
          </cell>
          <cell r="N492">
            <v>12.52</v>
          </cell>
          <cell r="O492">
            <v>9.85</v>
          </cell>
        </row>
        <row r="493">
          <cell r="L493" t="str">
            <v>Merauke</v>
          </cell>
          <cell r="M493">
            <v>4.68</v>
          </cell>
          <cell r="N493">
            <v>5.67</v>
          </cell>
          <cell r="O493">
            <v>5.07</v>
          </cell>
        </row>
        <row r="494">
          <cell r="L494" t="str">
            <v>Jayawijaya</v>
          </cell>
          <cell r="M494">
            <v>3.05</v>
          </cell>
          <cell r="N494">
            <v>2.39</v>
          </cell>
          <cell r="O494">
            <v>2.74</v>
          </cell>
        </row>
        <row r="495">
          <cell r="L495" t="str">
            <v>Jayapura</v>
          </cell>
          <cell r="M495">
            <v>6.02</v>
          </cell>
          <cell r="N495">
            <v>7.02</v>
          </cell>
          <cell r="O495">
            <v>6.39</v>
          </cell>
        </row>
        <row r="496">
          <cell r="L496" t="str">
            <v>Nabire</v>
          </cell>
          <cell r="M496">
            <v>3.88</v>
          </cell>
          <cell r="N496">
            <v>4.45</v>
          </cell>
          <cell r="O496">
            <v>4.0999999999999996</v>
          </cell>
        </row>
        <row r="497">
          <cell r="L497" t="str">
            <v>Kepulauan Yapen</v>
          </cell>
          <cell r="M497">
            <v>3.39</v>
          </cell>
          <cell r="N497">
            <v>7.5</v>
          </cell>
          <cell r="O497">
            <v>5</v>
          </cell>
        </row>
        <row r="498">
          <cell r="L498" t="str">
            <v>Biak Numfor</v>
          </cell>
          <cell r="M498">
            <v>7.59</v>
          </cell>
          <cell r="N498">
            <v>5.93</v>
          </cell>
          <cell r="O498">
            <v>6.86</v>
          </cell>
        </row>
        <row r="499">
          <cell r="L499" t="str">
            <v>Paniai</v>
          </cell>
          <cell r="M499">
            <v>2.4</v>
          </cell>
          <cell r="N499">
            <v>0.89</v>
          </cell>
          <cell r="O499">
            <v>1.92</v>
          </cell>
        </row>
        <row r="500">
          <cell r="L500" t="str">
            <v>Puncak Jaya</v>
          </cell>
          <cell r="M500">
            <v>0.3</v>
          </cell>
          <cell r="N500">
            <v>0.62</v>
          </cell>
          <cell r="O500">
            <v>0.43</v>
          </cell>
        </row>
        <row r="501">
          <cell r="L501" t="str">
            <v>Mimika</v>
          </cell>
          <cell r="M501">
            <v>5.25</v>
          </cell>
          <cell r="N501">
            <v>10.02</v>
          </cell>
          <cell r="O501">
            <v>6.7</v>
          </cell>
        </row>
        <row r="502">
          <cell r="L502" t="str">
            <v>Boven Digoel</v>
          </cell>
          <cell r="M502">
            <v>2.97</v>
          </cell>
          <cell r="N502">
            <v>3.71</v>
          </cell>
          <cell r="O502">
            <v>3.26</v>
          </cell>
        </row>
        <row r="503">
          <cell r="L503" t="str">
            <v>Mappi</v>
          </cell>
          <cell r="M503">
            <v>3.38</v>
          </cell>
          <cell r="N503">
            <v>5.4</v>
          </cell>
          <cell r="O503">
            <v>4.0999999999999996</v>
          </cell>
        </row>
        <row r="504">
          <cell r="L504" t="str">
            <v>Asmat</v>
          </cell>
          <cell r="M504">
            <v>1.1499999999999999</v>
          </cell>
          <cell r="N504">
            <v>3.26</v>
          </cell>
          <cell r="O504">
            <v>2.0499999999999998</v>
          </cell>
        </row>
        <row r="505">
          <cell r="L505" t="str">
            <v>Yahukimo</v>
          </cell>
          <cell r="M505">
            <v>2.0499999999999998</v>
          </cell>
          <cell r="N505">
            <v>2.02</v>
          </cell>
          <cell r="O505">
            <v>2.04</v>
          </cell>
        </row>
        <row r="506">
          <cell r="L506" t="str">
            <v>Pegunungan Bintang</v>
          </cell>
          <cell r="M506">
            <v>2.72</v>
          </cell>
          <cell r="N506">
            <v>2.13</v>
          </cell>
          <cell r="O506">
            <v>2.46</v>
          </cell>
        </row>
        <row r="507">
          <cell r="L507" t="str">
            <v>Tolikara</v>
          </cell>
          <cell r="M507">
            <v>0.54</v>
          </cell>
          <cell r="N507">
            <v>0.44</v>
          </cell>
          <cell r="O507">
            <v>0.5</v>
          </cell>
        </row>
        <row r="508">
          <cell r="L508" t="str">
            <v>Sarmi</v>
          </cell>
          <cell r="M508">
            <v>3.06</v>
          </cell>
          <cell r="N508">
            <v>4.04</v>
          </cell>
          <cell r="O508">
            <v>3.41</v>
          </cell>
        </row>
        <row r="509">
          <cell r="L509" t="str">
            <v>Keerom</v>
          </cell>
          <cell r="M509">
            <v>3.46</v>
          </cell>
          <cell r="N509">
            <v>2.0699999999999998</v>
          </cell>
          <cell r="O509">
            <v>2.91</v>
          </cell>
        </row>
        <row r="510">
          <cell r="L510" t="str">
            <v>Waropen</v>
          </cell>
          <cell r="M510">
            <v>2.97</v>
          </cell>
          <cell r="N510">
            <v>3.54</v>
          </cell>
          <cell r="O510">
            <v>3.21</v>
          </cell>
        </row>
        <row r="511">
          <cell r="L511" t="str">
            <v>Supiori</v>
          </cell>
          <cell r="M511">
            <v>6.5</v>
          </cell>
          <cell r="N511">
            <v>4.3</v>
          </cell>
          <cell r="O511">
            <v>5.6</v>
          </cell>
        </row>
        <row r="512">
          <cell r="L512" t="str">
            <v>Mamberamo Raya</v>
          </cell>
          <cell r="M512">
            <v>1.51</v>
          </cell>
          <cell r="N512">
            <v>0</v>
          </cell>
          <cell r="O512">
            <v>1.05</v>
          </cell>
        </row>
        <row r="513">
          <cell r="L513" t="str">
            <v>Nduga</v>
          </cell>
          <cell r="M513">
            <v>0.14000000000000001</v>
          </cell>
          <cell r="N513">
            <v>0</v>
          </cell>
          <cell r="O513">
            <v>7.0000000000000007E-2</v>
          </cell>
        </row>
        <row r="514">
          <cell r="L514" t="str">
            <v>Lanny Jaya</v>
          </cell>
          <cell r="M514">
            <v>0.38</v>
          </cell>
          <cell r="N514">
            <v>0.11</v>
          </cell>
          <cell r="O514">
            <v>0.25</v>
          </cell>
        </row>
        <row r="515">
          <cell r="L515" t="str">
            <v>Mamberamo Tengah</v>
          </cell>
          <cell r="M515">
            <v>0.81</v>
          </cell>
          <cell r="N515">
            <v>0.23</v>
          </cell>
          <cell r="O515">
            <v>0.54</v>
          </cell>
        </row>
        <row r="516">
          <cell r="L516" t="str">
            <v>Yalimo</v>
          </cell>
          <cell r="M516">
            <v>0.35</v>
          </cell>
          <cell r="N516">
            <v>0.52</v>
          </cell>
          <cell r="O516">
            <v>0.43</v>
          </cell>
        </row>
        <row r="517">
          <cell r="L517" t="str">
            <v>Puncak</v>
          </cell>
          <cell r="M517">
            <v>0</v>
          </cell>
          <cell r="N517">
            <v>0</v>
          </cell>
          <cell r="O517">
            <v>0</v>
          </cell>
        </row>
        <row r="518">
          <cell r="L518" t="str">
            <v>Dogiyai</v>
          </cell>
          <cell r="M518">
            <v>4.71</v>
          </cell>
          <cell r="N518">
            <v>1.71</v>
          </cell>
          <cell r="O518">
            <v>3.27</v>
          </cell>
        </row>
        <row r="519">
          <cell r="L519" t="str">
            <v>Intan Jaya</v>
          </cell>
          <cell r="M519">
            <v>1.87</v>
          </cell>
          <cell r="N519">
            <v>3.25</v>
          </cell>
          <cell r="O519">
            <v>2.4</v>
          </cell>
        </row>
        <row r="520">
          <cell r="L520" t="str">
            <v>Deiyai</v>
          </cell>
          <cell r="M520">
            <v>1.82</v>
          </cell>
          <cell r="N520">
            <v>1.34</v>
          </cell>
          <cell r="O520">
            <v>1.66</v>
          </cell>
        </row>
        <row r="521">
          <cell r="L521" t="str">
            <v>Kota Jayapura</v>
          </cell>
          <cell r="M521">
            <v>6.71</v>
          </cell>
          <cell r="N521">
            <v>10.88</v>
          </cell>
          <cell r="O521">
            <v>8.2899999999999991</v>
          </cell>
        </row>
        <row r="522">
          <cell r="L522" t="str">
            <v>Merauke</v>
          </cell>
          <cell r="M522">
            <v>4.68</v>
          </cell>
          <cell r="N522">
            <v>5.67</v>
          </cell>
          <cell r="O522">
            <v>5.07</v>
          </cell>
        </row>
        <row r="523">
          <cell r="L523" t="str">
            <v>Boven Digoel</v>
          </cell>
          <cell r="M523">
            <v>2.97</v>
          </cell>
          <cell r="N523">
            <v>3.71</v>
          </cell>
          <cell r="O523">
            <v>3.26</v>
          </cell>
        </row>
        <row r="524">
          <cell r="L524" t="str">
            <v>Mappi</v>
          </cell>
          <cell r="M524">
            <v>3.38</v>
          </cell>
          <cell r="N524">
            <v>5.4</v>
          </cell>
          <cell r="O524">
            <v>4.0999999999999996</v>
          </cell>
        </row>
        <row r="525">
          <cell r="L525" t="str">
            <v>Asmat</v>
          </cell>
          <cell r="M525">
            <v>1.1499999999999999</v>
          </cell>
          <cell r="N525">
            <v>3.26</v>
          </cell>
          <cell r="O525">
            <v>2.0499999999999998</v>
          </cell>
        </row>
        <row r="526">
          <cell r="L526" t="str">
            <v>Mimika</v>
          </cell>
          <cell r="M526">
            <v>5.25</v>
          </cell>
          <cell r="N526">
            <v>10.02</v>
          </cell>
          <cell r="O526">
            <v>6.7</v>
          </cell>
        </row>
        <row r="527">
          <cell r="L527" t="str">
            <v>Dogiyai</v>
          </cell>
          <cell r="M527">
            <v>4.71</v>
          </cell>
          <cell r="N527">
            <v>1.71</v>
          </cell>
          <cell r="O527">
            <v>3.27</v>
          </cell>
        </row>
        <row r="528">
          <cell r="L528" t="str">
            <v>Deiyai</v>
          </cell>
          <cell r="M528">
            <v>1.82</v>
          </cell>
          <cell r="N528">
            <v>1.34</v>
          </cell>
          <cell r="O528">
            <v>1.66</v>
          </cell>
        </row>
        <row r="529">
          <cell r="L529" t="str">
            <v>Nabire</v>
          </cell>
          <cell r="M529">
            <v>3.88</v>
          </cell>
          <cell r="N529">
            <v>4.45</v>
          </cell>
          <cell r="O529">
            <v>4.0999999999999996</v>
          </cell>
        </row>
        <row r="530">
          <cell r="L530" t="str">
            <v>Paniai</v>
          </cell>
          <cell r="M530">
            <v>2.4</v>
          </cell>
          <cell r="N530">
            <v>0.89</v>
          </cell>
          <cell r="O530">
            <v>1.92</v>
          </cell>
        </row>
        <row r="531">
          <cell r="L531" t="str">
            <v>Intan Jaya</v>
          </cell>
          <cell r="M531">
            <v>1.87</v>
          </cell>
          <cell r="N531">
            <v>3.25</v>
          </cell>
          <cell r="O531">
            <v>2.4</v>
          </cell>
        </row>
        <row r="532">
          <cell r="L532" t="str">
            <v>Puncak</v>
          </cell>
          <cell r="M532">
            <v>0</v>
          </cell>
          <cell r="N532">
            <v>0</v>
          </cell>
          <cell r="O532">
            <v>0</v>
          </cell>
        </row>
        <row r="533">
          <cell r="L533" t="str">
            <v>Puncak Jaya</v>
          </cell>
          <cell r="M533">
            <v>0.3</v>
          </cell>
          <cell r="N533">
            <v>0.62</v>
          </cell>
          <cell r="O533">
            <v>0.43</v>
          </cell>
        </row>
        <row r="534">
          <cell r="L534" t="str">
            <v>Nduga</v>
          </cell>
          <cell r="M534">
            <v>0.14000000000000001</v>
          </cell>
          <cell r="N534">
            <v>0</v>
          </cell>
          <cell r="O534">
            <v>7.0000000000000007E-2</v>
          </cell>
        </row>
        <row r="535">
          <cell r="L535" t="str">
            <v>Jayawijaya</v>
          </cell>
          <cell r="M535">
            <v>3.05</v>
          </cell>
          <cell r="N535">
            <v>2.39</v>
          </cell>
          <cell r="O535">
            <v>2.74</v>
          </cell>
        </row>
        <row r="536">
          <cell r="L536" t="str">
            <v>Lanny Jaya</v>
          </cell>
          <cell r="M536">
            <v>0.38</v>
          </cell>
          <cell r="N536">
            <v>0.11</v>
          </cell>
          <cell r="O536">
            <v>0.25</v>
          </cell>
        </row>
        <row r="537">
          <cell r="L537" t="str">
            <v>Tolikara</v>
          </cell>
          <cell r="M537">
            <v>0.54</v>
          </cell>
          <cell r="N537">
            <v>0.44</v>
          </cell>
          <cell r="O537">
            <v>0.5</v>
          </cell>
        </row>
        <row r="538">
          <cell r="L538" t="str">
            <v>Mamberamo Tengah</v>
          </cell>
          <cell r="M538">
            <v>0.81</v>
          </cell>
          <cell r="N538">
            <v>0.23</v>
          </cell>
          <cell r="O538">
            <v>0.54</v>
          </cell>
        </row>
        <row r="539">
          <cell r="L539" t="str">
            <v>Yalimo</v>
          </cell>
          <cell r="M539">
            <v>0.35</v>
          </cell>
          <cell r="N539">
            <v>0.52</v>
          </cell>
          <cell r="O539">
            <v>0.43</v>
          </cell>
        </row>
        <row r="540">
          <cell r="L540" t="str">
            <v>Yahukimo</v>
          </cell>
          <cell r="M540">
            <v>2.0499999999999998</v>
          </cell>
          <cell r="N540">
            <v>2.02</v>
          </cell>
          <cell r="O540">
            <v>2.04</v>
          </cell>
        </row>
        <row r="541">
          <cell r="L541" t="str">
            <v>Pegunungan Bintang</v>
          </cell>
          <cell r="M541">
            <v>2.72</v>
          </cell>
          <cell r="N541">
            <v>2.13</v>
          </cell>
          <cell r="O541">
            <v>2.46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egislatif_pr"/>
    </sheetNames>
    <sheetDataSet>
      <sheetData sheetId="0">
        <row r="2">
          <cell r="A2" t="str">
            <v>ACEH</v>
          </cell>
          <cell r="B2">
            <v>8.9700000000000006</v>
          </cell>
        </row>
        <row r="3">
          <cell r="A3" t="str">
            <v>SIMEULUE</v>
          </cell>
          <cell r="B3">
            <v>16.670000000000002</v>
          </cell>
        </row>
        <row r="4">
          <cell r="A4" t="str">
            <v>ACEH SINGKIL</v>
          </cell>
          <cell r="B4">
            <v>12</v>
          </cell>
        </row>
        <row r="5">
          <cell r="A5" t="str">
            <v>ACEH SELATAN</v>
          </cell>
          <cell r="B5">
            <v>20</v>
          </cell>
        </row>
        <row r="6">
          <cell r="A6" t="str">
            <v>ACEH TENGGARA</v>
          </cell>
          <cell r="B6">
            <v>6.67</v>
          </cell>
        </row>
        <row r="7">
          <cell r="A7" t="str">
            <v>ACEH TIMUR</v>
          </cell>
          <cell r="B7">
            <v>2.5</v>
          </cell>
        </row>
        <row r="8">
          <cell r="A8" t="str">
            <v>ACEH TENGAH</v>
          </cell>
          <cell r="B8">
            <v>13.33</v>
          </cell>
        </row>
        <row r="9">
          <cell r="A9" t="str">
            <v>ACEH BARAT</v>
          </cell>
          <cell r="B9">
            <v>12</v>
          </cell>
        </row>
        <row r="10">
          <cell r="A10" t="str">
            <v>ACEH BESAR</v>
          </cell>
          <cell r="B10">
            <v>5</v>
          </cell>
        </row>
        <row r="11">
          <cell r="A11" t="str">
            <v>PIDIE</v>
          </cell>
          <cell r="B11">
            <v>12.5</v>
          </cell>
        </row>
        <row r="12">
          <cell r="A12" t="str">
            <v>BIREUEN</v>
          </cell>
          <cell r="B12">
            <v>10</v>
          </cell>
        </row>
        <row r="13">
          <cell r="A13" t="str">
            <v>ACEH UTARA</v>
          </cell>
          <cell r="B13">
            <v>0</v>
          </cell>
        </row>
        <row r="14">
          <cell r="A14" t="str">
            <v>ACEH BARAT DAYA</v>
          </cell>
          <cell r="B14">
            <v>4</v>
          </cell>
        </row>
        <row r="15">
          <cell r="A15" t="str">
            <v>GAYO LUES</v>
          </cell>
          <cell r="B15">
            <v>4</v>
          </cell>
        </row>
        <row r="16">
          <cell r="A16" t="str">
            <v>ACEH TAMIANG</v>
          </cell>
          <cell r="B16">
            <v>17.14</v>
          </cell>
        </row>
        <row r="17">
          <cell r="A17" t="str">
            <v>NAGAN RAYA</v>
          </cell>
          <cell r="B17">
            <v>0</v>
          </cell>
        </row>
        <row r="18">
          <cell r="A18" t="str">
            <v>ACEH JAYA</v>
          </cell>
          <cell r="B18">
            <v>10</v>
          </cell>
        </row>
        <row r="19">
          <cell r="A19" t="str">
            <v>BENER MERIAH</v>
          </cell>
          <cell r="B19">
            <v>4</v>
          </cell>
        </row>
        <row r="20">
          <cell r="A20" t="str">
            <v>PIDIE JAYA</v>
          </cell>
          <cell r="B20">
            <v>4</v>
          </cell>
        </row>
        <row r="21">
          <cell r="A21" t="str">
            <v>KOTA BANDA ACEH</v>
          </cell>
          <cell r="B21">
            <v>13.33</v>
          </cell>
        </row>
        <row r="22">
          <cell r="A22" t="str">
            <v>KOTA SABANG</v>
          </cell>
          <cell r="B22">
            <v>10</v>
          </cell>
        </row>
        <row r="23">
          <cell r="A23" t="str">
            <v>KOTA LANGSA</v>
          </cell>
          <cell r="B23">
            <v>12</v>
          </cell>
        </row>
        <row r="24">
          <cell r="A24" t="str">
            <v>KOTA LHOKSEUMAWE</v>
          </cell>
          <cell r="B24">
            <v>28</v>
          </cell>
        </row>
        <row r="25">
          <cell r="A25" t="str">
            <v>KOTA SUBULUSSALAM</v>
          </cell>
          <cell r="B25">
            <v>25</v>
          </cell>
        </row>
        <row r="26">
          <cell r="A26" t="str">
            <v>SUMATERA UTARA</v>
          </cell>
          <cell r="B26">
            <v>17.350000000000001</v>
          </cell>
        </row>
        <row r="27">
          <cell r="A27" t="str">
            <v>NIAS</v>
          </cell>
          <cell r="B27">
            <v>8</v>
          </cell>
        </row>
        <row r="28">
          <cell r="A28" t="str">
            <v>MANDAILING NATAL</v>
          </cell>
          <cell r="B28">
            <v>7.5</v>
          </cell>
        </row>
        <row r="29">
          <cell r="A29" t="str">
            <v>TAPANULI SELATAN</v>
          </cell>
          <cell r="B29">
            <v>7.5</v>
          </cell>
        </row>
        <row r="30">
          <cell r="A30" t="str">
            <v>TAPANULI TENGAH</v>
          </cell>
          <cell r="B30">
            <v>22.86</v>
          </cell>
        </row>
        <row r="31">
          <cell r="A31" t="str">
            <v>TAPANULI UTARA</v>
          </cell>
          <cell r="B31">
            <v>5.71</v>
          </cell>
        </row>
        <row r="32">
          <cell r="A32" t="str">
            <v>TOBA SAMOSIR / TOBA</v>
          </cell>
          <cell r="B32">
            <v>13.33</v>
          </cell>
        </row>
        <row r="33">
          <cell r="A33" t="str">
            <v>LABUHAN BATU</v>
          </cell>
          <cell r="B33">
            <v>6.67</v>
          </cell>
        </row>
        <row r="34">
          <cell r="A34" t="str">
            <v>ASAHAN</v>
          </cell>
          <cell r="B34">
            <v>15.56</v>
          </cell>
        </row>
        <row r="35">
          <cell r="A35" t="str">
            <v>SIMALUNGUN</v>
          </cell>
          <cell r="B35">
            <v>8</v>
          </cell>
        </row>
        <row r="36">
          <cell r="A36" t="str">
            <v>DAIRI</v>
          </cell>
          <cell r="B36">
            <v>5.71</v>
          </cell>
        </row>
        <row r="37">
          <cell r="A37" t="str">
            <v>KARO</v>
          </cell>
          <cell r="B37">
            <v>22.5</v>
          </cell>
        </row>
        <row r="38">
          <cell r="A38" t="str">
            <v>DELI SERDANG</v>
          </cell>
          <cell r="B38">
            <v>6</v>
          </cell>
        </row>
        <row r="39">
          <cell r="A39" t="str">
            <v>LANGKAT</v>
          </cell>
          <cell r="B39">
            <v>10</v>
          </cell>
        </row>
        <row r="40">
          <cell r="A40" t="str">
            <v>NIAS SELATAN</v>
          </cell>
          <cell r="B40">
            <v>11.43</v>
          </cell>
        </row>
        <row r="41">
          <cell r="A41" t="str">
            <v>HUMBANG HASUNDUTAN</v>
          </cell>
          <cell r="B41">
            <v>16.670000000000002</v>
          </cell>
        </row>
        <row r="42">
          <cell r="A42" t="str">
            <v>PAKPAK BHARAT</v>
          </cell>
          <cell r="B42">
            <v>5</v>
          </cell>
        </row>
        <row r="43">
          <cell r="A43" t="str">
            <v>SAMOSIR</v>
          </cell>
          <cell r="B43">
            <v>12</v>
          </cell>
        </row>
        <row r="44">
          <cell r="A44" t="str">
            <v>SERDANG BEDAGAI</v>
          </cell>
          <cell r="B44">
            <v>11.11</v>
          </cell>
        </row>
        <row r="45">
          <cell r="A45" t="str">
            <v>BATU BARA</v>
          </cell>
          <cell r="B45">
            <v>11.43</v>
          </cell>
        </row>
        <row r="46">
          <cell r="A46" t="str">
            <v>PADANG LAWAS UTARA</v>
          </cell>
          <cell r="B46">
            <v>10</v>
          </cell>
        </row>
        <row r="47">
          <cell r="A47" t="str">
            <v>PADANG LAWAS</v>
          </cell>
          <cell r="B47">
            <v>0</v>
          </cell>
        </row>
        <row r="48">
          <cell r="A48" t="str">
            <v>LABUHAN BATU SELATAN</v>
          </cell>
          <cell r="B48">
            <v>8.57</v>
          </cell>
        </row>
        <row r="49">
          <cell r="A49" t="str">
            <v>LABUHAN BATU UTARA</v>
          </cell>
          <cell r="B49">
            <v>2.86</v>
          </cell>
        </row>
        <row r="50">
          <cell r="A50" t="str">
            <v>NIAS UTARA</v>
          </cell>
          <cell r="B50">
            <v>8</v>
          </cell>
        </row>
        <row r="51">
          <cell r="A51" t="str">
            <v>NIAS BARAT</v>
          </cell>
          <cell r="B51">
            <v>15</v>
          </cell>
        </row>
        <row r="52">
          <cell r="A52" t="str">
            <v>KOTA SIBOLGA</v>
          </cell>
          <cell r="B52">
            <v>15</v>
          </cell>
        </row>
        <row r="53">
          <cell r="A53" t="str">
            <v>KOTA TANJUNG BALAI</v>
          </cell>
          <cell r="B53">
            <v>32</v>
          </cell>
        </row>
        <row r="54">
          <cell r="A54" t="str">
            <v>KOTA PEMATANG SIANTAR</v>
          </cell>
          <cell r="B54">
            <v>16.670000000000002</v>
          </cell>
        </row>
        <row r="55">
          <cell r="A55" t="str">
            <v>KOTA TEBING TINGGI</v>
          </cell>
          <cell r="B55">
            <v>12</v>
          </cell>
        </row>
        <row r="56">
          <cell r="A56" t="str">
            <v>KOTA MEDAN</v>
          </cell>
          <cell r="B56">
            <v>16</v>
          </cell>
        </row>
        <row r="57">
          <cell r="A57" t="str">
            <v>KOTA BINJAI</v>
          </cell>
          <cell r="B57">
            <v>14.29</v>
          </cell>
        </row>
        <row r="58">
          <cell r="A58" t="str">
            <v>KOTA PADANGSIDIMPUAN</v>
          </cell>
          <cell r="B58">
            <v>30</v>
          </cell>
        </row>
        <row r="59">
          <cell r="A59" t="str">
            <v>KOTA GUNUNGSITOLI</v>
          </cell>
          <cell r="B59">
            <v>16</v>
          </cell>
        </row>
        <row r="60">
          <cell r="A60" t="str">
            <v>SUMATERA BARAT</v>
          </cell>
          <cell r="B60">
            <v>15.38</v>
          </cell>
        </row>
        <row r="61">
          <cell r="A61" t="str">
            <v>KEPULAUAN MENTAWAI</v>
          </cell>
          <cell r="B61">
            <v>0</v>
          </cell>
        </row>
        <row r="62">
          <cell r="A62" t="str">
            <v>PESISIR SELATAN</v>
          </cell>
          <cell r="B62">
            <v>4.4400000000000004</v>
          </cell>
        </row>
        <row r="63">
          <cell r="A63" t="str">
            <v>SOLOK</v>
          </cell>
          <cell r="B63">
            <v>11.43</v>
          </cell>
        </row>
        <row r="64">
          <cell r="A64" t="str">
            <v>SIJUNJUNG</v>
          </cell>
          <cell r="B64">
            <v>10</v>
          </cell>
        </row>
        <row r="65">
          <cell r="A65" t="str">
            <v>TANAH DATAR</v>
          </cell>
          <cell r="B65">
            <v>8.57</v>
          </cell>
        </row>
        <row r="66">
          <cell r="A66" t="str">
            <v>PADANG PARIAMAN</v>
          </cell>
          <cell r="B66">
            <v>0</v>
          </cell>
        </row>
        <row r="67">
          <cell r="A67" t="str">
            <v>AGAM</v>
          </cell>
          <cell r="B67">
            <v>8.89</v>
          </cell>
        </row>
        <row r="68">
          <cell r="A68" t="str">
            <v>LIMA PULUH KOTA</v>
          </cell>
          <cell r="B68">
            <v>5.71</v>
          </cell>
        </row>
        <row r="69">
          <cell r="A69" t="str">
            <v>PASAMAN</v>
          </cell>
          <cell r="B69">
            <v>14.29</v>
          </cell>
        </row>
        <row r="70">
          <cell r="A70" t="str">
            <v>SOLOK SELATAN</v>
          </cell>
          <cell r="B70">
            <v>0</v>
          </cell>
        </row>
        <row r="71">
          <cell r="A71" t="str">
            <v>DHARMASRAYA</v>
          </cell>
          <cell r="B71">
            <v>6.67</v>
          </cell>
        </row>
        <row r="72">
          <cell r="A72" t="str">
            <v>PASAMAN BARAT</v>
          </cell>
          <cell r="B72">
            <v>10</v>
          </cell>
        </row>
        <row r="73">
          <cell r="A73" t="str">
            <v>KOTA PADANG</v>
          </cell>
          <cell r="B73">
            <v>8.89</v>
          </cell>
        </row>
        <row r="74">
          <cell r="A74" t="str">
            <v>KOTA SOLOK</v>
          </cell>
          <cell r="B74">
            <v>15</v>
          </cell>
        </row>
        <row r="75">
          <cell r="A75" t="str">
            <v>KOTA SAWAH LUNTO</v>
          </cell>
          <cell r="B75">
            <v>20</v>
          </cell>
        </row>
        <row r="76">
          <cell r="A76" t="str">
            <v>KOTA PADANG PANJANG</v>
          </cell>
          <cell r="B76">
            <v>20</v>
          </cell>
        </row>
        <row r="77">
          <cell r="A77" t="str">
            <v>KOTA BUKITTINGGI</v>
          </cell>
          <cell r="B77">
            <v>32</v>
          </cell>
        </row>
        <row r="78">
          <cell r="A78" t="str">
            <v>KOTA PAYAKUMBUH</v>
          </cell>
          <cell r="B78">
            <v>12</v>
          </cell>
        </row>
        <row r="79">
          <cell r="A79" t="str">
            <v>KOTA PARIAMAN</v>
          </cell>
          <cell r="B79">
            <v>10</v>
          </cell>
        </row>
        <row r="80">
          <cell r="A80" t="str">
            <v>RIAU</v>
          </cell>
          <cell r="B80">
            <v>13.85</v>
          </cell>
        </row>
        <row r="81">
          <cell r="A81" t="str">
            <v>KUANTAN SINGINGI</v>
          </cell>
          <cell r="B81">
            <v>14.29</v>
          </cell>
        </row>
        <row r="82">
          <cell r="A82" t="str">
            <v>INDRAGIRI HULU</v>
          </cell>
          <cell r="B82">
            <v>5</v>
          </cell>
        </row>
        <row r="83">
          <cell r="A83" t="str">
            <v>INDRAGIRI HILIR</v>
          </cell>
          <cell r="B83">
            <v>17.78</v>
          </cell>
        </row>
        <row r="84">
          <cell r="A84" t="str">
            <v>PELALAWAN</v>
          </cell>
          <cell r="B84">
            <v>5</v>
          </cell>
        </row>
        <row r="85">
          <cell r="A85" t="str">
            <v>SIAK</v>
          </cell>
          <cell r="B85">
            <v>5</v>
          </cell>
        </row>
        <row r="86">
          <cell r="A86" t="str">
            <v>KAMPAR</v>
          </cell>
          <cell r="B86">
            <v>11.11</v>
          </cell>
        </row>
        <row r="87">
          <cell r="A87" t="str">
            <v>ROKAN HULU</v>
          </cell>
          <cell r="B87">
            <v>6.67</v>
          </cell>
        </row>
        <row r="88">
          <cell r="A88" t="str">
            <v>BENGKALIS</v>
          </cell>
          <cell r="B88">
            <v>15.56</v>
          </cell>
        </row>
        <row r="89">
          <cell r="A89" t="str">
            <v>ROKAN HILIR</v>
          </cell>
          <cell r="B89">
            <v>11.11</v>
          </cell>
        </row>
        <row r="90">
          <cell r="A90" t="str">
            <v>KEPULAUAN MERANTI</v>
          </cell>
          <cell r="B90">
            <v>26.67</v>
          </cell>
        </row>
        <row r="91">
          <cell r="A91" t="str">
            <v>KOTA PEKANBARU</v>
          </cell>
          <cell r="B91">
            <v>18</v>
          </cell>
        </row>
        <row r="92">
          <cell r="A92" t="str">
            <v>KOTA DUMAI</v>
          </cell>
          <cell r="B92">
            <v>5.71</v>
          </cell>
        </row>
        <row r="93">
          <cell r="A93" t="str">
            <v>JAMBI</v>
          </cell>
          <cell r="B93">
            <v>12.73</v>
          </cell>
        </row>
        <row r="94">
          <cell r="A94" t="str">
            <v>KERINCI</v>
          </cell>
          <cell r="B94">
            <v>6.67</v>
          </cell>
        </row>
        <row r="95">
          <cell r="A95" t="str">
            <v>MERANGIN</v>
          </cell>
          <cell r="B95">
            <v>2.86</v>
          </cell>
        </row>
        <row r="96">
          <cell r="A96" t="str">
            <v>SAROLANGUN</v>
          </cell>
          <cell r="B96">
            <v>13.33</v>
          </cell>
        </row>
        <row r="97">
          <cell r="A97" t="str">
            <v>BATANG HARI</v>
          </cell>
          <cell r="B97">
            <v>20</v>
          </cell>
        </row>
        <row r="98">
          <cell r="A98" t="str">
            <v>MUARO JAMBI</v>
          </cell>
          <cell r="B98">
            <v>10</v>
          </cell>
        </row>
        <row r="99">
          <cell r="A99" t="str">
            <v>TANJUNG JABUNG TIMUR</v>
          </cell>
          <cell r="B99">
            <v>20</v>
          </cell>
        </row>
        <row r="100">
          <cell r="A100" t="str">
            <v>TANJUNG JABUNG BARAT</v>
          </cell>
          <cell r="B100">
            <v>14.29</v>
          </cell>
        </row>
        <row r="101">
          <cell r="A101" t="str">
            <v>TEBO</v>
          </cell>
          <cell r="B101">
            <v>8.57</v>
          </cell>
        </row>
        <row r="102">
          <cell r="A102" t="str">
            <v>BUNGO</v>
          </cell>
          <cell r="B102">
            <v>14.29</v>
          </cell>
        </row>
        <row r="103">
          <cell r="A103" t="str">
            <v>KOTA JAMBI</v>
          </cell>
          <cell r="B103">
            <v>15.56</v>
          </cell>
        </row>
        <row r="104">
          <cell r="A104" t="str">
            <v>KOTA SUNGAI PENUH</v>
          </cell>
          <cell r="B104">
            <v>0</v>
          </cell>
        </row>
        <row r="105">
          <cell r="A105" t="str">
            <v>SUMATERA SELATAN</v>
          </cell>
          <cell r="B105">
            <v>24</v>
          </cell>
        </row>
        <row r="106">
          <cell r="A106" t="str">
            <v>OGAN KOMERING ULU</v>
          </cell>
          <cell r="B106">
            <v>2.86</v>
          </cell>
        </row>
        <row r="107">
          <cell r="A107" t="str">
            <v>OGAN KOMERING ILIR</v>
          </cell>
          <cell r="B107">
            <v>13.33</v>
          </cell>
        </row>
        <row r="108">
          <cell r="A108" t="str">
            <v>MUARA ENIM</v>
          </cell>
          <cell r="B108">
            <v>15.56</v>
          </cell>
        </row>
        <row r="109">
          <cell r="A109" t="str">
            <v>LAHAT</v>
          </cell>
          <cell r="B109">
            <v>17.5</v>
          </cell>
        </row>
        <row r="110">
          <cell r="A110" t="str">
            <v>MUSI RAWAS</v>
          </cell>
          <cell r="B110">
            <v>17.5</v>
          </cell>
        </row>
        <row r="111">
          <cell r="A111" t="str">
            <v>MUSI BANYUASIN</v>
          </cell>
          <cell r="B111">
            <v>11.11</v>
          </cell>
        </row>
        <row r="112">
          <cell r="A112" t="str">
            <v>BANYU ASIN</v>
          </cell>
          <cell r="B112">
            <v>13.33</v>
          </cell>
        </row>
        <row r="113">
          <cell r="A113" t="str">
            <v>OGAN KOMERING ULU SELATAN</v>
          </cell>
          <cell r="B113">
            <v>12.82</v>
          </cell>
        </row>
        <row r="114">
          <cell r="A114" t="str">
            <v>OGAN KOMERING ULU TIMUR</v>
          </cell>
          <cell r="B114">
            <v>15.56</v>
          </cell>
        </row>
        <row r="115">
          <cell r="A115" t="str">
            <v>OGAN ILIR</v>
          </cell>
          <cell r="B115">
            <v>12.5</v>
          </cell>
        </row>
        <row r="116">
          <cell r="A116" t="str">
            <v>EMPAT LAWANG</v>
          </cell>
          <cell r="B116">
            <v>22.86</v>
          </cell>
        </row>
        <row r="117">
          <cell r="A117" t="str">
            <v>PENUKAL ABAB LEMATANG ILIR</v>
          </cell>
          <cell r="B117">
            <v>0</v>
          </cell>
        </row>
        <row r="118">
          <cell r="A118" t="str">
            <v>MUSI RAWAS UTARA</v>
          </cell>
          <cell r="B118">
            <v>0</v>
          </cell>
        </row>
        <row r="119">
          <cell r="A119" t="str">
            <v>KOTA PALEMBANG</v>
          </cell>
          <cell r="B119">
            <v>8</v>
          </cell>
        </row>
        <row r="120">
          <cell r="A120" t="str">
            <v>KOTA PRABUMULIH</v>
          </cell>
          <cell r="B120">
            <v>26.67</v>
          </cell>
        </row>
        <row r="121">
          <cell r="A121" t="str">
            <v>KOTA PAGAR ALAM</v>
          </cell>
          <cell r="B121">
            <v>17.39</v>
          </cell>
        </row>
        <row r="122">
          <cell r="A122" t="str">
            <v>KOTA LUBUKLINGGAU</v>
          </cell>
          <cell r="B122">
            <v>30</v>
          </cell>
        </row>
        <row r="123">
          <cell r="A123" t="str">
            <v>BENGKULU</v>
          </cell>
          <cell r="B123">
            <v>22.22</v>
          </cell>
        </row>
        <row r="124">
          <cell r="A124" t="str">
            <v>BENGKULU SELATAN</v>
          </cell>
          <cell r="B124">
            <v>4</v>
          </cell>
        </row>
        <row r="125">
          <cell r="A125" t="str">
            <v>REJANG LEBONG</v>
          </cell>
          <cell r="B125">
            <v>20</v>
          </cell>
        </row>
        <row r="126">
          <cell r="A126" t="str">
            <v>BENGKULU UTARA</v>
          </cell>
          <cell r="B126">
            <v>3.33</v>
          </cell>
        </row>
        <row r="127">
          <cell r="A127" t="str">
            <v>KAUR</v>
          </cell>
          <cell r="B127">
            <v>16</v>
          </cell>
        </row>
        <row r="128">
          <cell r="A128" t="str">
            <v>SELUMA</v>
          </cell>
          <cell r="B128">
            <v>13.33</v>
          </cell>
        </row>
        <row r="129">
          <cell r="A129" t="str">
            <v>MUKOMUKO</v>
          </cell>
          <cell r="B129">
            <v>0</v>
          </cell>
        </row>
        <row r="130">
          <cell r="A130" t="str">
            <v>LEBONG</v>
          </cell>
          <cell r="B130">
            <v>28</v>
          </cell>
        </row>
        <row r="131">
          <cell r="A131" t="str">
            <v>KEPAHIANG</v>
          </cell>
          <cell r="B131">
            <v>4</v>
          </cell>
        </row>
        <row r="132">
          <cell r="A132" t="str">
            <v>BENGKULU TENGAH</v>
          </cell>
          <cell r="B132">
            <v>20</v>
          </cell>
        </row>
        <row r="133">
          <cell r="A133" t="str">
            <v>KOTA BENGKULU</v>
          </cell>
          <cell r="B133">
            <v>22.86</v>
          </cell>
        </row>
        <row r="134">
          <cell r="A134" t="str">
            <v>LAMPUNG</v>
          </cell>
          <cell r="B134">
            <v>17.649999999999999</v>
          </cell>
        </row>
        <row r="135">
          <cell r="A135" t="str">
            <v>LAMPUNG BARAT</v>
          </cell>
          <cell r="B135">
            <v>14.29</v>
          </cell>
        </row>
        <row r="136">
          <cell r="A136" t="str">
            <v>TANGGAMUS</v>
          </cell>
          <cell r="B136">
            <v>8.89</v>
          </cell>
        </row>
        <row r="137">
          <cell r="A137" t="str">
            <v>LAMPUNG SELATAN</v>
          </cell>
          <cell r="B137">
            <v>24</v>
          </cell>
        </row>
        <row r="138">
          <cell r="A138" t="str">
            <v>LAMPUNG TIMUR</v>
          </cell>
          <cell r="B138">
            <v>14</v>
          </cell>
        </row>
        <row r="139">
          <cell r="A139" t="str">
            <v>LAMPUNG TENGAH</v>
          </cell>
          <cell r="B139">
            <v>20</v>
          </cell>
        </row>
        <row r="140">
          <cell r="A140" t="str">
            <v>LAMPUNG UTARA</v>
          </cell>
          <cell r="B140">
            <v>6.67</v>
          </cell>
        </row>
        <row r="141">
          <cell r="A141" t="str">
            <v>WAY KANAN</v>
          </cell>
          <cell r="B141">
            <v>20</v>
          </cell>
        </row>
        <row r="142">
          <cell r="A142" t="str">
            <v>TULANGBAWANG</v>
          </cell>
          <cell r="B142">
            <v>25</v>
          </cell>
        </row>
        <row r="143">
          <cell r="A143" t="str">
            <v>PESAWARAN</v>
          </cell>
          <cell r="B143">
            <v>15</v>
          </cell>
        </row>
        <row r="144">
          <cell r="A144" t="str">
            <v>PRINGSEWU</v>
          </cell>
          <cell r="B144">
            <v>30</v>
          </cell>
        </row>
        <row r="145">
          <cell r="A145" t="str">
            <v>MESUJI</v>
          </cell>
          <cell r="B145">
            <v>20</v>
          </cell>
        </row>
        <row r="146">
          <cell r="A146" t="str">
            <v>TULANGBAWANG BARAT</v>
          </cell>
          <cell r="B146">
            <v>8.57</v>
          </cell>
        </row>
        <row r="147">
          <cell r="A147" t="str">
            <v>PESISIR BARAT</v>
          </cell>
          <cell r="B147">
            <v>12</v>
          </cell>
        </row>
        <row r="148">
          <cell r="A148" t="str">
            <v>KOTA BANDAR LAMPUNG</v>
          </cell>
          <cell r="B148">
            <v>24.49</v>
          </cell>
        </row>
        <row r="149">
          <cell r="A149" t="str">
            <v>KOTA METRO</v>
          </cell>
          <cell r="B149">
            <v>20</v>
          </cell>
        </row>
        <row r="150">
          <cell r="A150" t="str">
            <v>KEP. BANGKA BELITUNG</v>
          </cell>
          <cell r="B150">
            <v>22.22</v>
          </cell>
        </row>
        <row r="151">
          <cell r="A151" t="str">
            <v>BANGKA</v>
          </cell>
          <cell r="B151">
            <v>14.29</v>
          </cell>
        </row>
        <row r="152">
          <cell r="A152" t="str">
            <v>BELITUNG</v>
          </cell>
          <cell r="B152">
            <v>12</v>
          </cell>
        </row>
        <row r="153">
          <cell r="A153" t="str">
            <v>BANGKA BARAT</v>
          </cell>
          <cell r="B153">
            <v>16.670000000000002</v>
          </cell>
        </row>
        <row r="154">
          <cell r="A154" t="str">
            <v>BANGKA TENGAH</v>
          </cell>
          <cell r="B154">
            <v>20</v>
          </cell>
        </row>
        <row r="155">
          <cell r="A155" t="str">
            <v>BANGKA SELATAN</v>
          </cell>
          <cell r="B155">
            <v>13.33</v>
          </cell>
        </row>
        <row r="156">
          <cell r="A156" t="str">
            <v>BELITUNG TIMUR</v>
          </cell>
          <cell r="B156">
            <v>0</v>
          </cell>
        </row>
        <row r="157">
          <cell r="A157" t="str">
            <v>KOTA PANGKAL PINANG</v>
          </cell>
          <cell r="B157">
            <v>13.33</v>
          </cell>
        </row>
        <row r="158">
          <cell r="A158" t="str">
            <v>KEP. RIAU</v>
          </cell>
          <cell r="B158">
            <v>13.95</v>
          </cell>
        </row>
        <row r="159">
          <cell r="A159" t="str">
            <v>KARIMUN</v>
          </cell>
          <cell r="B159">
            <v>10</v>
          </cell>
        </row>
        <row r="160">
          <cell r="A160" t="str">
            <v>BINTAN</v>
          </cell>
          <cell r="B160">
            <v>40</v>
          </cell>
        </row>
        <row r="161">
          <cell r="A161" t="str">
            <v>NATUNA</v>
          </cell>
          <cell r="B161">
            <v>0</v>
          </cell>
        </row>
        <row r="162">
          <cell r="A162" t="str">
            <v>LINGGA</v>
          </cell>
          <cell r="B162">
            <v>16</v>
          </cell>
        </row>
        <row r="163">
          <cell r="A163" t="str">
            <v>KEPULAUAN ANAMBAS</v>
          </cell>
          <cell r="B163">
            <v>10</v>
          </cell>
        </row>
        <row r="164">
          <cell r="A164" t="str">
            <v>KOTA BATAM</v>
          </cell>
          <cell r="B164">
            <v>10</v>
          </cell>
        </row>
        <row r="165">
          <cell r="A165" t="str">
            <v>KOTA TANJUNG PINANG</v>
          </cell>
          <cell r="B165">
            <v>23.33</v>
          </cell>
        </row>
        <row r="166">
          <cell r="A166" t="str">
            <v>DKI JAKARTA</v>
          </cell>
          <cell r="B166">
            <v>25.47</v>
          </cell>
        </row>
        <row r="167">
          <cell r="A167" t="str">
            <v>KEP. SERIBU</v>
          </cell>
          <cell r="B167">
            <v>25.47</v>
          </cell>
        </row>
        <row r="168">
          <cell r="A168" t="str">
            <v>KOTA JAKARTA SELATAN</v>
          </cell>
          <cell r="B168">
            <v>25.47</v>
          </cell>
        </row>
        <row r="169">
          <cell r="A169" t="str">
            <v>KOTA JAKARTA TIMUR</v>
          </cell>
          <cell r="B169">
            <v>25.47</v>
          </cell>
        </row>
        <row r="170">
          <cell r="A170" t="str">
            <v>KOTA JAKARTA PUSAT</v>
          </cell>
          <cell r="B170">
            <v>25.47</v>
          </cell>
        </row>
        <row r="171">
          <cell r="A171" t="str">
            <v>KOTA JAKARTA BARAT</v>
          </cell>
          <cell r="B171">
            <v>25.47</v>
          </cell>
        </row>
        <row r="172">
          <cell r="A172" t="str">
            <v>KOTA JAKARTA UTARA</v>
          </cell>
          <cell r="B172">
            <v>25.47</v>
          </cell>
        </row>
        <row r="173">
          <cell r="A173" t="str">
            <v>JAWA BARAT</v>
          </cell>
          <cell r="B173">
            <v>22.69</v>
          </cell>
        </row>
        <row r="174">
          <cell r="A174" t="str">
            <v>BOGOR</v>
          </cell>
          <cell r="B174">
            <v>9.09</v>
          </cell>
        </row>
        <row r="175">
          <cell r="A175" t="str">
            <v>SUKABUMI</v>
          </cell>
          <cell r="B175">
            <v>18</v>
          </cell>
        </row>
        <row r="176">
          <cell r="A176" t="str">
            <v>CIANJUR</v>
          </cell>
          <cell r="B176">
            <v>22</v>
          </cell>
        </row>
        <row r="177">
          <cell r="A177" t="str">
            <v>BANDUNG</v>
          </cell>
          <cell r="B177">
            <v>16.36</v>
          </cell>
        </row>
        <row r="178">
          <cell r="A178" t="str">
            <v>GARUT</v>
          </cell>
          <cell r="B178">
            <v>24</v>
          </cell>
        </row>
        <row r="179">
          <cell r="A179" t="str">
            <v>TASIKMALAYA</v>
          </cell>
          <cell r="B179">
            <v>12</v>
          </cell>
        </row>
        <row r="180">
          <cell r="A180" t="str">
            <v>CIAMIS</v>
          </cell>
          <cell r="B180">
            <v>10</v>
          </cell>
        </row>
        <row r="181">
          <cell r="A181" t="str">
            <v>KUNINGAN</v>
          </cell>
          <cell r="B181">
            <v>32</v>
          </cell>
        </row>
        <row r="182">
          <cell r="A182" t="str">
            <v>CIREBON</v>
          </cell>
          <cell r="B182">
            <v>28</v>
          </cell>
        </row>
        <row r="183">
          <cell r="A183" t="str">
            <v>MAJALENGKA</v>
          </cell>
          <cell r="B183">
            <v>14</v>
          </cell>
        </row>
        <row r="184">
          <cell r="A184" t="str">
            <v>SUMEDANG</v>
          </cell>
          <cell r="B184">
            <v>24</v>
          </cell>
        </row>
        <row r="185">
          <cell r="A185" t="str">
            <v>INDRAMAYU</v>
          </cell>
          <cell r="B185">
            <v>28</v>
          </cell>
        </row>
        <row r="186">
          <cell r="A186" t="str">
            <v>SUBANG</v>
          </cell>
          <cell r="B186">
            <v>22</v>
          </cell>
        </row>
        <row r="187">
          <cell r="A187" t="str">
            <v>PURWAKARTA</v>
          </cell>
          <cell r="B187">
            <v>30</v>
          </cell>
        </row>
        <row r="188">
          <cell r="A188" t="str">
            <v>KARAWANG</v>
          </cell>
          <cell r="B188">
            <v>16</v>
          </cell>
        </row>
        <row r="189">
          <cell r="A189" t="str">
            <v>BEKASI</v>
          </cell>
          <cell r="B189">
            <v>21.82</v>
          </cell>
        </row>
        <row r="190">
          <cell r="A190" t="str">
            <v>BANDUNG BARAT</v>
          </cell>
          <cell r="B190">
            <v>20</v>
          </cell>
        </row>
        <row r="191">
          <cell r="A191" t="str">
            <v>PANGANDARAN</v>
          </cell>
          <cell r="B191">
            <v>20</v>
          </cell>
        </row>
        <row r="192">
          <cell r="A192" t="str">
            <v>KOTA BOGOR</v>
          </cell>
          <cell r="B192">
            <v>26</v>
          </cell>
        </row>
        <row r="193">
          <cell r="A193" t="str">
            <v>KOTA SUKABUMI</v>
          </cell>
          <cell r="B193">
            <v>20</v>
          </cell>
        </row>
        <row r="194">
          <cell r="A194" t="str">
            <v>KOTA BANDUNG</v>
          </cell>
          <cell r="B194">
            <v>16</v>
          </cell>
        </row>
        <row r="195">
          <cell r="A195" t="str">
            <v>KOTA CIREBON</v>
          </cell>
          <cell r="B195">
            <v>34.29</v>
          </cell>
        </row>
        <row r="196">
          <cell r="A196" t="str">
            <v>KOTA BEKASI</v>
          </cell>
          <cell r="B196">
            <v>20</v>
          </cell>
        </row>
        <row r="197">
          <cell r="A197" t="str">
            <v>KOTA DEPOK</v>
          </cell>
          <cell r="B197">
            <v>24</v>
          </cell>
        </row>
        <row r="198">
          <cell r="A198" t="str">
            <v>KOTA CIMAHI</v>
          </cell>
          <cell r="B198">
            <v>26.67</v>
          </cell>
        </row>
        <row r="199">
          <cell r="A199" t="str">
            <v>KOTA TASIKMALAYA</v>
          </cell>
          <cell r="B199">
            <v>16.28</v>
          </cell>
        </row>
        <row r="200">
          <cell r="A200" t="str">
            <v>KOTA BANJAR</v>
          </cell>
          <cell r="B200">
            <v>13.33</v>
          </cell>
        </row>
        <row r="201">
          <cell r="A201" t="str">
            <v>JAWA TENGAH</v>
          </cell>
          <cell r="B201">
            <v>17.649999999999999</v>
          </cell>
        </row>
        <row r="202">
          <cell r="A202" t="str">
            <v>CILACAP</v>
          </cell>
          <cell r="B202">
            <v>24</v>
          </cell>
        </row>
        <row r="203">
          <cell r="A203" t="str">
            <v>BANYUMAS</v>
          </cell>
          <cell r="B203">
            <v>18</v>
          </cell>
        </row>
        <row r="204">
          <cell r="A204" t="str">
            <v>PURBALINGGA</v>
          </cell>
          <cell r="B204">
            <v>30</v>
          </cell>
        </row>
        <row r="205">
          <cell r="A205" t="str">
            <v>BANJARNEGARA</v>
          </cell>
          <cell r="B205">
            <v>14</v>
          </cell>
        </row>
        <row r="206">
          <cell r="A206" t="str">
            <v>KEBUMEN</v>
          </cell>
          <cell r="B206">
            <v>24</v>
          </cell>
        </row>
        <row r="207">
          <cell r="A207" t="str">
            <v>PURWOREJO</v>
          </cell>
          <cell r="B207">
            <v>22.22</v>
          </cell>
        </row>
        <row r="208">
          <cell r="A208" t="str">
            <v>WONOSOBO</v>
          </cell>
          <cell r="B208">
            <v>11.11</v>
          </cell>
        </row>
        <row r="209">
          <cell r="A209" t="str">
            <v>MAGELANG</v>
          </cell>
          <cell r="B209">
            <v>10</v>
          </cell>
        </row>
        <row r="210">
          <cell r="A210" t="str">
            <v>BOYOLALI</v>
          </cell>
          <cell r="B210">
            <v>26.53</v>
          </cell>
        </row>
        <row r="211">
          <cell r="A211" t="str">
            <v>KLATEN</v>
          </cell>
          <cell r="B211">
            <v>22.45</v>
          </cell>
        </row>
        <row r="212">
          <cell r="A212" t="str">
            <v>SUKOHARJO</v>
          </cell>
          <cell r="B212">
            <v>15.56</v>
          </cell>
        </row>
        <row r="213">
          <cell r="A213" t="str">
            <v>WONOGIRI</v>
          </cell>
          <cell r="B213">
            <v>24</v>
          </cell>
        </row>
        <row r="214">
          <cell r="A214" t="str">
            <v>KARANGANYAR</v>
          </cell>
          <cell r="B214">
            <v>18.18</v>
          </cell>
        </row>
        <row r="215">
          <cell r="A215" t="str">
            <v>SRAGEN</v>
          </cell>
          <cell r="B215">
            <v>16</v>
          </cell>
        </row>
        <row r="216">
          <cell r="A216" t="str">
            <v>GROBOGAN</v>
          </cell>
          <cell r="B216">
            <v>20</v>
          </cell>
        </row>
        <row r="217">
          <cell r="A217" t="str">
            <v>BLORA</v>
          </cell>
          <cell r="B217">
            <v>20</v>
          </cell>
        </row>
        <row r="218">
          <cell r="A218" t="str">
            <v>REMBANG</v>
          </cell>
          <cell r="B218">
            <v>13.33</v>
          </cell>
        </row>
        <row r="219">
          <cell r="A219" t="str">
            <v>PATI</v>
          </cell>
          <cell r="B219">
            <v>14</v>
          </cell>
        </row>
        <row r="220">
          <cell r="A220" t="str">
            <v>KUDUS</v>
          </cell>
          <cell r="B220">
            <v>8.89</v>
          </cell>
        </row>
        <row r="221">
          <cell r="A221" t="str">
            <v>JEPARA</v>
          </cell>
          <cell r="B221">
            <v>20</v>
          </cell>
        </row>
        <row r="222">
          <cell r="A222" t="str">
            <v>DEMAK</v>
          </cell>
          <cell r="B222">
            <v>10</v>
          </cell>
        </row>
        <row r="223">
          <cell r="A223" t="str">
            <v>SEMARANG</v>
          </cell>
          <cell r="B223">
            <v>16</v>
          </cell>
        </row>
        <row r="224">
          <cell r="A224" t="str">
            <v>TEMANGGUNG</v>
          </cell>
          <cell r="B224">
            <v>20.45</v>
          </cell>
        </row>
        <row r="225">
          <cell r="A225" t="str">
            <v>KENDAL</v>
          </cell>
          <cell r="B225">
            <v>18</v>
          </cell>
        </row>
        <row r="226">
          <cell r="A226" t="str">
            <v>BATANG</v>
          </cell>
          <cell r="B226">
            <v>20</v>
          </cell>
        </row>
        <row r="227">
          <cell r="A227" t="str">
            <v>PEKALONGAN</v>
          </cell>
          <cell r="B227">
            <v>17.78</v>
          </cell>
        </row>
        <row r="228">
          <cell r="A228" t="str">
            <v>PEMALANG</v>
          </cell>
          <cell r="B228">
            <v>30</v>
          </cell>
        </row>
        <row r="229">
          <cell r="A229" t="str">
            <v>TEGAL</v>
          </cell>
          <cell r="B229">
            <v>26</v>
          </cell>
        </row>
        <row r="230">
          <cell r="A230" t="str">
            <v>BREBES</v>
          </cell>
          <cell r="B230">
            <v>14</v>
          </cell>
        </row>
        <row r="231">
          <cell r="A231" t="str">
            <v>KOTA MAGELANG</v>
          </cell>
          <cell r="B231">
            <v>28</v>
          </cell>
        </row>
        <row r="232">
          <cell r="A232" t="str">
            <v>KOTA SURAKARTA</v>
          </cell>
          <cell r="B232">
            <v>17.78</v>
          </cell>
        </row>
        <row r="233">
          <cell r="A233" t="str">
            <v>KOTA SALATIGA</v>
          </cell>
          <cell r="B233">
            <v>8</v>
          </cell>
        </row>
        <row r="234">
          <cell r="A234" t="str">
            <v>KOTA SEMARANG</v>
          </cell>
          <cell r="B234">
            <v>24</v>
          </cell>
        </row>
        <row r="235">
          <cell r="A235" t="str">
            <v>KOTA PEKALONGAN</v>
          </cell>
          <cell r="B235">
            <v>14.29</v>
          </cell>
        </row>
        <row r="236">
          <cell r="A236" t="str">
            <v>KOTA TEGAL</v>
          </cell>
          <cell r="B236">
            <v>13.33</v>
          </cell>
        </row>
        <row r="237">
          <cell r="A237" t="str">
            <v>DI YOGYAKARTA</v>
          </cell>
          <cell r="B237">
            <v>16.36</v>
          </cell>
        </row>
        <row r="238">
          <cell r="A238" t="str">
            <v>KULON PROGO</v>
          </cell>
          <cell r="B238">
            <v>17.5</v>
          </cell>
        </row>
        <row r="239">
          <cell r="A239" t="str">
            <v>BANTUL</v>
          </cell>
          <cell r="B239">
            <v>20</v>
          </cell>
        </row>
        <row r="240">
          <cell r="A240" t="str">
            <v>GUNUNG KIDUL</v>
          </cell>
          <cell r="B240">
            <v>26.67</v>
          </cell>
        </row>
        <row r="241">
          <cell r="A241" t="str">
            <v>SLEMAN</v>
          </cell>
          <cell r="B241">
            <v>26</v>
          </cell>
        </row>
        <row r="242">
          <cell r="A242" t="str">
            <v>KOTA YOGYAKARTA</v>
          </cell>
          <cell r="B242">
            <v>12.5</v>
          </cell>
        </row>
        <row r="243">
          <cell r="A243" t="str">
            <v>JAWA TIMUR</v>
          </cell>
          <cell r="B243">
            <v>20</v>
          </cell>
        </row>
        <row r="244">
          <cell r="A244" t="str">
            <v>PACITAN</v>
          </cell>
          <cell r="B244">
            <v>8.89</v>
          </cell>
        </row>
        <row r="245">
          <cell r="A245" t="str">
            <v>PONOROGO</v>
          </cell>
          <cell r="B245">
            <v>17.78</v>
          </cell>
        </row>
        <row r="246">
          <cell r="A246" t="str">
            <v>TRENGGALEK</v>
          </cell>
          <cell r="B246">
            <v>11.11</v>
          </cell>
        </row>
        <row r="247">
          <cell r="A247" t="str">
            <v>TULUNGAGUNG</v>
          </cell>
          <cell r="B247">
            <v>14</v>
          </cell>
        </row>
        <row r="248">
          <cell r="A248" t="str">
            <v>BLITAR</v>
          </cell>
          <cell r="B248">
            <v>22</v>
          </cell>
        </row>
        <row r="249">
          <cell r="A249" t="str">
            <v>KEDIRI</v>
          </cell>
          <cell r="B249">
            <v>22</v>
          </cell>
        </row>
        <row r="250">
          <cell r="A250" t="str">
            <v>MALANG</v>
          </cell>
          <cell r="B250">
            <v>18</v>
          </cell>
        </row>
        <row r="251">
          <cell r="A251" t="str">
            <v>LUMAJANG</v>
          </cell>
          <cell r="B251">
            <v>28</v>
          </cell>
        </row>
        <row r="252">
          <cell r="A252" t="str">
            <v>JEMBER</v>
          </cell>
          <cell r="B252">
            <v>22</v>
          </cell>
        </row>
        <row r="253">
          <cell r="A253" t="str">
            <v>BANYUWANGI</v>
          </cell>
          <cell r="B253">
            <v>34</v>
          </cell>
        </row>
        <row r="254">
          <cell r="A254" t="str">
            <v>BONDOWOSO</v>
          </cell>
          <cell r="B254">
            <v>17.78</v>
          </cell>
        </row>
        <row r="255">
          <cell r="A255" t="str">
            <v>SITUBONDO</v>
          </cell>
          <cell r="B255">
            <v>20</v>
          </cell>
        </row>
        <row r="256">
          <cell r="A256" t="str">
            <v>PROBOLINGGO</v>
          </cell>
          <cell r="B256">
            <v>30</v>
          </cell>
        </row>
        <row r="257">
          <cell r="A257" t="str">
            <v>PASURUAN</v>
          </cell>
          <cell r="B257">
            <v>14</v>
          </cell>
        </row>
        <row r="258">
          <cell r="A258" t="str">
            <v>SIDOARJO</v>
          </cell>
          <cell r="B258">
            <v>14</v>
          </cell>
        </row>
        <row r="259">
          <cell r="A259" t="str">
            <v>MOJOKERTO</v>
          </cell>
          <cell r="B259">
            <v>24</v>
          </cell>
        </row>
        <row r="260">
          <cell r="A260" t="str">
            <v>JOMBANG</v>
          </cell>
          <cell r="B260">
            <v>20</v>
          </cell>
        </row>
        <row r="261">
          <cell r="A261" t="str">
            <v>NGANJUK</v>
          </cell>
          <cell r="B261">
            <v>22</v>
          </cell>
        </row>
        <row r="262">
          <cell r="A262" t="str">
            <v>MADIUN</v>
          </cell>
          <cell r="B262">
            <v>24.44</v>
          </cell>
        </row>
        <row r="263">
          <cell r="A263" t="str">
            <v>MAGETAN</v>
          </cell>
          <cell r="B263">
            <v>13.33</v>
          </cell>
        </row>
        <row r="264">
          <cell r="A264" t="str">
            <v>NGAWI</v>
          </cell>
          <cell r="B264">
            <v>22.73</v>
          </cell>
        </row>
        <row r="265">
          <cell r="A265" t="str">
            <v>BOJONEGORO</v>
          </cell>
          <cell r="B265">
            <v>18</v>
          </cell>
        </row>
        <row r="266">
          <cell r="A266" t="str">
            <v>TUBAN</v>
          </cell>
          <cell r="B266">
            <v>22</v>
          </cell>
        </row>
        <row r="267">
          <cell r="A267" t="str">
            <v>LAMONGAN</v>
          </cell>
          <cell r="B267">
            <v>16</v>
          </cell>
        </row>
        <row r="268">
          <cell r="A268" t="str">
            <v>GRESIK</v>
          </cell>
          <cell r="B268">
            <v>10</v>
          </cell>
        </row>
        <row r="269">
          <cell r="A269" t="str">
            <v>BANGKALAN</v>
          </cell>
          <cell r="B269">
            <v>2</v>
          </cell>
        </row>
        <row r="270">
          <cell r="A270" t="str">
            <v>SAMPANG</v>
          </cell>
          <cell r="B270">
            <v>8.89</v>
          </cell>
        </row>
        <row r="271">
          <cell r="A271" t="str">
            <v>PAMEKASAN</v>
          </cell>
          <cell r="B271">
            <v>2.2200000000000002</v>
          </cell>
        </row>
        <row r="272">
          <cell r="A272" t="str">
            <v>SUMENEP</v>
          </cell>
          <cell r="B272">
            <v>8</v>
          </cell>
        </row>
        <row r="273">
          <cell r="A273" t="str">
            <v>KOTA KEDIRI</v>
          </cell>
          <cell r="B273">
            <v>27.59</v>
          </cell>
        </row>
        <row r="274">
          <cell r="A274" t="str">
            <v>KOTA BLITAR</v>
          </cell>
          <cell r="B274">
            <v>12</v>
          </cell>
        </row>
        <row r="275">
          <cell r="A275" t="str">
            <v>KOTA MALANG</v>
          </cell>
          <cell r="B275">
            <v>26.67</v>
          </cell>
        </row>
        <row r="276">
          <cell r="A276" t="str">
            <v>KOTA PROBOLINGGO</v>
          </cell>
          <cell r="B276">
            <v>26.67</v>
          </cell>
        </row>
        <row r="277">
          <cell r="A277" t="str">
            <v>KOTA PASURUAN</v>
          </cell>
          <cell r="B277">
            <v>16.670000000000002</v>
          </cell>
        </row>
        <row r="278">
          <cell r="A278" t="str">
            <v>KOTA MOJOKERTO</v>
          </cell>
          <cell r="B278">
            <v>16</v>
          </cell>
        </row>
        <row r="279">
          <cell r="A279" t="str">
            <v>KOTA MADIUN</v>
          </cell>
          <cell r="B279">
            <v>20.69</v>
          </cell>
        </row>
        <row r="280">
          <cell r="A280" t="str">
            <v>KOTA SURABAYA</v>
          </cell>
          <cell r="B280">
            <v>20</v>
          </cell>
        </row>
        <row r="281">
          <cell r="A281" t="str">
            <v>KOTA BATU</v>
          </cell>
          <cell r="B281">
            <v>23.33</v>
          </cell>
        </row>
        <row r="282">
          <cell r="A282" t="str">
            <v>BANTEN</v>
          </cell>
          <cell r="B282">
            <v>14</v>
          </cell>
        </row>
        <row r="283">
          <cell r="A283" t="str">
            <v>PANDEGLANG</v>
          </cell>
          <cell r="B283">
            <v>20</v>
          </cell>
        </row>
        <row r="284">
          <cell r="A284" t="str">
            <v>LEBAK</v>
          </cell>
          <cell r="B284">
            <v>14</v>
          </cell>
        </row>
        <row r="285">
          <cell r="A285" t="str">
            <v>TANGERANG</v>
          </cell>
          <cell r="B285">
            <v>20</v>
          </cell>
        </row>
        <row r="286">
          <cell r="A286" t="str">
            <v>SERANG</v>
          </cell>
          <cell r="B286">
            <v>12</v>
          </cell>
        </row>
        <row r="287">
          <cell r="A287" t="str">
            <v>KOTA TANGERANG</v>
          </cell>
          <cell r="B287">
            <v>12</v>
          </cell>
        </row>
        <row r="288">
          <cell r="A288" t="str">
            <v>KOTA CILEGON</v>
          </cell>
          <cell r="B288">
            <v>10</v>
          </cell>
        </row>
        <row r="289">
          <cell r="A289" t="str">
            <v>KOTA SERANG</v>
          </cell>
          <cell r="B289">
            <v>8.89</v>
          </cell>
        </row>
        <row r="290">
          <cell r="A290" t="str">
            <v>KOTA TANGERANG SELATAN</v>
          </cell>
          <cell r="B290">
            <v>26</v>
          </cell>
        </row>
        <row r="291">
          <cell r="A291" t="str">
            <v>BALI</v>
          </cell>
          <cell r="B291">
            <v>18.18</v>
          </cell>
        </row>
        <row r="292">
          <cell r="A292" t="str">
            <v>JEMBRANA</v>
          </cell>
          <cell r="B292">
            <v>17.14</v>
          </cell>
        </row>
        <row r="293">
          <cell r="A293" t="str">
            <v>TABANAN</v>
          </cell>
          <cell r="B293">
            <v>20</v>
          </cell>
        </row>
        <row r="294">
          <cell r="A294" t="str">
            <v>BADUNG</v>
          </cell>
          <cell r="B294">
            <v>8.89</v>
          </cell>
        </row>
        <row r="295">
          <cell r="A295" t="str">
            <v>GIANYAR</v>
          </cell>
          <cell r="B295">
            <v>17.78</v>
          </cell>
        </row>
        <row r="296">
          <cell r="A296" t="str">
            <v>KLUNGKUNG</v>
          </cell>
          <cell r="B296">
            <v>10</v>
          </cell>
        </row>
        <row r="297">
          <cell r="A297" t="str">
            <v>BANGLI</v>
          </cell>
          <cell r="B297">
            <v>13.33</v>
          </cell>
        </row>
        <row r="298">
          <cell r="A298" t="str">
            <v>KARANGASEM</v>
          </cell>
          <cell r="B298">
            <v>13.33</v>
          </cell>
        </row>
        <row r="299">
          <cell r="A299" t="str">
            <v>BULELENG</v>
          </cell>
          <cell r="B299">
            <v>11.11</v>
          </cell>
        </row>
        <row r="300">
          <cell r="A300" t="str">
            <v>KOTA DENPASAR</v>
          </cell>
          <cell r="B300">
            <v>8.89</v>
          </cell>
        </row>
        <row r="301">
          <cell r="A301" t="str">
            <v>NUSA TENGGARA BARAT</v>
          </cell>
          <cell r="B301">
            <v>10.77</v>
          </cell>
        </row>
        <row r="302">
          <cell r="A302" t="str">
            <v>LOMBOK BARAT</v>
          </cell>
          <cell r="B302">
            <v>11.11</v>
          </cell>
        </row>
        <row r="303">
          <cell r="A303" t="str">
            <v>LOMBOK TENGAH</v>
          </cell>
          <cell r="B303">
            <v>12</v>
          </cell>
        </row>
        <row r="304">
          <cell r="A304" t="str">
            <v>LOMBOK TIMUR</v>
          </cell>
          <cell r="B304">
            <v>14</v>
          </cell>
        </row>
        <row r="305">
          <cell r="A305" t="str">
            <v>SUMBAWA</v>
          </cell>
          <cell r="B305">
            <v>15.56</v>
          </cell>
        </row>
        <row r="306">
          <cell r="A306" t="str">
            <v>DOMPU</v>
          </cell>
          <cell r="B306">
            <v>6.67</v>
          </cell>
        </row>
        <row r="307">
          <cell r="A307" t="str">
            <v>BIMA</v>
          </cell>
          <cell r="B307">
            <v>17.78</v>
          </cell>
        </row>
        <row r="308">
          <cell r="A308" t="str">
            <v>SUMBAWA BARAT</v>
          </cell>
          <cell r="B308">
            <v>12</v>
          </cell>
        </row>
        <row r="309">
          <cell r="A309" t="str">
            <v>LOMBOK UTARA</v>
          </cell>
          <cell r="B309">
            <v>3.33</v>
          </cell>
        </row>
        <row r="310">
          <cell r="A310" t="str">
            <v>KOTA MATARAM</v>
          </cell>
          <cell r="B310">
            <v>25</v>
          </cell>
        </row>
        <row r="311">
          <cell r="A311" t="str">
            <v>KOTA BIMA</v>
          </cell>
          <cell r="B311">
            <v>24</v>
          </cell>
        </row>
        <row r="312">
          <cell r="A312" t="str">
            <v>NUSA TENGGARA TIMUR</v>
          </cell>
          <cell r="B312">
            <v>23.08</v>
          </cell>
        </row>
        <row r="313">
          <cell r="A313" t="str">
            <v>SUMBA BARAT</v>
          </cell>
          <cell r="B313">
            <v>16</v>
          </cell>
        </row>
        <row r="314">
          <cell r="A314" t="str">
            <v>SUMBA TIMUR</v>
          </cell>
          <cell r="B314">
            <v>3.33</v>
          </cell>
        </row>
        <row r="315">
          <cell r="A315" t="str">
            <v>KUPANG</v>
          </cell>
          <cell r="B315">
            <v>8.57</v>
          </cell>
        </row>
        <row r="316">
          <cell r="A316" t="str">
            <v>TIMOR TENGAH SELATAN</v>
          </cell>
          <cell r="B316">
            <v>5</v>
          </cell>
        </row>
        <row r="317">
          <cell r="A317" t="str">
            <v>TIMOR TENGAH UTARA</v>
          </cell>
          <cell r="B317">
            <v>13.33</v>
          </cell>
        </row>
        <row r="318">
          <cell r="A318" t="str">
            <v>BELU</v>
          </cell>
          <cell r="B318">
            <v>16.670000000000002</v>
          </cell>
        </row>
        <row r="319">
          <cell r="A319" t="str">
            <v>ALOR</v>
          </cell>
          <cell r="B319">
            <v>6.67</v>
          </cell>
        </row>
        <row r="320">
          <cell r="A320" t="str">
            <v>LEMBATA</v>
          </cell>
          <cell r="B320">
            <v>0</v>
          </cell>
        </row>
        <row r="321">
          <cell r="A321" t="str">
            <v>FLORES TIMUR</v>
          </cell>
          <cell r="B321">
            <v>0</v>
          </cell>
        </row>
        <row r="322">
          <cell r="A322" t="str">
            <v>SIKKA</v>
          </cell>
          <cell r="B322">
            <v>11.43</v>
          </cell>
        </row>
        <row r="323">
          <cell r="A323" t="str">
            <v>ENDE</v>
          </cell>
          <cell r="B323">
            <v>6.67</v>
          </cell>
        </row>
        <row r="324">
          <cell r="A324" t="str">
            <v>NGADA</v>
          </cell>
          <cell r="B324">
            <v>0</v>
          </cell>
        </row>
        <row r="325">
          <cell r="A325" t="str">
            <v>MANGGARAI</v>
          </cell>
          <cell r="B325">
            <v>8.57</v>
          </cell>
        </row>
        <row r="326">
          <cell r="A326" t="str">
            <v>ROTE NDAO</v>
          </cell>
          <cell r="B326">
            <v>0</v>
          </cell>
        </row>
        <row r="327">
          <cell r="A327" t="str">
            <v>MANGGARAI BARAT</v>
          </cell>
          <cell r="B327">
            <v>10</v>
          </cell>
        </row>
        <row r="328">
          <cell r="A328" t="str">
            <v>SUMBA TENGAH</v>
          </cell>
          <cell r="B328">
            <v>10</v>
          </cell>
        </row>
        <row r="329">
          <cell r="A329" t="str">
            <v>SUMBA BARAT DAYA</v>
          </cell>
          <cell r="B329">
            <v>8.57</v>
          </cell>
        </row>
        <row r="330">
          <cell r="A330" t="str">
            <v>NAGEKEO</v>
          </cell>
          <cell r="B330">
            <v>8</v>
          </cell>
        </row>
        <row r="331">
          <cell r="A331" t="str">
            <v>MANGGARAI TIMUR</v>
          </cell>
          <cell r="B331">
            <v>3.33</v>
          </cell>
        </row>
        <row r="332">
          <cell r="A332" t="str">
            <v>SABU RAIJUA</v>
          </cell>
          <cell r="B332">
            <v>10</v>
          </cell>
        </row>
        <row r="333">
          <cell r="A333" t="str">
            <v>MALAKA</v>
          </cell>
          <cell r="B333">
            <v>16</v>
          </cell>
        </row>
        <row r="334">
          <cell r="A334" t="str">
            <v>KOTA KUPANG</v>
          </cell>
          <cell r="B334">
            <v>12.5</v>
          </cell>
        </row>
        <row r="335">
          <cell r="A335" t="str">
            <v>KALIMANTAN BARAT</v>
          </cell>
          <cell r="B335">
            <v>23.08</v>
          </cell>
        </row>
        <row r="336">
          <cell r="A336" t="str">
            <v>SAMBAS</v>
          </cell>
          <cell r="B336">
            <v>20</v>
          </cell>
        </row>
        <row r="337">
          <cell r="A337" t="str">
            <v>BENGKAYANG</v>
          </cell>
          <cell r="B337">
            <v>23.33</v>
          </cell>
        </row>
        <row r="338">
          <cell r="A338" t="str">
            <v>LANDAK</v>
          </cell>
          <cell r="B338">
            <v>20</v>
          </cell>
        </row>
        <row r="339">
          <cell r="A339" t="str">
            <v>PONTIANAK</v>
          </cell>
          <cell r="B339">
            <v>8.57</v>
          </cell>
        </row>
        <row r="340">
          <cell r="A340" t="str">
            <v>SANGGAU</v>
          </cell>
          <cell r="B340">
            <v>10</v>
          </cell>
        </row>
        <row r="341">
          <cell r="A341" t="str">
            <v>KETAPANG</v>
          </cell>
          <cell r="B341">
            <v>6.67</v>
          </cell>
        </row>
        <row r="342">
          <cell r="A342" t="str">
            <v>SINTANG</v>
          </cell>
          <cell r="B342">
            <v>10</v>
          </cell>
        </row>
        <row r="343">
          <cell r="A343" t="str">
            <v>KAPUAS HULU</v>
          </cell>
          <cell r="B343">
            <v>6.67</v>
          </cell>
        </row>
        <row r="344">
          <cell r="A344" t="str">
            <v>SEKADAU</v>
          </cell>
          <cell r="B344">
            <v>0</v>
          </cell>
        </row>
        <row r="345">
          <cell r="A345" t="str">
            <v>MELAWI</v>
          </cell>
          <cell r="B345">
            <v>20</v>
          </cell>
        </row>
        <row r="346">
          <cell r="A346" t="str">
            <v>KAYONG UTARA</v>
          </cell>
          <cell r="B346">
            <v>4</v>
          </cell>
        </row>
        <row r="347">
          <cell r="A347" t="str">
            <v>KUBU RAYA</v>
          </cell>
          <cell r="B347">
            <v>13.33</v>
          </cell>
        </row>
        <row r="348">
          <cell r="A348" t="str">
            <v>KOTA PONTIANAK</v>
          </cell>
          <cell r="B348">
            <v>20</v>
          </cell>
        </row>
        <row r="349">
          <cell r="A349" t="str">
            <v>KOTA SINGKAWANG</v>
          </cell>
          <cell r="B349">
            <v>16.670000000000002</v>
          </cell>
        </row>
        <row r="350">
          <cell r="A350" t="str">
            <v>KALIMANTAN TENGAH</v>
          </cell>
          <cell r="B350">
            <v>20</v>
          </cell>
        </row>
        <row r="351">
          <cell r="A351" t="str">
            <v>KOTAWARINGIN BARAT</v>
          </cell>
          <cell r="B351">
            <v>20</v>
          </cell>
        </row>
        <row r="352">
          <cell r="A352" t="str">
            <v>KOTAWARINGIN TIMUR</v>
          </cell>
          <cell r="B352">
            <v>17.95</v>
          </cell>
        </row>
        <row r="353">
          <cell r="A353" t="str">
            <v>KAPUAS</v>
          </cell>
          <cell r="B353">
            <v>25</v>
          </cell>
        </row>
        <row r="354">
          <cell r="A354" t="str">
            <v>BARITO SELATAN</v>
          </cell>
          <cell r="B354">
            <v>52</v>
          </cell>
        </row>
        <row r="355">
          <cell r="A355" t="str">
            <v>BARITO UTARA</v>
          </cell>
          <cell r="B355">
            <v>36</v>
          </cell>
        </row>
        <row r="356">
          <cell r="A356" t="str">
            <v>SUKAMARA</v>
          </cell>
          <cell r="B356">
            <v>20</v>
          </cell>
        </row>
        <row r="357">
          <cell r="A357" t="str">
            <v>LAMANDAU</v>
          </cell>
          <cell r="B357">
            <v>33.33</v>
          </cell>
        </row>
        <row r="358">
          <cell r="A358" t="str">
            <v>SERUYAN</v>
          </cell>
          <cell r="B358">
            <v>12</v>
          </cell>
        </row>
        <row r="359">
          <cell r="A359" t="str">
            <v>KATINGAN</v>
          </cell>
          <cell r="B359">
            <v>8</v>
          </cell>
        </row>
        <row r="360">
          <cell r="A360" t="str">
            <v>PULANG PISAU</v>
          </cell>
          <cell r="B360">
            <v>24</v>
          </cell>
        </row>
        <row r="361">
          <cell r="A361" t="str">
            <v>GUNUNG MAS</v>
          </cell>
          <cell r="B361">
            <v>40</v>
          </cell>
        </row>
        <row r="362">
          <cell r="A362" t="str">
            <v>BARITO TIMUR</v>
          </cell>
          <cell r="B362">
            <v>30.43</v>
          </cell>
        </row>
        <row r="363">
          <cell r="A363" t="str">
            <v>MURUNG RAYA</v>
          </cell>
          <cell r="B363">
            <v>17.39</v>
          </cell>
        </row>
        <row r="364">
          <cell r="A364" t="str">
            <v>KOTA PALANGKA RAYA</v>
          </cell>
          <cell r="B364">
            <v>16.670000000000002</v>
          </cell>
        </row>
        <row r="365">
          <cell r="A365" t="str">
            <v>KALIMANTAN SELATAN</v>
          </cell>
          <cell r="B365">
            <v>20</v>
          </cell>
        </row>
        <row r="366">
          <cell r="A366" t="str">
            <v>TANAH LAUT</v>
          </cell>
          <cell r="B366">
            <v>34.29</v>
          </cell>
        </row>
        <row r="367">
          <cell r="A367" t="str">
            <v>KOTABARU</v>
          </cell>
          <cell r="B367">
            <v>28.57</v>
          </cell>
        </row>
        <row r="368">
          <cell r="A368" t="str">
            <v>BANJAR</v>
          </cell>
          <cell r="B368">
            <v>22.22</v>
          </cell>
        </row>
        <row r="369">
          <cell r="A369" t="str">
            <v>BARITO KUALA</v>
          </cell>
          <cell r="B369">
            <v>22.86</v>
          </cell>
        </row>
        <row r="370">
          <cell r="A370" t="str">
            <v>TAPIN</v>
          </cell>
          <cell r="B370">
            <v>8</v>
          </cell>
        </row>
        <row r="371">
          <cell r="A371" t="str">
            <v>HULU SUNGAI SELATAN</v>
          </cell>
          <cell r="B371">
            <v>17.239999999999998</v>
          </cell>
        </row>
        <row r="372">
          <cell r="A372" t="str">
            <v>HULU SUNGAI TENGAH</v>
          </cell>
          <cell r="B372">
            <v>13.33</v>
          </cell>
        </row>
        <row r="373">
          <cell r="A373" t="str">
            <v>HULU SUNGAI UTARA</v>
          </cell>
          <cell r="B373">
            <v>23.33</v>
          </cell>
        </row>
        <row r="374">
          <cell r="A374" t="str">
            <v>TABALONG</v>
          </cell>
          <cell r="B374">
            <v>26.67</v>
          </cell>
        </row>
        <row r="375">
          <cell r="A375" t="str">
            <v>TANAH BUMBU</v>
          </cell>
          <cell r="B375">
            <v>11.43</v>
          </cell>
        </row>
        <row r="376">
          <cell r="A376" t="str">
            <v>BALANGAN</v>
          </cell>
          <cell r="B376">
            <v>16</v>
          </cell>
        </row>
        <row r="377">
          <cell r="A377" t="str">
            <v>KOTA BANJARMASIN</v>
          </cell>
          <cell r="B377">
            <v>26.67</v>
          </cell>
        </row>
        <row r="378">
          <cell r="A378" t="str">
            <v>KOTA BANJAR BARU</v>
          </cell>
          <cell r="B378">
            <v>26.67</v>
          </cell>
        </row>
        <row r="379">
          <cell r="A379" t="str">
            <v>KALIMANTAN TIMUR</v>
          </cell>
          <cell r="B379">
            <v>12.73</v>
          </cell>
        </row>
        <row r="380">
          <cell r="A380" t="str">
            <v>PASeR</v>
          </cell>
          <cell r="B380">
            <v>20</v>
          </cell>
        </row>
        <row r="381">
          <cell r="A381" t="str">
            <v>KUTAI BARAT</v>
          </cell>
          <cell r="B381">
            <v>20</v>
          </cell>
        </row>
        <row r="382">
          <cell r="A382" t="str">
            <v>KUTAI KARTANEGARA</v>
          </cell>
          <cell r="B382">
            <v>26.67</v>
          </cell>
        </row>
        <row r="383">
          <cell r="A383" t="str">
            <v>KUTAI TIMUR</v>
          </cell>
          <cell r="B383">
            <v>15</v>
          </cell>
        </row>
        <row r="384">
          <cell r="A384" t="str">
            <v>BERAU</v>
          </cell>
          <cell r="B384">
            <v>20</v>
          </cell>
        </row>
        <row r="385">
          <cell r="A385" t="str">
            <v>MALINAU</v>
          </cell>
          <cell r="B385">
            <v>25</v>
          </cell>
        </row>
        <row r="386">
          <cell r="A386" t="str">
            <v>BULUNGAN</v>
          </cell>
          <cell r="B386">
            <v>8</v>
          </cell>
        </row>
        <row r="387">
          <cell r="A387" t="str">
            <v>NUNUKAN</v>
          </cell>
          <cell r="B387">
            <v>23.33</v>
          </cell>
        </row>
        <row r="388">
          <cell r="A388" t="str">
            <v>PENAJAM PASER UTARA</v>
          </cell>
          <cell r="B388">
            <v>4</v>
          </cell>
        </row>
        <row r="389">
          <cell r="A389" t="str">
            <v>TANA TIDUNG</v>
          </cell>
          <cell r="B389">
            <v>15</v>
          </cell>
        </row>
        <row r="390">
          <cell r="A390" t="str">
            <v>MAHAKAM ULU</v>
          </cell>
          <cell r="B390">
            <v>40</v>
          </cell>
        </row>
        <row r="391">
          <cell r="A391" t="str">
            <v>KOTA BALIKPAPAN</v>
          </cell>
          <cell r="B391">
            <v>26.67</v>
          </cell>
        </row>
        <row r="392">
          <cell r="A392" t="str">
            <v>KOTA SAMARINDA</v>
          </cell>
          <cell r="B392">
            <v>8.89</v>
          </cell>
        </row>
        <row r="393">
          <cell r="A393" t="str">
            <v>KOTA TARAKAN</v>
          </cell>
          <cell r="B393">
            <v>20</v>
          </cell>
        </row>
        <row r="394">
          <cell r="A394" t="str">
            <v>KOTA BONTANG</v>
          </cell>
          <cell r="B394">
            <v>4</v>
          </cell>
        </row>
        <row r="395">
          <cell r="A395" t="str">
            <v>KALIMANTAN UTARA</v>
          </cell>
          <cell r="B395">
            <v>17.14</v>
          </cell>
        </row>
        <row r="396">
          <cell r="A396" t="str">
            <v>MALINAU</v>
          </cell>
          <cell r="B396">
            <v>25</v>
          </cell>
        </row>
        <row r="397">
          <cell r="A397" t="str">
            <v>BULONGAN</v>
          </cell>
          <cell r="B397">
            <v>8</v>
          </cell>
        </row>
        <row r="398">
          <cell r="A398" t="str">
            <v>TANA TIDUNG</v>
          </cell>
          <cell r="B398">
            <v>15</v>
          </cell>
        </row>
        <row r="399">
          <cell r="A399" t="str">
            <v>NUNUKAN</v>
          </cell>
          <cell r="B399">
            <v>23.33</v>
          </cell>
        </row>
        <row r="400">
          <cell r="A400" t="str">
            <v>KOTA TARAKAN</v>
          </cell>
          <cell r="B400">
            <v>20</v>
          </cell>
        </row>
        <row r="401">
          <cell r="A401" t="str">
            <v>SULAWESI UTARA</v>
          </cell>
          <cell r="B401">
            <v>45.24</v>
          </cell>
        </row>
        <row r="402">
          <cell r="A402" t="str">
            <v>BOLAANG MONGONDOW</v>
          </cell>
          <cell r="B402">
            <v>30</v>
          </cell>
        </row>
        <row r="403">
          <cell r="A403" t="str">
            <v>MINAHASA</v>
          </cell>
          <cell r="B403">
            <v>45.71</v>
          </cell>
        </row>
        <row r="404">
          <cell r="A404" t="str">
            <v>KEPULAUAN SANGIHE</v>
          </cell>
          <cell r="B404">
            <v>12</v>
          </cell>
        </row>
        <row r="405">
          <cell r="A405" t="str">
            <v>KEPULAUAN TALAUD</v>
          </cell>
          <cell r="B405">
            <v>16</v>
          </cell>
        </row>
        <row r="406">
          <cell r="A406" t="str">
            <v>MINAHASA SELATAN</v>
          </cell>
          <cell r="B406">
            <v>33.33</v>
          </cell>
        </row>
        <row r="407">
          <cell r="A407" t="str">
            <v>MINAHASA UTARA</v>
          </cell>
          <cell r="B407">
            <v>23.33</v>
          </cell>
        </row>
        <row r="408">
          <cell r="A408" t="str">
            <v>BOLAANG MONGONDOW UTARA</v>
          </cell>
          <cell r="B408">
            <v>15</v>
          </cell>
        </row>
        <row r="409">
          <cell r="A409" t="str">
            <v>SIAU TAGULANDANG BIARO</v>
          </cell>
          <cell r="B409">
            <v>47.37</v>
          </cell>
        </row>
        <row r="410">
          <cell r="A410" t="str">
            <v>MINAHASA TENGGARA</v>
          </cell>
          <cell r="B410">
            <v>40</v>
          </cell>
        </row>
        <row r="411">
          <cell r="A411" t="str">
            <v>BOLAANG MONGONDOW SELATAN</v>
          </cell>
          <cell r="B411">
            <v>20</v>
          </cell>
        </row>
        <row r="412">
          <cell r="A412" t="str">
            <v>BOLAANG MONGONDOW TIMUR</v>
          </cell>
          <cell r="B412">
            <v>30</v>
          </cell>
        </row>
        <row r="413">
          <cell r="A413" t="str">
            <v>KOTA MANADO</v>
          </cell>
          <cell r="B413">
            <v>55</v>
          </cell>
        </row>
        <row r="414">
          <cell r="A414" t="str">
            <v>KOTA BITUNG</v>
          </cell>
          <cell r="B414">
            <v>19.23</v>
          </cell>
        </row>
        <row r="415">
          <cell r="A415" t="str">
            <v>KOTA TOMOHON</v>
          </cell>
          <cell r="B415">
            <v>25</v>
          </cell>
        </row>
        <row r="416">
          <cell r="A416" t="str">
            <v>KOTA KOTAMOBAGU</v>
          </cell>
          <cell r="B416">
            <v>16.670000000000002</v>
          </cell>
        </row>
        <row r="417">
          <cell r="A417" t="str">
            <v>SULAWESI TENGAH</v>
          </cell>
          <cell r="B417">
            <v>25.45</v>
          </cell>
        </row>
        <row r="418">
          <cell r="A418" t="str">
            <v>BANGGAI KEPULAUAN</v>
          </cell>
          <cell r="B418">
            <v>20</v>
          </cell>
        </row>
        <row r="419">
          <cell r="A419" t="str">
            <v>BANGGAI</v>
          </cell>
          <cell r="B419">
            <v>34.29</v>
          </cell>
        </row>
        <row r="420">
          <cell r="A420" t="str">
            <v>MOROWALI</v>
          </cell>
          <cell r="B420">
            <v>12</v>
          </cell>
        </row>
        <row r="421">
          <cell r="A421" t="str">
            <v>POSO</v>
          </cell>
          <cell r="B421">
            <v>33.33</v>
          </cell>
        </row>
        <row r="422">
          <cell r="A422" t="str">
            <v>DONGGALA</v>
          </cell>
          <cell r="B422">
            <v>20</v>
          </cell>
        </row>
        <row r="423">
          <cell r="A423" t="str">
            <v>TOLI-TOLI</v>
          </cell>
          <cell r="B423">
            <v>23.33</v>
          </cell>
        </row>
        <row r="424">
          <cell r="A424" t="str">
            <v>BUOL</v>
          </cell>
          <cell r="B424">
            <v>36</v>
          </cell>
        </row>
        <row r="425">
          <cell r="A425" t="str">
            <v>PARIGI MOUTONG</v>
          </cell>
          <cell r="B425">
            <v>17.5</v>
          </cell>
        </row>
        <row r="426">
          <cell r="A426" t="str">
            <v>TOJO UNA-UNA</v>
          </cell>
          <cell r="B426">
            <v>12</v>
          </cell>
        </row>
        <row r="427">
          <cell r="A427" t="str">
            <v>SIGI</v>
          </cell>
          <cell r="B427">
            <v>33.33</v>
          </cell>
        </row>
        <row r="428">
          <cell r="A428" t="str">
            <v>BANGGAI LAUT</v>
          </cell>
          <cell r="B428">
            <v>20</v>
          </cell>
        </row>
        <row r="429">
          <cell r="A429" t="str">
            <v>MOROWALI UTARA</v>
          </cell>
          <cell r="B429">
            <v>28</v>
          </cell>
        </row>
        <row r="430">
          <cell r="A430" t="str">
            <v>KOTA PALU</v>
          </cell>
          <cell r="B430">
            <v>14.29</v>
          </cell>
        </row>
        <row r="431">
          <cell r="A431" t="str">
            <v>SULAWESI SELATAN</v>
          </cell>
          <cell r="B431">
            <v>25</v>
          </cell>
        </row>
        <row r="432">
          <cell r="A432" t="str">
            <v>KEPULAUAN SELAYAR</v>
          </cell>
          <cell r="B432">
            <v>20</v>
          </cell>
        </row>
        <row r="433">
          <cell r="A433" t="str">
            <v>BULUKUMBA</v>
          </cell>
          <cell r="B433">
            <v>22.5</v>
          </cell>
        </row>
        <row r="434">
          <cell r="A434" t="str">
            <v>BANTAENG</v>
          </cell>
          <cell r="B434">
            <v>28.57</v>
          </cell>
        </row>
        <row r="435">
          <cell r="A435" t="str">
            <v>JENEPONTO</v>
          </cell>
          <cell r="B435">
            <v>27.5</v>
          </cell>
        </row>
        <row r="436">
          <cell r="A436" t="str">
            <v>TAKALAR</v>
          </cell>
          <cell r="B436">
            <v>31.43</v>
          </cell>
        </row>
        <row r="437">
          <cell r="A437" t="str">
            <v>GOWA</v>
          </cell>
          <cell r="B437">
            <v>31.11</v>
          </cell>
        </row>
        <row r="438">
          <cell r="A438" t="str">
            <v>SINJAI</v>
          </cell>
          <cell r="B438">
            <v>16.670000000000002</v>
          </cell>
        </row>
        <row r="439">
          <cell r="A439" t="str">
            <v>MAROS</v>
          </cell>
          <cell r="B439">
            <v>25.71</v>
          </cell>
        </row>
        <row r="440">
          <cell r="A440" t="str">
            <v>PANGKAJENE DAN KEPULAUAN</v>
          </cell>
          <cell r="B440">
            <v>8.57</v>
          </cell>
        </row>
        <row r="441">
          <cell r="A441" t="str">
            <v>BARRU</v>
          </cell>
          <cell r="B441">
            <v>20</v>
          </cell>
        </row>
        <row r="442">
          <cell r="A442" t="str">
            <v>BONE</v>
          </cell>
          <cell r="B442">
            <v>11.11</v>
          </cell>
        </row>
        <row r="443">
          <cell r="A443" t="str">
            <v>SOPPENG</v>
          </cell>
          <cell r="B443">
            <v>20</v>
          </cell>
        </row>
        <row r="444">
          <cell r="A444" t="str">
            <v>WAJO</v>
          </cell>
          <cell r="B444">
            <v>10</v>
          </cell>
        </row>
        <row r="445">
          <cell r="A445" t="str">
            <v>SIDENRENG RAPPANG</v>
          </cell>
          <cell r="B445">
            <v>8.57</v>
          </cell>
        </row>
        <row r="446">
          <cell r="A446" t="str">
            <v>PINRANG</v>
          </cell>
          <cell r="B446">
            <v>10</v>
          </cell>
        </row>
        <row r="447">
          <cell r="A447" t="str">
            <v>ENREKANG</v>
          </cell>
          <cell r="B447">
            <v>16.670000000000002</v>
          </cell>
        </row>
        <row r="448">
          <cell r="A448" t="str">
            <v>LUWU</v>
          </cell>
          <cell r="B448">
            <v>11.43</v>
          </cell>
        </row>
        <row r="449">
          <cell r="A449" t="str">
            <v>TANA TORAJA</v>
          </cell>
          <cell r="B449">
            <v>6.67</v>
          </cell>
        </row>
        <row r="450">
          <cell r="A450" t="str">
            <v>LUWU UTARA</v>
          </cell>
          <cell r="B450">
            <v>14.29</v>
          </cell>
        </row>
        <row r="451">
          <cell r="A451" t="str">
            <v>LUWU TIMUR</v>
          </cell>
          <cell r="B451">
            <v>11.43</v>
          </cell>
        </row>
        <row r="452">
          <cell r="A452" t="str">
            <v>TORAJA UTARA</v>
          </cell>
          <cell r="B452">
            <v>13.33</v>
          </cell>
        </row>
        <row r="453">
          <cell r="A453" t="str">
            <v>KOTA MAKASAR</v>
          </cell>
          <cell r="B453">
            <v>16</v>
          </cell>
        </row>
        <row r="454">
          <cell r="A454" t="str">
            <v>KOTA PAREPARE</v>
          </cell>
          <cell r="B454">
            <v>24</v>
          </cell>
        </row>
        <row r="455">
          <cell r="A455" t="str">
            <v>KOTA PALOPO</v>
          </cell>
          <cell r="B455">
            <v>20</v>
          </cell>
        </row>
        <row r="456">
          <cell r="A456" t="str">
            <v>SULAWESI TENGGARA</v>
          </cell>
          <cell r="B456">
            <v>28.89</v>
          </cell>
        </row>
        <row r="457">
          <cell r="A457" t="str">
            <v>BUTON</v>
          </cell>
          <cell r="B457">
            <v>24</v>
          </cell>
        </row>
        <row r="458">
          <cell r="A458" t="str">
            <v>MUNA</v>
          </cell>
          <cell r="B458">
            <v>10</v>
          </cell>
        </row>
        <row r="459">
          <cell r="A459" t="str">
            <v>KONAWE</v>
          </cell>
          <cell r="B459">
            <v>13.33</v>
          </cell>
        </row>
        <row r="460">
          <cell r="A460" t="str">
            <v>KOLAKA</v>
          </cell>
          <cell r="B460">
            <v>30</v>
          </cell>
        </row>
        <row r="461">
          <cell r="A461" t="str">
            <v>KONAWE SELATAN</v>
          </cell>
          <cell r="B461">
            <v>20</v>
          </cell>
        </row>
        <row r="462">
          <cell r="A462" t="str">
            <v>BOMBANA</v>
          </cell>
          <cell r="B462">
            <v>8</v>
          </cell>
        </row>
        <row r="463">
          <cell r="A463" t="str">
            <v>WAKATOBI</v>
          </cell>
          <cell r="B463">
            <v>28</v>
          </cell>
        </row>
        <row r="464">
          <cell r="A464" t="str">
            <v>KOLAKA UTARA</v>
          </cell>
          <cell r="B464">
            <v>16</v>
          </cell>
        </row>
        <row r="465">
          <cell r="A465" t="str">
            <v>BUTON UTARA</v>
          </cell>
          <cell r="B465">
            <v>25</v>
          </cell>
        </row>
        <row r="466">
          <cell r="A466" t="str">
            <v>KONAWE UTARA</v>
          </cell>
          <cell r="B466">
            <v>15</v>
          </cell>
        </row>
        <row r="467">
          <cell r="A467" t="str">
            <v>KOLAKA TIMUR</v>
          </cell>
          <cell r="B467">
            <v>20</v>
          </cell>
        </row>
        <row r="468">
          <cell r="A468" t="str">
            <v>KONAWE KEPULAUAN</v>
          </cell>
          <cell r="B468">
            <v>15</v>
          </cell>
        </row>
        <row r="469">
          <cell r="A469" t="str">
            <v>MUNA BARAT</v>
          </cell>
          <cell r="B469">
            <v>10</v>
          </cell>
        </row>
        <row r="470">
          <cell r="A470" t="str">
            <v>BUTON TENGAH</v>
          </cell>
          <cell r="B470">
            <v>12</v>
          </cell>
        </row>
        <row r="471">
          <cell r="A471" t="str">
            <v>BUTON SELATAN</v>
          </cell>
          <cell r="B471">
            <v>8</v>
          </cell>
        </row>
        <row r="472">
          <cell r="A472" t="str">
            <v>KOTA KENDARI</v>
          </cell>
          <cell r="B472">
            <v>20.59</v>
          </cell>
        </row>
        <row r="473">
          <cell r="A473" t="str">
            <v>KOTA BAUBAU</v>
          </cell>
          <cell r="B473">
            <v>20</v>
          </cell>
        </row>
        <row r="474">
          <cell r="A474" t="str">
            <v>GORONTALO</v>
          </cell>
          <cell r="B474">
            <v>24.44</v>
          </cell>
        </row>
        <row r="475">
          <cell r="A475" t="str">
            <v>BOALEMO</v>
          </cell>
          <cell r="B475">
            <v>28</v>
          </cell>
        </row>
        <row r="476">
          <cell r="A476" t="str">
            <v>GORONTALO</v>
          </cell>
          <cell r="B476">
            <v>10</v>
          </cell>
        </row>
        <row r="477">
          <cell r="A477" t="str">
            <v>POHUWATO</v>
          </cell>
          <cell r="B477">
            <v>20</v>
          </cell>
        </row>
        <row r="478">
          <cell r="A478" t="str">
            <v>BONE BOLANGO</v>
          </cell>
          <cell r="B478">
            <v>12</v>
          </cell>
        </row>
        <row r="479">
          <cell r="A479" t="str">
            <v>GORONTALO UTARA</v>
          </cell>
          <cell r="B479">
            <v>36</v>
          </cell>
        </row>
        <row r="480">
          <cell r="A480" t="str">
            <v>KOTA GORONTALO</v>
          </cell>
          <cell r="B480">
            <v>16.670000000000002</v>
          </cell>
        </row>
        <row r="481">
          <cell r="A481" t="str">
            <v>SULAWESI BARAT</v>
          </cell>
          <cell r="B481">
            <v>11.11</v>
          </cell>
        </row>
        <row r="482">
          <cell r="A482" t="str">
            <v>MAJENE</v>
          </cell>
          <cell r="B482">
            <v>20</v>
          </cell>
        </row>
        <row r="483">
          <cell r="A483" t="str">
            <v>POLEWALI MANDAR</v>
          </cell>
          <cell r="B483">
            <v>20</v>
          </cell>
        </row>
        <row r="484">
          <cell r="A484" t="str">
            <v>MAMASA</v>
          </cell>
          <cell r="B484">
            <v>13.33</v>
          </cell>
        </row>
        <row r="485">
          <cell r="A485" t="str">
            <v>MAMUJU</v>
          </cell>
          <cell r="B485">
            <v>10</v>
          </cell>
        </row>
        <row r="486">
          <cell r="A486" t="str">
            <v>MAMUJU UTARA / PASANGKAYU</v>
          </cell>
          <cell r="B486">
            <v>16.670000000000002</v>
          </cell>
        </row>
        <row r="487">
          <cell r="A487" t="str">
            <v>MAMUJU TENGAH</v>
          </cell>
          <cell r="B487">
            <v>12</v>
          </cell>
        </row>
        <row r="488">
          <cell r="A488" t="str">
            <v>MALUKU</v>
          </cell>
          <cell r="B488">
            <v>13.33</v>
          </cell>
        </row>
        <row r="489">
          <cell r="A489" t="str">
            <v>MALUKU TENGGARA BARAT / KEPULAUAN TANIMBAR</v>
          </cell>
          <cell r="B489">
            <v>20</v>
          </cell>
        </row>
        <row r="490">
          <cell r="A490" t="str">
            <v>MALUKU TENGGARA</v>
          </cell>
          <cell r="B490">
            <v>12</v>
          </cell>
        </row>
        <row r="491">
          <cell r="A491" t="str">
            <v>MALUKU TENGAH</v>
          </cell>
          <cell r="B491">
            <v>17.5</v>
          </cell>
        </row>
        <row r="492">
          <cell r="A492" t="str">
            <v>BURU</v>
          </cell>
          <cell r="B492">
            <v>16</v>
          </cell>
        </row>
        <row r="493">
          <cell r="A493" t="str">
            <v>KEPULAUAN ARU</v>
          </cell>
          <cell r="B493">
            <v>12</v>
          </cell>
        </row>
        <row r="494">
          <cell r="A494" t="str">
            <v>SERAM BAGIAN BARAT</v>
          </cell>
          <cell r="B494">
            <v>13.33</v>
          </cell>
        </row>
        <row r="495">
          <cell r="A495" t="str">
            <v>SERAM BAGIAN TIMUR</v>
          </cell>
          <cell r="B495">
            <v>8</v>
          </cell>
        </row>
        <row r="496">
          <cell r="A496" t="str">
            <v>MALUKU BARAT DAYA</v>
          </cell>
          <cell r="B496">
            <v>15</v>
          </cell>
        </row>
        <row r="497">
          <cell r="A497" t="str">
            <v>BURU SELATAN</v>
          </cell>
          <cell r="B497">
            <v>10</v>
          </cell>
        </row>
        <row r="498">
          <cell r="A498" t="str">
            <v>KOTA AMBON</v>
          </cell>
          <cell r="B498">
            <v>20.59</v>
          </cell>
        </row>
        <row r="499">
          <cell r="A499" t="str">
            <v>KOTA TUAL</v>
          </cell>
          <cell r="B499">
            <v>10</v>
          </cell>
        </row>
        <row r="500">
          <cell r="A500" t="str">
            <v>MALUKU UTARA</v>
          </cell>
          <cell r="B500">
            <v>28.89</v>
          </cell>
        </row>
        <row r="501">
          <cell r="A501" t="str">
            <v>HALMAHERA BARAT</v>
          </cell>
          <cell r="B501">
            <v>12</v>
          </cell>
        </row>
        <row r="502">
          <cell r="A502" t="str">
            <v>HALMAHERA TENGAH</v>
          </cell>
          <cell r="B502">
            <v>5</v>
          </cell>
        </row>
        <row r="503">
          <cell r="A503" t="str">
            <v>KEPULAUAN SULA</v>
          </cell>
          <cell r="B503">
            <v>16</v>
          </cell>
        </row>
        <row r="504">
          <cell r="A504" t="str">
            <v>HALMAHERA SELATAN</v>
          </cell>
          <cell r="B504">
            <v>13.33</v>
          </cell>
        </row>
        <row r="505">
          <cell r="A505" t="str">
            <v>HALMAHERA UTARA</v>
          </cell>
          <cell r="B505">
            <v>33.33</v>
          </cell>
        </row>
        <row r="506">
          <cell r="A506" t="str">
            <v>HALMAHERA TIMUR</v>
          </cell>
          <cell r="B506">
            <v>5</v>
          </cell>
        </row>
        <row r="507">
          <cell r="A507" t="str">
            <v>PULAU MOROTAI</v>
          </cell>
          <cell r="B507">
            <v>15</v>
          </cell>
        </row>
        <row r="508">
          <cell r="A508" t="str">
            <v>PULAU TALIABU</v>
          </cell>
          <cell r="B508">
            <v>25</v>
          </cell>
        </row>
        <row r="509">
          <cell r="A509" t="str">
            <v>KOTA TERNATE</v>
          </cell>
          <cell r="B509">
            <v>23.33</v>
          </cell>
        </row>
        <row r="510">
          <cell r="A510" t="str">
            <v>KOTA TIDORE KEPULAUAN</v>
          </cell>
          <cell r="B510">
            <v>20</v>
          </cell>
        </row>
        <row r="511">
          <cell r="A511" t="str">
            <v>PAPUA BARAT</v>
          </cell>
          <cell r="B511">
            <v>8.57</v>
          </cell>
        </row>
        <row r="512">
          <cell r="A512" t="str">
            <v>FAKFAK</v>
          </cell>
          <cell r="B512">
            <v>30</v>
          </cell>
        </row>
        <row r="513">
          <cell r="A513" t="str">
            <v>KAIMANA</v>
          </cell>
          <cell r="B513">
            <v>24</v>
          </cell>
        </row>
        <row r="514">
          <cell r="A514" t="str">
            <v>TELUK WONDAMA</v>
          </cell>
          <cell r="B514">
            <v>28</v>
          </cell>
        </row>
        <row r="515">
          <cell r="A515" t="str">
            <v>TELUK BINTUNI</v>
          </cell>
          <cell r="B515">
            <v>4.17</v>
          </cell>
        </row>
        <row r="516">
          <cell r="A516" t="str">
            <v>MANOKWARI</v>
          </cell>
          <cell r="B516">
            <v>15.79</v>
          </cell>
        </row>
        <row r="517">
          <cell r="A517" t="str">
            <v>SORONG SELATAN</v>
          </cell>
          <cell r="B517" t="str">
            <v>-</v>
          </cell>
        </row>
        <row r="518">
          <cell r="A518" t="str">
            <v>SORONG</v>
          </cell>
          <cell r="B518" t="str">
            <v>-</v>
          </cell>
        </row>
        <row r="519">
          <cell r="A519" t="str">
            <v>RAJA AMPAT</v>
          </cell>
          <cell r="B519" t="str">
            <v>-</v>
          </cell>
        </row>
        <row r="520">
          <cell r="A520" t="str">
            <v>TAMBRAUW</v>
          </cell>
          <cell r="B520" t="str">
            <v>-</v>
          </cell>
        </row>
        <row r="521">
          <cell r="A521" t="str">
            <v>MAYBRAT</v>
          </cell>
          <cell r="B521" t="str">
            <v>-</v>
          </cell>
        </row>
        <row r="522">
          <cell r="A522" t="str">
            <v>MANOKWARI SELATAN</v>
          </cell>
          <cell r="B522">
            <v>12</v>
          </cell>
        </row>
        <row r="523">
          <cell r="A523" t="str">
            <v>PEGUNUNGAN ARFAK</v>
          </cell>
          <cell r="B523">
            <v>8</v>
          </cell>
        </row>
        <row r="524">
          <cell r="A524" t="str">
            <v>KOTA SORONG</v>
          </cell>
          <cell r="B524" t="str">
            <v>-</v>
          </cell>
        </row>
        <row r="525">
          <cell r="A525" t="str">
            <v>PAPUA BARAT DAYA</v>
          </cell>
          <cell r="B525">
            <v>14.29</v>
          </cell>
        </row>
        <row r="526">
          <cell r="A526" t="str">
            <v>RAJA AMPAT</v>
          </cell>
          <cell r="B526">
            <v>15</v>
          </cell>
        </row>
        <row r="527">
          <cell r="A527" t="str">
            <v>SORONG</v>
          </cell>
          <cell r="B527">
            <v>12</v>
          </cell>
        </row>
        <row r="528">
          <cell r="A528" t="str">
            <v>SORONG SELATAN</v>
          </cell>
          <cell r="B528">
            <v>5</v>
          </cell>
        </row>
        <row r="529">
          <cell r="A529" t="str">
            <v>MAYBRAT</v>
          </cell>
          <cell r="B529">
            <v>20</v>
          </cell>
        </row>
        <row r="530">
          <cell r="A530" t="str">
            <v>TAMBRAUW</v>
          </cell>
          <cell r="B530">
            <v>5</v>
          </cell>
        </row>
        <row r="531">
          <cell r="A531" t="str">
            <v>KOTA SORONG</v>
          </cell>
          <cell r="B531">
            <v>13.79</v>
          </cell>
        </row>
        <row r="532">
          <cell r="A532" t="str">
            <v>PAPUA</v>
          </cell>
          <cell r="B532">
            <v>15.56</v>
          </cell>
        </row>
        <row r="533">
          <cell r="A533" t="str">
            <v>MERAUKE</v>
          </cell>
          <cell r="B533" t="str">
            <v>-</v>
          </cell>
        </row>
        <row r="534">
          <cell r="A534" t="str">
            <v>JAYAWIJAYA</v>
          </cell>
          <cell r="B534" t="str">
            <v>-</v>
          </cell>
        </row>
        <row r="535">
          <cell r="A535" t="str">
            <v>JAYAPURA</v>
          </cell>
          <cell r="B535">
            <v>16.670000000000002</v>
          </cell>
        </row>
        <row r="536">
          <cell r="A536" t="str">
            <v>NABIRE</v>
          </cell>
          <cell r="B536" t="str">
            <v>-</v>
          </cell>
        </row>
        <row r="537">
          <cell r="A537" t="str">
            <v>KEPULAUAN YAPEN</v>
          </cell>
          <cell r="B537">
            <v>4</v>
          </cell>
        </row>
        <row r="538">
          <cell r="A538" t="str">
            <v>BIAK NUMFOR</v>
          </cell>
          <cell r="B538">
            <v>16</v>
          </cell>
        </row>
        <row r="539">
          <cell r="A539" t="str">
            <v>PANIAI</v>
          </cell>
          <cell r="B539" t="str">
            <v>-</v>
          </cell>
        </row>
        <row r="540">
          <cell r="A540" t="str">
            <v>PUNCAK JAYA</v>
          </cell>
          <cell r="B540" t="str">
            <v>-</v>
          </cell>
        </row>
        <row r="541">
          <cell r="A541" t="str">
            <v>MIMIKA</v>
          </cell>
          <cell r="B541" t="str">
            <v>-</v>
          </cell>
        </row>
        <row r="542">
          <cell r="A542" t="str">
            <v>BOVEN DIGOEL</v>
          </cell>
          <cell r="B542" t="str">
            <v>-</v>
          </cell>
        </row>
        <row r="543">
          <cell r="A543" t="str">
            <v>MAPPI</v>
          </cell>
          <cell r="B543" t="str">
            <v>-</v>
          </cell>
        </row>
        <row r="544">
          <cell r="A544" t="str">
            <v>ASMAT</v>
          </cell>
          <cell r="B544" t="str">
            <v>-</v>
          </cell>
        </row>
        <row r="545">
          <cell r="A545" t="str">
            <v>YAHUKIMO</v>
          </cell>
          <cell r="B545" t="str">
            <v>-</v>
          </cell>
        </row>
        <row r="546">
          <cell r="A546" t="str">
            <v>PEGUNUNGAN BINTANG</v>
          </cell>
          <cell r="B546" t="str">
            <v>-</v>
          </cell>
        </row>
        <row r="547">
          <cell r="A547" t="str">
            <v>TOLIKARA</v>
          </cell>
          <cell r="B547" t="str">
            <v>-</v>
          </cell>
        </row>
        <row r="548">
          <cell r="A548" t="str">
            <v>SARMI</v>
          </cell>
          <cell r="B548">
            <v>25</v>
          </cell>
        </row>
        <row r="549">
          <cell r="A549" t="str">
            <v>KEEROM</v>
          </cell>
          <cell r="B549">
            <v>15</v>
          </cell>
        </row>
        <row r="550">
          <cell r="A550" t="str">
            <v>WAROPEN</v>
          </cell>
          <cell r="B550">
            <v>5</v>
          </cell>
        </row>
        <row r="551">
          <cell r="A551" t="str">
            <v>SUPIORI</v>
          </cell>
          <cell r="B551">
            <v>0</v>
          </cell>
        </row>
        <row r="552">
          <cell r="A552" t="str">
            <v>MAMBERAMO RAYA</v>
          </cell>
          <cell r="B552">
            <v>10</v>
          </cell>
        </row>
        <row r="553">
          <cell r="A553" t="str">
            <v>NDUGA</v>
          </cell>
          <cell r="B553" t="str">
            <v>-</v>
          </cell>
        </row>
        <row r="554">
          <cell r="A554" t="str">
            <v>LANNY JAYA</v>
          </cell>
          <cell r="B554" t="str">
            <v>-</v>
          </cell>
        </row>
        <row r="555">
          <cell r="A555" t="str">
            <v>MAMBERAMO TENGAH</v>
          </cell>
          <cell r="B555" t="str">
            <v>-</v>
          </cell>
        </row>
        <row r="556">
          <cell r="A556" t="str">
            <v>YALIMO</v>
          </cell>
          <cell r="B556" t="str">
            <v>-</v>
          </cell>
        </row>
        <row r="557">
          <cell r="A557" t="str">
            <v>PUNCAK</v>
          </cell>
          <cell r="B557" t="str">
            <v>-</v>
          </cell>
        </row>
        <row r="558">
          <cell r="A558" t="str">
            <v>DOGIYAI</v>
          </cell>
          <cell r="B558" t="str">
            <v>-</v>
          </cell>
        </row>
        <row r="559">
          <cell r="A559" t="str">
            <v>INTAN JAYA</v>
          </cell>
          <cell r="B559" t="str">
            <v>-</v>
          </cell>
        </row>
        <row r="560">
          <cell r="A560" t="str">
            <v>DEIYAI</v>
          </cell>
          <cell r="B560" t="str">
            <v>-</v>
          </cell>
        </row>
        <row r="561">
          <cell r="A561" t="str">
            <v>KOTA JAYAPURA</v>
          </cell>
          <cell r="B561">
            <v>22.86</v>
          </cell>
        </row>
        <row r="562">
          <cell r="A562" t="str">
            <v>PAPUA SELATAN</v>
          </cell>
          <cell r="B562">
            <v>11.43</v>
          </cell>
        </row>
        <row r="563">
          <cell r="A563" t="str">
            <v>MERAUKE</v>
          </cell>
          <cell r="B563">
            <v>20</v>
          </cell>
        </row>
        <row r="564">
          <cell r="A564" t="str">
            <v>BOVEN DIGOEL</v>
          </cell>
          <cell r="B564">
            <v>5</v>
          </cell>
        </row>
        <row r="565">
          <cell r="A565" t="str">
            <v>MAPPI</v>
          </cell>
          <cell r="B565">
            <v>8</v>
          </cell>
        </row>
        <row r="566">
          <cell r="A566" t="str">
            <v>ASMAT</v>
          </cell>
          <cell r="B566">
            <v>30.43</v>
          </cell>
        </row>
        <row r="567">
          <cell r="A567" t="str">
            <v>PAPUA TENGAH</v>
          </cell>
          <cell r="B567">
            <v>10</v>
          </cell>
        </row>
        <row r="568">
          <cell r="A568" t="str">
            <v>MIMIKA</v>
          </cell>
          <cell r="B568">
            <v>17.14</v>
          </cell>
        </row>
        <row r="569">
          <cell r="A569" t="str">
            <v>DOGIYAI</v>
          </cell>
          <cell r="B569">
            <v>0</v>
          </cell>
        </row>
        <row r="570">
          <cell r="A570" t="str">
            <v>DEIYAI</v>
          </cell>
          <cell r="B570">
            <v>0</v>
          </cell>
        </row>
        <row r="571">
          <cell r="A571" t="str">
            <v>NABIRE</v>
          </cell>
          <cell r="B571">
            <v>16.670000000000002</v>
          </cell>
        </row>
        <row r="572">
          <cell r="A572" t="str">
            <v>PANIAI</v>
          </cell>
          <cell r="B572">
            <v>0</v>
          </cell>
        </row>
        <row r="573">
          <cell r="A573" t="str">
            <v>INTAN JAYA</v>
          </cell>
          <cell r="B573">
            <v>0</v>
          </cell>
        </row>
        <row r="574">
          <cell r="A574" t="str">
            <v>PUNCAK</v>
          </cell>
          <cell r="B574">
            <v>12.5</v>
          </cell>
        </row>
        <row r="575">
          <cell r="A575" t="str">
            <v>PUNJAK JAYA</v>
          </cell>
          <cell r="B575">
            <v>6.67</v>
          </cell>
        </row>
        <row r="576">
          <cell r="A576" t="str">
            <v>PAPUA PEGUNUNGAN</v>
          </cell>
          <cell r="B576">
            <v>8.89</v>
          </cell>
        </row>
        <row r="577">
          <cell r="A577" t="str">
            <v>NDUGA</v>
          </cell>
          <cell r="B577">
            <v>4</v>
          </cell>
        </row>
        <row r="578">
          <cell r="A578" t="str">
            <v>JAYAWIJAYA</v>
          </cell>
          <cell r="B578">
            <v>10</v>
          </cell>
        </row>
        <row r="579">
          <cell r="A579" t="str">
            <v>LANNY JAYA</v>
          </cell>
          <cell r="B579">
            <v>16</v>
          </cell>
        </row>
        <row r="580">
          <cell r="A580" t="str">
            <v>TOLIKARA</v>
          </cell>
          <cell r="B580">
            <v>6.67</v>
          </cell>
        </row>
        <row r="581">
          <cell r="A581" t="str">
            <v>MAMBERAMO TENGAH</v>
          </cell>
          <cell r="B581">
            <v>15</v>
          </cell>
        </row>
        <row r="582">
          <cell r="A582" t="str">
            <v>YALIMO</v>
          </cell>
          <cell r="B582">
            <v>4</v>
          </cell>
        </row>
        <row r="583">
          <cell r="A583" t="str">
            <v>YAHUKIMO</v>
          </cell>
          <cell r="B583">
            <v>2.86</v>
          </cell>
        </row>
        <row r="584">
          <cell r="A584" t="str">
            <v>PEGUNUNGAN BINTANG</v>
          </cell>
          <cell r="B584">
            <v>4</v>
          </cell>
        </row>
        <row r="585">
          <cell r="A585" t="str">
            <v>INDONESIA</v>
          </cell>
          <cell r="B585">
            <v>22.46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PM 2024"/>
    </sheetNames>
    <sheetDataSet>
      <sheetData sheetId="0">
        <row r="2">
          <cell r="K2" t="str">
            <v>Simeulue</v>
          </cell>
          <cell r="L2">
            <v>74.38</v>
          </cell>
          <cell r="M2">
            <v>59.34</v>
          </cell>
          <cell r="N2">
            <v>69.010000000000005</v>
          </cell>
        </row>
        <row r="3">
          <cell r="K3" t="str">
            <v>Aceh Singkil</v>
          </cell>
          <cell r="L3">
            <v>76.510000000000005</v>
          </cell>
          <cell r="M3">
            <v>65.42</v>
          </cell>
          <cell r="N3">
            <v>70.75</v>
          </cell>
        </row>
        <row r="4">
          <cell r="K4" t="str">
            <v>Aceh Selatan</v>
          </cell>
          <cell r="L4">
            <v>72.709999999999994</v>
          </cell>
          <cell r="M4">
            <v>67.069999999999993</v>
          </cell>
          <cell r="N4">
            <v>69.099999999999994</v>
          </cell>
        </row>
        <row r="5">
          <cell r="K5" t="str">
            <v>Aceh Tenggara</v>
          </cell>
          <cell r="L5">
            <v>76.239999999999995</v>
          </cell>
          <cell r="M5">
            <v>71.12</v>
          </cell>
          <cell r="N5">
            <v>71.7</v>
          </cell>
        </row>
        <row r="6">
          <cell r="K6" t="str">
            <v>Aceh Timur</v>
          </cell>
          <cell r="L6">
            <v>74.349999999999994</v>
          </cell>
          <cell r="M6">
            <v>64.88</v>
          </cell>
          <cell r="N6">
            <v>69.87</v>
          </cell>
        </row>
        <row r="7">
          <cell r="K7" t="str">
            <v>Aceh Tengah</v>
          </cell>
          <cell r="L7">
            <v>75.84</v>
          </cell>
          <cell r="M7">
            <v>74.239999999999995</v>
          </cell>
          <cell r="N7">
            <v>75.41</v>
          </cell>
        </row>
        <row r="8">
          <cell r="K8" t="str">
            <v>Aceh Barat</v>
          </cell>
          <cell r="L8">
            <v>78</v>
          </cell>
          <cell r="M8">
            <v>67.599999999999994</v>
          </cell>
          <cell r="N8">
            <v>73.69</v>
          </cell>
        </row>
        <row r="9">
          <cell r="K9" t="str">
            <v>Aceh Besar</v>
          </cell>
          <cell r="L9">
            <v>78.19</v>
          </cell>
          <cell r="M9">
            <v>74.569999999999993</v>
          </cell>
          <cell r="N9">
            <v>75.13</v>
          </cell>
        </row>
        <row r="10">
          <cell r="K10" t="str">
            <v>Pidie</v>
          </cell>
          <cell r="L10">
            <v>75.45</v>
          </cell>
          <cell r="M10">
            <v>70.91</v>
          </cell>
          <cell r="N10">
            <v>72.31</v>
          </cell>
        </row>
        <row r="11">
          <cell r="K11" t="str">
            <v>Bireuen</v>
          </cell>
          <cell r="L11">
            <v>77.819999999999993</v>
          </cell>
          <cell r="M11">
            <v>74</v>
          </cell>
          <cell r="N11">
            <v>74.45</v>
          </cell>
        </row>
        <row r="12">
          <cell r="K12" t="str">
            <v>Aceh Utara</v>
          </cell>
          <cell r="L12">
            <v>74.86</v>
          </cell>
          <cell r="M12">
            <v>69.89</v>
          </cell>
          <cell r="N12">
            <v>71.7</v>
          </cell>
        </row>
        <row r="13">
          <cell r="K13" t="str">
            <v>Aceh Barat Daya</v>
          </cell>
          <cell r="L13">
            <v>74.41</v>
          </cell>
          <cell r="M13">
            <v>67.3</v>
          </cell>
          <cell r="N13">
            <v>68.75</v>
          </cell>
        </row>
        <row r="14">
          <cell r="K14" t="str">
            <v>Gayo Lues</v>
          </cell>
          <cell r="L14">
            <v>74.91</v>
          </cell>
          <cell r="M14">
            <v>67.48</v>
          </cell>
          <cell r="N14">
            <v>69.83</v>
          </cell>
        </row>
        <row r="15">
          <cell r="K15" t="str">
            <v>Aceh Tamiang</v>
          </cell>
          <cell r="L15">
            <v>78.680000000000007</v>
          </cell>
          <cell r="M15">
            <v>65.040000000000006</v>
          </cell>
          <cell r="N15">
            <v>72.319999999999993</v>
          </cell>
        </row>
        <row r="16">
          <cell r="K16" t="str">
            <v>Nagan Raya</v>
          </cell>
          <cell r="L16">
            <v>76.150000000000006</v>
          </cell>
          <cell r="M16">
            <v>69.540000000000006</v>
          </cell>
          <cell r="N16">
            <v>71.72</v>
          </cell>
        </row>
        <row r="17">
          <cell r="K17" t="str">
            <v>Aceh Jaya</v>
          </cell>
          <cell r="L17">
            <v>76.430000000000007</v>
          </cell>
          <cell r="M17">
            <v>68.88</v>
          </cell>
          <cell r="N17">
            <v>71.83</v>
          </cell>
        </row>
        <row r="18">
          <cell r="K18" t="str">
            <v>Bener Meriah</v>
          </cell>
          <cell r="L18">
            <v>77.150000000000006</v>
          </cell>
          <cell r="M18">
            <v>74.63</v>
          </cell>
          <cell r="N18">
            <v>75.010000000000005</v>
          </cell>
        </row>
        <row r="19">
          <cell r="K19" t="str">
            <v>Pidie Jaya</v>
          </cell>
          <cell r="L19">
            <v>78.430000000000007</v>
          </cell>
          <cell r="M19">
            <v>74.73</v>
          </cell>
          <cell r="N19">
            <v>75.16</v>
          </cell>
        </row>
        <row r="20">
          <cell r="K20" t="str">
            <v>Kota Banda Aceh</v>
          </cell>
          <cell r="L20">
            <v>89.12</v>
          </cell>
          <cell r="M20">
            <v>85.72</v>
          </cell>
          <cell r="N20">
            <v>87.17</v>
          </cell>
        </row>
        <row r="21">
          <cell r="K21" t="str">
            <v>Kota Sabang</v>
          </cell>
          <cell r="L21">
            <v>80.83</v>
          </cell>
          <cell r="M21">
            <v>77.39</v>
          </cell>
          <cell r="N21">
            <v>78.319999999999993</v>
          </cell>
        </row>
        <row r="22">
          <cell r="K22" t="str">
            <v>Kota Langsa</v>
          </cell>
          <cell r="L22">
            <v>81.400000000000006</v>
          </cell>
          <cell r="M22">
            <v>78.05</v>
          </cell>
          <cell r="N22">
            <v>78.81</v>
          </cell>
        </row>
        <row r="23">
          <cell r="K23" t="str">
            <v>Kota Lhokseumawe</v>
          </cell>
          <cell r="L23">
            <v>82.52</v>
          </cell>
          <cell r="M23">
            <v>79</v>
          </cell>
          <cell r="N23">
            <v>79.55</v>
          </cell>
        </row>
        <row r="24">
          <cell r="K24" t="str">
            <v>Kota Subulussalam</v>
          </cell>
          <cell r="L24">
            <v>73.459999999999994</v>
          </cell>
          <cell r="M24">
            <v>63.09</v>
          </cell>
          <cell r="N24">
            <v>68.040000000000006</v>
          </cell>
        </row>
        <row r="25">
          <cell r="K25" t="str">
            <v>Nias</v>
          </cell>
          <cell r="L25">
            <v>68.87</v>
          </cell>
          <cell r="M25">
            <v>62.82</v>
          </cell>
          <cell r="N25">
            <v>65.55</v>
          </cell>
        </row>
        <row r="26">
          <cell r="K26" t="str">
            <v>Mandailing Natal</v>
          </cell>
          <cell r="L26">
            <v>73.33</v>
          </cell>
          <cell r="M26">
            <v>68.84</v>
          </cell>
          <cell r="N26">
            <v>69.33</v>
          </cell>
        </row>
        <row r="27">
          <cell r="K27" t="str">
            <v>Tapanuli Selatan</v>
          </cell>
          <cell r="L27">
            <v>76.510000000000005</v>
          </cell>
          <cell r="M27">
            <v>69.430000000000007</v>
          </cell>
          <cell r="N27">
            <v>72.14</v>
          </cell>
        </row>
        <row r="28">
          <cell r="K28" t="str">
            <v>Tapanuli Tengah</v>
          </cell>
          <cell r="L28">
            <v>74.489999999999995</v>
          </cell>
          <cell r="M28">
            <v>71.05</v>
          </cell>
          <cell r="N28">
            <v>71.52</v>
          </cell>
        </row>
        <row r="29">
          <cell r="K29" t="str">
            <v>Tapanuli Utara</v>
          </cell>
          <cell r="L29">
            <v>76.72</v>
          </cell>
          <cell r="M29">
            <v>74.95</v>
          </cell>
          <cell r="N29">
            <v>75.23</v>
          </cell>
        </row>
        <row r="30">
          <cell r="K30" t="str">
            <v>Toba Samosir / Toba</v>
          </cell>
          <cell r="L30">
            <v>77.86</v>
          </cell>
          <cell r="M30">
            <v>76.489999999999995</v>
          </cell>
          <cell r="N30">
            <v>76.91</v>
          </cell>
        </row>
        <row r="31">
          <cell r="K31" t="str">
            <v>Labuhan Batu</v>
          </cell>
          <cell r="L31">
            <v>78.73</v>
          </cell>
          <cell r="M31">
            <v>71.53</v>
          </cell>
          <cell r="N31">
            <v>74.180000000000007</v>
          </cell>
        </row>
        <row r="32">
          <cell r="K32" t="str">
            <v>Asahan</v>
          </cell>
          <cell r="L32">
            <v>76.22</v>
          </cell>
          <cell r="M32">
            <v>70.17</v>
          </cell>
          <cell r="N32">
            <v>72.09</v>
          </cell>
        </row>
        <row r="33">
          <cell r="K33" t="str">
            <v>Simalungun</v>
          </cell>
          <cell r="L33">
            <v>78.739999999999995</v>
          </cell>
          <cell r="M33">
            <v>73.55</v>
          </cell>
          <cell r="N33">
            <v>74.97</v>
          </cell>
        </row>
        <row r="34">
          <cell r="K34" t="str">
            <v>Dairi</v>
          </cell>
          <cell r="L34">
            <v>74.44</v>
          </cell>
          <cell r="M34">
            <v>73.23</v>
          </cell>
          <cell r="N34">
            <v>73.92</v>
          </cell>
        </row>
        <row r="35">
          <cell r="K35" t="str">
            <v>Karo</v>
          </cell>
          <cell r="L35">
            <v>77.7</v>
          </cell>
          <cell r="M35">
            <v>74.97</v>
          </cell>
          <cell r="N35">
            <v>76.55</v>
          </cell>
        </row>
        <row r="36">
          <cell r="K36" t="str">
            <v>Deli Serdang</v>
          </cell>
          <cell r="L36">
            <v>81.31</v>
          </cell>
          <cell r="M36">
            <v>74.930000000000007</v>
          </cell>
          <cell r="N36">
            <v>76.92</v>
          </cell>
        </row>
        <row r="37">
          <cell r="K37" t="str">
            <v>Langkat</v>
          </cell>
          <cell r="L37">
            <v>77</v>
          </cell>
          <cell r="M37">
            <v>68.569999999999993</v>
          </cell>
          <cell r="N37">
            <v>72.73</v>
          </cell>
        </row>
        <row r="38">
          <cell r="K38" t="str">
            <v>Nias Selatan</v>
          </cell>
          <cell r="L38">
            <v>70.05</v>
          </cell>
          <cell r="M38">
            <v>62.93</v>
          </cell>
          <cell r="N38">
            <v>65.02</v>
          </cell>
        </row>
        <row r="39">
          <cell r="K39" t="str">
            <v>Humbang Hasundutan</v>
          </cell>
          <cell r="L39">
            <v>73</v>
          </cell>
          <cell r="M39">
            <v>71.12</v>
          </cell>
          <cell r="N39">
            <v>71.59</v>
          </cell>
        </row>
        <row r="40">
          <cell r="K40" t="str">
            <v>Pakpak Bharat</v>
          </cell>
          <cell r="L40">
            <v>70.86</v>
          </cell>
          <cell r="M40">
            <v>70.290000000000006</v>
          </cell>
          <cell r="N40">
            <v>70.36</v>
          </cell>
        </row>
        <row r="41">
          <cell r="K41" t="str">
            <v>Samosir</v>
          </cell>
          <cell r="L41">
            <v>74.900000000000006</v>
          </cell>
          <cell r="M41">
            <v>72.599999999999994</v>
          </cell>
          <cell r="N41">
            <v>72.88</v>
          </cell>
        </row>
        <row r="42">
          <cell r="K42" t="str">
            <v>Serdang Bedagai</v>
          </cell>
          <cell r="L42">
            <v>76.91</v>
          </cell>
          <cell r="M42">
            <v>68.5</v>
          </cell>
          <cell r="N42">
            <v>72.47</v>
          </cell>
        </row>
        <row r="43">
          <cell r="K43" t="str">
            <v>Batu Bara</v>
          </cell>
          <cell r="L43">
            <v>75.540000000000006</v>
          </cell>
          <cell r="M43">
            <v>63.5</v>
          </cell>
          <cell r="N43">
            <v>70.83</v>
          </cell>
        </row>
        <row r="44">
          <cell r="K44" t="str">
            <v>Padang Lawas Utara</v>
          </cell>
          <cell r="L44">
            <v>77.010000000000005</v>
          </cell>
          <cell r="M44">
            <v>68.13</v>
          </cell>
          <cell r="N44">
            <v>72.319999999999993</v>
          </cell>
        </row>
        <row r="45">
          <cell r="K45" t="str">
            <v>Padang Lawas</v>
          </cell>
          <cell r="L45">
            <v>75.38</v>
          </cell>
          <cell r="M45">
            <v>65.56</v>
          </cell>
          <cell r="N45">
            <v>71.27</v>
          </cell>
        </row>
        <row r="46">
          <cell r="K46" t="str">
            <v>Labuhan Batu Selatan</v>
          </cell>
          <cell r="L46">
            <v>78.27</v>
          </cell>
          <cell r="M46">
            <v>69.569999999999993</v>
          </cell>
          <cell r="N46">
            <v>73.67</v>
          </cell>
        </row>
        <row r="47">
          <cell r="K47" t="str">
            <v>Labuhan Batu Utara</v>
          </cell>
          <cell r="L47">
            <v>78.59</v>
          </cell>
          <cell r="M47">
            <v>71.2</v>
          </cell>
          <cell r="N47">
            <v>74.400000000000006</v>
          </cell>
        </row>
        <row r="48">
          <cell r="K48" t="str">
            <v>Nias Utara</v>
          </cell>
          <cell r="L48">
            <v>72.22</v>
          </cell>
          <cell r="M48">
            <v>58.44</v>
          </cell>
          <cell r="N48">
            <v>65.62</v>
          </cell>
        </row>
        <row r="49">
          <cell r="K49" t="str">
            <v>Nias Barat</v>
          </cell>
          <cell r="L49">
            <v>70.98</v>
          </cell>
          <cell r="M49">
            <v>62.16</v>
          </cell>
          <cell r="N49">
            <v>64.67</v>
          </cell>
        </row>
        <row r="50">
          <cell r="K50" t="str">
            <v>Kota Sibolga</v>
          </cell>
          <cell r="L50">
            <v>76.95</v>
          </cell>
          <cell r="M50">
            <v>75.41</v>
          </cell>
          <cell r="N50">
            <v>75.66</v>
          </cell>
        </row>
        <row r="51">
          <cell r="K51" t="str">
            <v>Kota Tanjung Balai</v>
          </cell>
          <cell r="L51">
            <v>75</v>
          </cell>
          <cell r="M51">
            <v>68.17</v>
          </cell>
          <cell r="N51">
            <v>71.099999999999994</v>
          </cell>
        </row>
        <row r="52">
          <cell r="K52" t="str">
            <v>Kota Pematang Siantar</v>
          </cell>
          <cell r="L52">
            <v>83.38</v>
          </cell>
          <cell r="M52">
            <v>80.59</v>
          </cell>
          <cell r="N52">
            <v>81.17</v>
          </cell>
        </row>
        <row r="53">
          <cell r="K53" t="str">
            <v>Kota Tebing Tinggi</v>
          </cell>
          <cell r="L53">
            <v>80.97</v>
          </cell>
          <cell r="M53">
            <v>76.02</v>
          </cell>
          <cell r="N53">
            <v>77.45</v>
          </cell>
        </row>
        <row r="54">
          <cell r="K54" t="str">
            <v>Kota Medan</v>
          </cell>
          <cell r="L54">
            <v>86.96</v>
          </cell>
          <cell r="M54">
            <v>82.17</v>
          </cell>
          <cell r="N54">
            <v>82.76</v>
          </cell>
        </row>
        <row r="55">
          <cell r="K55" t="str">
            <v>Kota Binjai</v>
          </cell>
          <cell r="L55">
            <v>82.47</v>
          </cell>
          <cell r="M55">
            <v>75.36</v>
          </cell>
          <cell r="N55">
            <v>78.099999999999994</v>
          </cell>
        </row>
        <row r="56">
          <cell r="K56" t="str">
            <v>Kota Padangsidimpuan</v>
          </cell>
          <cell r="L56">
            <v>78.77</v>
          </cell>
          <cell r="M56">
            <v>76.77</v>
          </cell>
          <cell r="N56">
            <v>76.959999999999994</v>
          </cell>
        </row>
        <row r="57">
          <cell r="K57" t="str">
            <v>Kota Gunungsitoli</v>
          </cell>
          <cell r="L57">
            <v>77.03</v>
          </cell>
          <cell r="M57">
            <v>69.510000000000005</v>
          </cell>
          <cell r="N57">
            <v>71.41</v>
          </cell>
        </row>
        <row r="58">
          <cell r="K58" t="str">
            <v>Kepulauan Mentawai</v>
          </cell>
          <cell r="L58">
            <v>68.930000000000007</v>
          </cell>
          <cell r="M58">
            <v>62.13</v>
          </cell>
          <cell r="N58">
            <v>63.99</v>
          </cell>
        </row>
        <row r="59">
          <cell r="K59" t="str">
            <v>Pesisir Selatan</v>
          </cell>
          <cell r="L59">
            <v>75.040000000000006</v>
          </cell>
          <cell r="M59">
            <v>71.91</v>
          </cell>
          <cell r="N59">
            <v>72.02</v>
          </cell>
        </row>
        <row r="60">
          <cell r="K60" t="str">
            <v>Solok</v>
          </cell>
          <cell r="L60">
            <v>73.77</v>
          </cell>
          <cell r="M60">
            <v>70.98</v>
          </cell>
          <cell r="N60">
            <v>71.02</v>
          </cell>
        </row>
        <row r="61">
          <cell r="K61" t="str">
            <v>Sijunjung</v>
          </cell>
          <cell r="L61">
            <v>74.02</v>
          </cell>
          <cell r="M61">
            <v>69.87</v>
          </cell>
          <cell r="N61">
            <v>70.23</v>
          </cell>
        </row>
        <row r="62">
          <cell r="K62" t="str">
            <v>Tanah Datar</v>
          </cell>
          <cell r="L62">
            <v>76.13</v>
          </cell>
          <cell r="M62">
            <v>74.209999999999994</v>
          </cell>
          <cell r="N62">
            <v>74.900000000000006</v>
          </cell>
        </row>
        <row r="63">
          <cell r="K63" t="str">
            <v>Padang Pariaman</v>
          </cell>
          <cell r="L63">
            <v>77.11</v>
          </cell>
          <cell r="M63">
            <v>72.42</v>
          </cell>
          <cell r="N63">
            <v>73.099999999999994</v>
          </cell>
        </row>
        <row r="64">
          <cell r="K64" t="str">
            <v>Agam</v>
          </cell>
          <cell r="L64">
            <v>76.72</v>
          </cell>
          <cell r="M64">
            <v>74.489999999999995</v>
          </cell>
          <cell r="N64">
            <v>74.66</v>
          </cell>
        </row>
        <row r="65">
          <cell r="K65" t="str">
            <v>Lima Puluh Kota</v>
          </cell>
          <cell r="L65">
            <v>74.64</v>
          </cell>
          <cell r="M65">
            <v>70.8</v>
          </cell>
          <cell r="N65">
            <v>71.14</v>
          </cell>
        </row>
        <row r="66">
          <cell r="K66" t="str">
            <v>Pasaman</v>
          </cell>
          <cell r="L66">
            <v>72.599999999999994</v>
          </cell>
          <cell r="M66">
            <v>67.45</v>
          </cell>
          <cell r="N66">
            <v>68.89</v>
          </cell>
        </row>
        <row r="67">
          <cell r="K67" t="str">
            <v>Solok Selatan</v>
          </cell>
          <cell r="L67">
            <v>74.11</v>
          </cell>
          <cell r="M67">
            <v>70.8</v>
          </cell>
          <cell r="N67">
            <v>71.5</v>
          </cell>
        </row>
        <row r="68">
          <cell r="K68" t="str">
            <v>Dharmasraya</v>
          </cell>
          <cell r="L68">
            <v>77.95</v>
          </cell>
          <cell r="M68">
            <v>69.930000000000007</v>
          </cell>
          <cell r="N68">
            <v>74.06</v>
          </cell>
        </row>
        <row r="69">
          <cell r="K69" t="str">
            <v>Pasaman Barat</v>
          </cell>
          <cell r="L69">
            <v>74.66</v>
          </cell>
          <cell r="M69">
            <v>67.430000000000007</v>
          </cell>
          <cell r="N69">
            <v>70.930000000000007</v>
          </cell>
        </row>
        <row r="70">
          <cell r="K70" t="str">
            <v>Kota Padang</v>
          </cell>
          <cell r="L70">
            <v>88.15</v>
          </cell>
          <cell r="M70">
            <v>82.9</v>
          </cell>
          <cell r="N70">
            <v>83.99</v>
          </cell>
        </row>
        <row r="71">
          <cell r="K71" t="str">
            <v>Kota Solok</v>
          </cell>
          <cell r="L71">
            <v>82.18</v>
          </cell>
          <cell r="M71">
            <v>79.63</v>
          </cell>
          <cell r="N71">
            <v>80</v>
          </cell>
        </row>
        <row r="72">
          <cell r="K72" t="str">
            <v>Kota Sawah Lunto</v>
          </cell>
          <cell r="L72">
            <v>78.22</v>
          </cell>
          <cell r="M72">
            <v>74.88</v>
          </cell>
          <cell r="N72">
            <v>75.13</v>
          </cell>
        </row>
        <row r="73">
          <cell r="K73" t="str">
            <v>Kota Padang Panjang</v>
          </cell>
          <cell r="L73">
            <v>80.33</v>
          </cell>
          <cell r="M73">
            <v>78.91</v>
          </cell>
          <cell r="N73">
            <v>80.17</v>
          </cell>
        </row>
        <row r="74">
          <cell r="K74" t="str">
            <v>Kota Bukittinggi</v>
          </cell>
          <cell r="L74">
            <v>83.01</v>
          </cell>
          <cell r="M74">
            <v>81.900000000000006</v>
          </cell>
          <cell r="N74">
            <v>82.51</v>
          </cell>
        </row>
        <row r="75">
          <cell r="K75" t="str">
            <v>Kota Payakumbuh</v>
          </cell>
          <cell r="L75">
            <v>81.59</v>
          </cell>
          <cell r="M75">
            <v>80.72</v>
          </cell>
          <cell r="N75">
            <v>80.61</v>
          </cell>
        </row>
        <row r="76">
          <cell r="K76" t="str">
            <v>Kota Pariaman</v>
          </cell>
          <cell r="L76">
            <v>80.06</v>
          </cell>
          <cell r="M76">
            <v>78.55</v>
          </cell>
          <cell r="N76">
            <v>78.88</v>
          </cell>
        </row>
        <row r="77">
          <cell r="K77" t="str">
            <v>Kuantan Singingi</v>
          </cell>
          <cell r="L77">
            <v>76.44</v>
          </cell>
          <cell r="M77">
            <v>69.319999999999993</v>
          </cell>
          <cell r="N77">
            <v>72.33</v>
          </cell>
        </row>
        <row r="78">
          <cell r="K78" t="str">
            <v>Indragiri Hulu</v>
          </cell>
          <cell r="L78">
            <v>76.08</v>
          </cell>
          <cell r="M78">
            <v>66.5</v>
          </cell>
          <cell r="N78">
            <v>71.48</v>
          </cell>
        </row>
        <row r="79">
          <cell r="K79" t="str">
            <v>Indragiri Hilir</v>
          </cell>
          <cell r="L79">
            <v>73.3</v>
          </cell>
          <cell r="M79">
            <v>61.35</v>
          </cell>
          <cell r="N79">
            <v>68.38</v>
          </cell>
        </row>
        <row r="80">
          <cell r="K80" t="str">
            <v>Pelalawan</v>
          </cell>
          <cell r="L80">
            <v>78.52</v>
          </cell>
          <cell r="M80">
            <v>70.23</v>
          </cell>
          <cell r="N80">
            <v>74.08</v>
          </cell>
        </row>
        <row r="81">
          <cell r="K81" t="str">
            <v>Siak</v>
          </cell>
          <cell r="L81">
            <v>80.16</v>
          </cell>
          <cell r="M81">
            <v>71.37</v>
          </cell>
          <cell r="N81">
            <v>75.45</v>
          </cell>
        </row>
        <row r="82">
          <cell r="K82" t="str">
            <v>Kampar</v>
          </cell>
          <cell r="L82">
            <v>79.2</v>
          </cell>
          <cell r="M82">
            <v>71.42</v>
          </cell>
          <cell r="N82">
            <v>74.849999999999994</v>
          </cell>
        </row>
        <row r="83">
          <cell r="K83" t="str">
            <v>Rokan Hulu</v>
          </cell>
          <cell r="L83">
            <v>78.16</v>
          </cell>
          <cell r="M83">
            <v>64.91</v>
          </cell>
          <cell r="N83">
            <v>71.819999999999993</v>
          </cell>
        </row>
        <row r="84">
          <cell r="K84" t="str">
            <v>Bengkalis</v>
          </cell>
          <cell r="L84">
            <v>79.8</v>
          </cell>
          <cell r="M84">
            <v>71.75</v>
          </cell>
          <cell r="N84">
            <v>75.28</v>
          </cell>
        </row>
        <row r="85">
          <cell r="K85" t="str">
            <v>Rokan Hilir</v>
          </cell>
          <cell r="L85">
            <v>76.05</v>
          </cell>
          <cell r="M85">
            <v>65.260000000000005</v>
          </cell>
          <cell r="N85">
            <v>71.2</v>
          </cell>
        </row>
        <row r="86">
          <cell r="K86" t="str">
            <v>Kepulauan Meranti</v>
          </cell>
          <cell r="L86">
            <v>72.52</v>
          </cell>
          <cell r="M86">
            <v>63.41</v>
          </cell>
          <cell r="N86">
            <v>67.92</v>
          </cell>
        </row>
        <row r="87">
          <cell r="K87" t="str">
            <v>Kota Pekanbaru</v>
          </cell>
          <cell r="L87">
            <v>86.64</v>
          </cell>
          <cell r="M87">
            <v>81.48</v>
          </cell>
          <cell r="N87">
            <v>82.89</v>
          </cell>
        </row>
        <row r="88">
          <cell r="K88" t="str">
            <v>Kota Dumai</v>
          </cell>
          <cell r="L88">
            <v>80.14</v>
          </cell>
          <cell r="M88">
            <v>73.209999999999994</v>
          </cell>
          <cell r="N88">
            <v>76.19</v>
          </cell>
        </row>
        <row r="89">
          <cell r="K89" t="str">
            <v>Kerinci</v>
          </cell>
          <cell r="L89">
            <v>78.400000000000006</v>
          </cell>
          <cell r="M89">
            <v>68.59</v>
          </cell>
          <cell r="N89">
            <v>73.11</v>
          </cell>
        </row>
        <row r="90">
          <cell r="K90" t="str">
            <v>Merangin</v>
          </cell>
          <cell r="L90">
            <v>75.63</v>
          </cell>
          <cell r="M90">
            <v>67.19</v>
          </cell>
          <cell r="N90">
            <v>71.66</v>
          </cell>
        </row>
        <row r="91">
          <cell r="K91" t="str">
            <v>Sarolangun</v>
          </cell>
          <cell r="L91">
            <v>75.849999999999994</v>
          </cell>
          <cell r="M91">
            <v>69.78</v>
          </cell>
          <cell r="N91">
            <v>72.010000000000005</v>
          </cell>
        </row>
        <row r="92">
          <cell r="K92" t="str">
            <v>Batang Hari</v>
          </cell>
          <cell r="L92">
            <v>76.72</v>
          </cell>
          <cell r="M92">
            <v>65.94</v>
          </cell>
          <cell r="N92">
            <v>71.67</v>
          </cell>
        </row>
        <row r="93">
          <cell r="K93" t="str">
            <v>Muaro Jambi</v>
          </cell>
          <cell r="L93">
            <v>76.400000000000006</v>
          </cell>
          <cell r="M93">
            <v>63.01</v>
          </cell>
          <cell r="N93">
            <v>71.91</v>
          </cell>
        </row>
        <row r="94">
          <cell r="K94" t="str">
            <v>Tanjung Jabung Timur</v>
          </cell>
          <cell r="L94">
            <v>72.19</v>
          </cell>
          <cell r="M94">
            <v>63.59</v>
          </cell>
          <cell r="N94">
            <v>67.540000000000006</v>
          </cell>
        </row>
        <row r="95">
          <cell r="K95" t="str">
            <v>Tanjung Jabung Barat</v>
          </cell>
          <cell r="L95">
            <v>73.989999999999995</v>
          </cell>
          <cell r="M95">
            <v>64.02</v>
          </cell>
          <cell r="N95">
            <v>69.930000000000007</v>
          </cell>
        </row>
        <row r="96">
          <cell r="K96" t="str">
            <v>Tebo</v>
          </cell>
          <cell r="L96">
            <v>75.25</v>
          </cell>
          <cell r="M96">
            <v>69.13</v>
          </cell>
          <cell r="N96">
            <v>71.319999999999993</v>
          </cell>
        </row>
        <row r="97">
          <cell r="K97" t="str">
            <v>Bungo</v>
          </cell>
          <cell r="L97">
            <v>76.739999999999995</v>
          </cell>
          <cell r="M97">
            <v>68.260000000000005</v>
          </cell>
          <cell r="N97">
            <v>71.92</v>
          </cell>
        </row>
        <row r="98">
          <cell r="K98" t="str">
            <v>Kota Jambi</v>
          </cell>
          <cell r="L98">
            <v>84.24</v>
          </cell>
          <cell r="M98">
            <v>80.180000000000007</v>
          </cell>
          <cell r="N98">
            <v>81.040000000000006</v>
          </cell>
        </row>
        <row r="99">
          <cell r="K99" t="str">
            <v>Kota Sungai Penuh</v>
          </cell>
          <cell r="L99">
            <v>80.989999999999995</v>
          </cell>
          <cell r="M99">
            <v>76.7</v>
          </cell>
          <cell r="N99">
            <v>77.400000000000006</v>
          </cell>
        </row>
        <row r="100">
          <cell r="K100" t="str">
            <v>Ogan Komering Ulu</v>
          </cell>
          <cell r="L100">
            <v>75.069999999999993</v>
          </cell>
          <cell r="M100">
            <v>70.89</v>
          </cell>
          <cell r="N100">
            <v>71.55</v>
          </cell>
        </row>
        <row r="101">
          <cell r="K101" t="str">
            <v>Ogan Komering Ilir</v>
          </cell>
          <cell r="L101">
            <v>72.959999999999994</v>
          </cell>
          <cell r="M101">
            <v>67.56</v>
          </cell>
          <cell r="N101">
            <v>69.33</v>
          </cell>
        </row>
        <row r="102">
          <cell r="K102" t="str">
            <v>Muara Enim</v>
          </cell>
          <cell r="L102">
            <v>74.95</v>
          </cell>
          <cell r="M102">
            <v>67.56</v>
          </cell>
          <cell r="N102">
            <v>71</v>
          </cell>
        </row>
        <row r="103">
          <cell r="K103" t="str">
            <v>Lahat</v>
          </cell>
          <cell r="L103">
            <v>73.08</v>
          </cell>
          <cell r="M103">
            <v>69.42</v>
          </cell>
          <cell r="N103">
            <v>69.77</v>
          </cell>
        </row>
        <row r="104">
          <cell r="K104" t="str">
            <v>Musi Rawas</v>
          </cell>
          <cell r="L104">
            <v>73.349999999999994</v>
          </cell>
          <cell r="M104">
            <v>63.65</v>
          </cell>
          <cell r="N104">
            <v>68.95</v>
          </cell>
        </row>
        <row r="105">
          <cell r="K105" t="str">
            <v>Musi Banyuasin</v>
          </cell>
          <cell r="L105">
            <v>74.62</v>
          </cell>
          <cell r="M105">
            <v>62.52</v>
          </cell>
          <cell r="N105">
            <v>70.12</v>
          </cell>
        </row>
        <row r="106">
          <cell r="K106" t="str">
            <v>Banyu Asin</v>
          </cell>
          <cell r="L106">
            <v>73.489999999999995</v>
          </cell>
          <cell r="M106">
            <v>66.069999999999993</v>
          </cell>
          <cell r="N106">
            <v>69.510000000000005</v>
          </cell>
        </row>
        <row r="107">
          <cell r="K107" t="str">
            <v>Ogan Komering Ulu Selatan</v>
          </cell>
          <cell r="L107">
            <v>71.459999999999994</v>
          </cell>
          <cell r="M107">
            <v>66.05</v>
          </cell>
          <cell r="N107">
            <v>67.650000000000006</v>
          </cell>
        </row>
        <row r="108">
          <cell r="K108" t="str">
            <v>Ogan Komering Ulu Timur</v>
          </cell>
          <cell r="L108">
            <v>74.53</v>
          </cell>
          <cell r="M108">
            <v>70.680000000000007</v>
          </cell>
          <cell r="N108">
            <v>71.55</v>
          </cell>
        </row>
        <row r="109">
          <cell r="K109" t="str">
            <v>Ogan Ilir</v>
          </cell>
          <cell r="L109">
            <v>70.040000000000006</v>
          </cell>
          <cell r="M109">
            <v>69.260000000000005</v>
          </cell>
          <cell r="N109">
            <v>69.400000000000006</v>
          </cell>
        </row>
        <row r="110">
          <cell r="K110" t="str">
            <v>Empat Lawang</v>
          </cell>
          <cell r="L110">
            <v>71.02</v>
          </cell>
          <cell r="M110">
            <v>66.61</v>
          </cell>
          <cell r="N110">
            <v>67.25</v>
          </cell>
        </row>
        <row r="111">
          <cell r="K111" t="str">
            <v>Penukal Abab Lematang Ilir</v>
          </cell>
          <cell r="L111">
            <v>70.489999999999995</v>
          </cell>
          <cell r="M111">
            <v>66</v>
          </cell>
          <cell r="N111">
            <v>67.48</v>
          </cell>
        </row>
        <row r="112">
          <cell r="K112" t="str">
            <v>Musi Rawas Utara</v>
          </cell>
          <cell r="L112">
            <v>71.760000000000005</v>
          </cell>
          <cell r="M112">
            <v>66.53</v>
          </cell>
          <cell r="N112">
            <v>67.400000000000006</v>
          </cell>
        </row>
        <row r="113">
          <cell r="K113" t="str">
            <v>Kota Palembang</v>
          </cell>
          <cell r="L113">
            <v>82.43</v>
          </cell>
          <cell r="M113">
            <v>79.66</v>
          </cell>
          <cell r="N113">
            <v>80.569999999999993</v>
          </cell>
        </row>
        <row r="114">
          <cell r="K114" t="str">
            <v>Kota Prabumulih</v>
          </cell>
          <cell r="L114">
            <v>81.09</v>
          </cell>
          <cell r="M114">
            <v>76.3</v>
          </cell>
          <cell r="N114">
            <v>77.08</v>
          </cell>
        </row>
        <row r="115">
          <cell r="K115" t="str">
            <v>Kota Pagar Alam</v>
          </cell>
          <cell r="L115">
            <v>74.17</v>
          </cell>
          <cell r="M115">
            <v>70.55</v>
          </cell>
          <cell r="N115">
            <v>71.19</v>
          </cell>
        </row>
        <row r="116">
          <cell r="K116" t="str">
            <v>Kota Lubuklinggau</v>
          </cell>
          <cell r="L116">
            <v>80.150000000000006</v>
          </cell>
          <cell r="M116">
            <v>76.36</v>
          </cell>
          <cell r="N116">
            <v>76.819999999999993</v>
          </cell>
        </row>
        <row r="117">
          <cell r="K117" t="str">
            <v>Bengkulu Selatan</v>
          </cell>
          <cell r="L117">
            <v>75.92</v>
          </cell>
          <cell r="M117">
            <v>71.94</v>
          </cell>
          <cell r="N117">
            <v>72.349999999999994</v>
          </cell>
        </row>
        <row r="118">
          <cell r="K118" t="str">
            <v>Rejang Lebong</v>
          </cell>
          <cell r="L118">
            <v>76.16</v>
          </cell>
          <cell r="M118">
            <v>71.83</v>
          </cell>
          <cell r="N118">
            <v>72.92</v>
          </cell>
        </row>
        <row r="119">
          <cell r="K119" t="str">
            <v>Bengkulu Utara</v>
          </cell>
          <cell r="L119">
            <v>75.069999999999993</v>
          </cell>
          <cell r="M119">
            <v>68.760000000000005</v>
          </cell>
          <cell r="N119">
            <v>71.11</v>
          </cell>
        </row>
        <row r="120">
          <cell r="K120" t="str">
            <v>Kaur</v>
          </cell>
          <cell r="L120">
            <v>73.77</v>
          </cell>
          <cell r="M120">
            <v>64.7</v>
          </cell>
          <cell r="N120">
            <v>68.98</v>
          </cell>
        </row>
        <row r="121">
          <cell r="K121" t="str">
            <v>Seluma</v>
          </cell>
          <cell r="L121">
            <v>73.849999999999994</v>
          </cell>
          <cell r="M121">
            <v>63.81</v>
          </cell>
          <cell r="N121">
            <v>68.97</v>
          </cell>
        </row>
        <row r="122">
          <cell r="K122" t="str">
            <v>Mukomuko</v>
          </cell>
          <cell r="L122">
            <v>75.36</v>
          </cell>
          <cell r="M122">
            <v>64.14</v>
          </cell>
          <cell r="N122">
            <v>70.63</v>
          </cell>
        </row>
        <row r="123">
          <cell r="K123" t="str">
            <v>Lebong</v>
          </cell>
          <cell r="L123">
            <v>73.37</v>
          </cell>
          <cell r="M123">
            <v>67.569999999999993</v>
          </cell>
          <cell r="N123">
            <v>69.27</v>
          </cell>
        </row>
        <row r="124">
          <cell r="K124" t="str">
            <v>Kepahiang</v>
          </cell>
          <cell r="L124">
            <v>73.010000000000005</v>
          </cell>
          <cell r="M124">
            <v>70.150000000000006</v>
          </cell>
          <cell r="N124">
            <v>70.27</v>
          </cell>
        </row>
        <row r="125">
          <cell r="K125" t="str">
            <v>Bengkulu Tengah</v>
          </cell>
          <cell r="L125">
            <v>74.400000000000006</v>
          </cell>
          <cell r="M125">
            <v>65.05</v>
          </cell>
          <cell r="N125">
            <v>69.84</v>
          </cell>
        </row>
        <row r="126">
          <cell r="K126" t="str">
            <v>Kota Bengkulu</v>
          </cell>
          <cell r="L126">
            <v>84.69</v>
          </cell>
          <cell r="M126">
            <v>81.41</v>
          </cell>
          <cell r="N126">
            <v>82.04</v>
          </cell>
        </row>
        <row r="127">
          <cell r="K127" t="str">
            <v>Lampung Barat</v>
          </cell>
          <cell r="L127">
            <v>72.72</v>
          </cell>
          <cell r="M127">
            <v>68.010000000000005</v>
          </cell>
          <cell r="N127">
            <v>69.84</v>
          </cell>
        </row>
        <row r="128">
          <cell r="K128" t="str">
            <v>Tanggamus</v>
          </cell>
          <cell r="L128">
            <v>72.290000000000006</v>
          </cell>
          <cell r="M128">
            <v>66.09</v>
          </cell>
          <cell r="N128">
            <v>68.52</v>
          </cell>
        </row>
        <row r="129">
          <cell r="K129" t="str">
            <v>Lampung Selatan</v>
          </cell>
          <cell r="L129">
            <v>73.989999999999995</v>
          </cell>
          <cell r="M129">
            <v>66.66</v>
          </cell>
          <cell r="N129">
            <v>70.28</v>
          </cell>
        </row>
        <row r="130">
          <cell r="K130" t="str">
            <v>Lampung Timur</v>
          </cell>
          <cell r="L130">
            <v>76.36</v>
          </cell>
          <cell r="M130">
            <v>68.36</v>
          </cell>
          <cell r="N130">
            <v>71.84</v>
          </cell>
        </row>
        <row r="131">
          <cell r="K131" t="str">
            <v>Lampung Tengah</v>
          </cell>
          <cell r="L131">
            <v>76.319999999999993</v>
          </cell>
          <cell r="M131">
            <v>68.849999999999994</v>
          </cell>
          <cell r="N131">
            <v>72.37</v>
          </cell>
        </row>
        <row r="132">
          <cell r="K132" t="str">
            <v>Lampung Utara</v>
          </cell>
          <cell r="L132">
            <v>73.709999999999994</v>
          </cell>
          <cell r="M132">
            <v>66.319999999999993</v>
          </cell>
          <cell r="N132">
            <v>69.62</v>
          </cell>
        </row>
        <row r="133">
          <cell r="K133" t="str">
            <v>Way Kanan</v>
          </cell>
          <cell r="L133">
            <v>73.63</v>
          </cell>
          <cell r="M133">
            <v>65.349999999999994</v>
          </cell>
          <cell r="N133">
            <v>69.31</v>
          </cell>
        </row>
        <row r="134">
          <cell r="K134" t="str">
            <v>Tulangbawang</v>
          </cell>
          <cell r="L134">
            <v>74.94</v>
          </cell>
          <cell r="M134">
            <v>67.69</v>
          </cell>
          <cell r="N134">
            <v>70.66</v>
          </cell>
        </row>
        <row r="135">
          <cell r="K135" t="str">
            <v>Pesawaran</v>
          </cell>
          <cell r="L135">
            <v>73.53</v>
          </cell>
          <cell r="M135">
            <v>64.94</v>
          </cell>
          <cell r="N135">
            <v>68.52</v>
          </cell>
        </row>
        <row r="136">
          <cell r="K136" t="str">
            <v>Pringsewu</v>
          </cell>
          <cell r="L136">
            <v>76.62</v>
          </cell>
          <cell r="M136">
            <v>71.28</v>
          </cell>
          <cell r="N136">
            <v>72.290000000000006</v>
          </cell>
        </row>
        <row r="137">
          <cell r="K137" t="str">
            <v>Mesuji</v>
          </cell>
          <cell r="L137">
            <v>70.650000000000006</v>
          </cell>
          <cell r="M137">
            <v>60.13</v>
          </cell>
          <cell r="N137">
            <v>66.459999999999994</v>
          </cell>
        </row>
        <row r="138">
          <cell r="K138" t="str">
            <v>Tulang Bawang Barat</v>
          </cell>
          <cell r="L138">
            <v>72.3</v>
          </cell>
          <cell r="M138">
            <v>64.42</v>
          </cell>
          <cell r="N138">
            <v>68.459999999999994</v>
          </cell>
        </row>
        <row r="139">
          <cell r="K139" t="str">
            <v>Pesisir Barat</v>
          </cell>
          <cell r="L139">
            <v>69.36</v>
          </cell>
          <cell r="M139">
            <v>65.53</v>
          </cell>
          <cell r="N139">
            <v>66.73</v>
          </cell>
        </row>
        <row r="140">
          <cell r="K140" t="str">
            <v>Kota Bandar Lampung</v>
          </cell>
          <cell r="L140">
            <v>82.91</v>
          </cell>
          <cell r="M140">
            <v>78.069999999999993</v>
          </cell>
          <cell r="N140">
            <v>79.19</v>
          </cell>
        </row>
        <row r="141">
          <cell r="K141" t="str">
            <v>Kota Metro</v>
          </cell>
          <cell r="L141">
            <v>81.53</v>
          </cell>
          <cell r="M141">
            <v>78.260000000000005</v>
          </cell>
          <cell r="N141">
            <v>78.930000000000007</v>
          </cell>
        </row>
        <row r="142">
          <cell r="K142" t="str">
            <v>Bangka</v>
          </cell>
          <cell r="L142">
            <v>78.25</v>
          </cell>
          <cell r="M142">
            <v>69.7</v>
          </cell>
          <cell r="N142">
            <v>73.98</v>
          </cell>
        </row>
        <row r="143">
          <cell r="K143" t="str">
            <v>Belitung</v>
          </cell>
          <cell r="L143">
            <v>78.069999999999993</v>
          </cell>
          <cell r="M143">
            <v>70.03</v>
          </cell>
          <cell r="N143">
            <v>74.47</v>
          </cell>
        </row>
        <row r="144">
          <cell r="K144" t="str">
            <v>Bangka Barat</v>
          </cell>
          <cell r="L144">
            <v>75.150000000000006</v>
          </cell>
          <cell r="M144">
            <v>67.900000000000006</v>
          </cell>
          <cell r="N144">
            <v>70.67</v>
          </cell>
        </row>
        <row r="145">
          <cell r="K145" t="str">
            <v>Bangka Tengah</v>
          </cell>
          <cell r="L145">
            <v>75.95</v>
          </cell>
          <cell r="M145">
            <v>69.84</v>
          </cell>
          <cell r="N145">
            <v>71.900000000000006</v>
          </cell>
        </row>
        <row r="146">
          <cell r="K146" t="str">
            <v>Bangka Selatan</v>
          </cell>
          <cell r="L146">
            <v>73.3</v>
          </cell>
          <cell r="M146">
            <v>62.49</v>
          </cell>
          <cell r="N146">
            <v>68.86</v>
          </cell>
        </row>
        <row r="147">
          <cell r="K147" t="str">
            <v>Belitung Timur</v>
          </cell>
          <cell r="L147">
            <v>77.400000000000006</v>
          </cell>
          <cell r="M147">
            <v>67.87</v>
          </cell>
          <cell r="N147">
            <v>73.19</v>
          </cell>
        </row>
        <row r="148">
          <cell r="K148" t="str">
            <v>Kota Pangkal Pinang</v>
          </cell>
          <cell r="L148">
            <v>84.32</v>
          </cell>
          <cell r="M148">
            <v>79.11</v>
          </cell>
          <cell r="N148">
            <v>80.400000000000006</v>
          </cell>
        </row>
        <row r="149">
          <cell r="K149" t="str">
            <v>Karimun</v>
          </cell>
          <cell r="L149">
            <v>78.59</v>
          </cell>
          <cell r="M149">
            <v>72</v>
          </cell>
          <cell r="N149">
            <v>74.28</v>
          </cell>
        </row>
        <row r="150">
          <cell r="K150" t="str">
            <v>Bintan</v>
          </cell>
          <cell r="L150">
            <v>79.94</v>
          </cell>
          <cell r="M150">
            <v>75.180000000000007</v>
          </cell>
          <cell r="N150">
            <v>76.180000000000007</v>
          </cell>
        </row>
        <row r="151">
          <cell r="K151" t="str">
            <v>Natuna</v>
          </cell>
          <cell r="L151">
            <v>78.349999999999994</v>
          </cell>
          <cell r="M151">
            <v>71.94</v>
          </cell>
          <cell r="N151">
            <v>74.56</v>
          </cell>
        </row>
        <row r="152">
          <cell r="K152" t="str">
            <v>Lingga</v>
          </cell>
          <cell r="L152">
            <v>72.290000000000006</v>
          </cell>
          <cell r="M152">
            <v>65.87</v>
          </cell>
          <cell r="N152">
            <v>68.19</v>
          </cell>
        </row>
        <row r="153">
          <cell r="K153" t="str">
            <v>Kepulauan Anambas</v>
          </cell>
          <cell r="L153">
            <v>74.72</v>
          </cell>
          <cell r="M153">
            <v>68.430000000000007</v>
          </cell>
          <cell r="N153">
            <v>70.930000000000007</v>
          </cell>
        </row>
        <row r="154">
          <cell r="K154" t="str">
            <v>Kota Batam</v>
          </cell>
          <cell r="L154">
            <v>85.69</v>
          </cell>
          <cell r="M154">
            <v>82.02</v>
          </cell>
          <cell r="N154">
            <v>82.86</v>
          </cell>
        </row>
        <row r="155">
          <cell r="K155" t="str">
            <v>Kota Tanjung Pinang</v>
          </cell>
          <cell r="L155">
            <v>82.9</v>
          </cell>
          <cell r="M155">
            <v>80.430000000000007</v>
          </cell>
          <cell r="N155">
            <v>80.63</v>
          </cell>
        </row>
        <row r="156">
          <cell r="K156" t="str">
            <v>Kep. Seribu</v>
          </cell>
          <cell r="L156">
            <v>78.16</v>
          </cell>
          <cell r="M156">
            <v>73.17</v>
          </cell>
          <cell r="N156">
            <v>74.17</v>
          </cell>
        </row>
        <row r="157">
          <cell r="K157" t="str">
            <v>Kota Jakarta Selatan</v>
          </cell>
          <cell r="L157">
            <v>88.3</v>
          </cell>
          <cell r="M157">
            <v>85.92</v>
          </cell>
          <cell r="N157">
            <v>86.94</v>
          </cell>
        </row>
        <row r="158">
          <cell r="K158" t="str">
            <v>Kota Jakarta Timur</v>
          </cell>
          <cell r="L158">
            <v>87.57</v>
          </cell>
          <cell r="M158">
            <v>83.98</v>
          </cell>
          <cell r="N158">
            <v>84.65</v>
          </cell>
        </row>
        <row r="159">
          <cell r="K159" t="str">
            <v>Kota Jakarta Pusat</v>
          </cell>
          <cell r="L159">
            <v>85.26</v>
          </cell>
          <cell r="M159">
            <v>82.05</v>
          </cell>
          <cell r="N159">
            <v>83.01</v>
          </cell>
        </row>
        <row r="160">
          <cell r="K160" t="str">
            <v>Kota Jakarta Barat</v>
          </cell>
          <cell r="L160">
            <v>85.98</v>
          </cell>
          <cell r="M160">
            <v>82.25</v>
          </cell>
          <cell r="N160">
            <v>83.64</v>
          </cell>
        </row>
        <row r="161">
          <cell r="K161" t="str">
            <v>Kota Jakarta Utara</v>
          </cell>
          <cell r="L161">
            <v>85.24</v>
          </cell>
          <cell r="M161">
            <v>80.489999999999995</v>
          </cell>
          <cell r="N161">
            <v>81.39</v>
          </cell>
        </row>
        <row r="162">
          <cell r="K162" t="str">
            <v>Bogor</v>
          </cell>
          <cell r="L162">
            <v>77.040000000000006</v>
          </cell>
          <cell r="M162">
            <v>69.47</v>
          </cell>
          <cell r="N162">
            <v>72.39</v>
          </cell>
        </row>
        <row r="163">
          <cell r="K163" t="str">
            <v>Sukabumi</v>
          </cell>
          <cell r="L163">
            <v>73.88</v>
          </cell>
          <cell r="M163">
            <v>65.45</v>
          </cell>
          <cell r="N163">
            <v>68.97</v>
          </cell>
        </row>
        <row r="164">
          <cell r="K164" t="str">
            <v>Cianjur</v>
          </cell>
          <cell r="L164">
            <v>71.599999999999994</v>
          </cell>
          <cell r="M164">
            <v>61.18</v>
          </cell>
          <cell r="N164">
            <v>67.239999999999995</v>
          </cell>
        </row>
        <row r="165">
          <cell r="K165" t="str">
            <v>Bandung</v>
          </cell>
          <cell r="L165">
            <v>77.16</v>
          </cell>
          <cell r="M165">
            <v>72.709999999999994</v>
          </cell>
          <cell r="N165">
            <v>74.27</v>
          </cell>
        </row>
        <row r="166">
          <cell r="K166" t="str">
            <v>Garut</v>
          </cell>
          <cell r="L166">
            <v>73.16</v>
          </cell>
          <cell r="M166">
            <v>61.09</v>
          </cell>
          <cell r="N166">
            <v>68.790000000000006</v>
          </cell>
        </row>
        <row r="167">
          <cell r="K167" t="str">
            <v>Tasikmalaya</v>
          </cell>
          <cell r="L167">
            <v>72.92</v>
          </cell>
          <cell r="M167">
            <v>63.51</v>
          </cell>
          <cell r="N167">
            <v>68.36</v>
          </cell>
        </row>
        <row r="168">
          <cell r="K168" t="str">
            <v>Ciamis</v>
          </cell>
          <cell r="L168">
            <v>77.790000000000006</v>
          </cell>
          <cell r="M168">
            <v>68.05</v>
          </cell>
          <cell r="N168">
            <v>72.56</v>
          </cell>
        </row>
        <row r="169">
          <cell r="K169" t="str">
            <v>Kuningan</v>
          </cell>
          <cell r="L169">
            <v>76.48</v>
          </cell>
          <cell r="M169">
            <v>66.959999999999994</v>
          </cell>
          <cell r="N169">
            <v>71.260000000000005</v>
          </cell>
        </row>
        <row r="170">
          <cell r="K170" t="str">
            <v>Cirebon</v>
          </cell>
          <cell r="L170">
            <v>76.040000000000006</v>
          </cell>
          <cell r="M170">
            <v>64.44</v>
          </cell>
          <cell r="N170">
            <v>71.44</v>
          </cell>
        </row>
        <row r="171">
          <cell r="K171" t="str">
            <v>Majalengka</v>
          </cell>
          <cell r="L171">
            <v>74.150000000000006</v>
          </cell>
          <cell r="M171">
            <v>64.63</v>
          </cell>
          <cell r="N171">
            <v>69.739999999999995</v>
          </cell>
        </row>
        <row r="172">
          <cell r="K172" t="str">
            <v>Sumedang</v>
          </cell>
          <cell r="L172">
            <v>76.89</v>
          </cell>
          <cell r="M172">
            <v>73.47</v>
          </cell>
          <cell r="N172">
            <v>73.73</v>
          </cell>
        </row>
        <row r="173">
          <cell r="K173" t="str">
            <v>Indramayu</v>
          </cell>
          <cell r="L173">
            <v>74.099999999999994</v>
          </cell>
          <cell r="M173">
            <v>65.97</v>
          </cell>
          <cell r="N173">
            <v>69.83</v>
          </cell>
        </row>
        <row r="174">
          <cell r="K174" t="str">
            <v>Subang</v>
          </cell>
          <cell r="L174">
            <v>74.95</v>
          </cell>
          <cell r="M174">
            <v>68.62</v>
          </cell>
          <cell r="N174">
            <v>71.36</v>
          </cell>
        </row>
        <row r="175">
          <cell r="K175" t="str">
            <v>Purwakarta</v>
          </cell>
          <cell r="L175">
            <v>77.55</v>
          </cell>
          <cell r="M175">
            <v>67.61</v>
          </cell>
          <cell r="N175">
            <v>72.650000000000006</v>
          </cell>
        </row>
        <row r="176">
          <cell r="K176" t="str">
            <v>Karawang</v>
          </cell>
          <cell r="L176">
            <v>76.540000000000006</v>
          </cell>
          <cell r="M176">
            <v>69.83</v>
          </cell>
          <cell r="N176">
            <v>72.900000000000006</v>
          </cell>
        </row>
        <row r="177">
          <cell r="K177" t="str">
            <v>Bekasi</v>
          </cell>
          <cell r="L177">
            <v>80.77</v>
          </cell>
          <cell r="M177">
            <v>72.47</v>
          </cell>
          <cell r="N177">
            <v>76.44</v>
          </cell>
        </row>
        <row r="178">
          <cell r="K178" t="str">
            <v>Bandung Barat</v>
          </cell>
          <cell r="L178">
            <v>74.91</v>
          </cell>
          <cell r="M178">
            <v>60.69</v>
          </cell>
          <cell r="N178">
            <v>70.03</v>
          </cell>
        </row>
        <row r="179">
          <cell r="K179" t="str">
            <v>Pangandaran</v>
          </cell>
          <cell r="L179">
            <v>74</v>
          </cell>
          <cell r="M179">
            <v>66.88</v>
          </cell>
          <cell r="N179">
            <v>69.849999999999994</v>
          </cell>
        </row>
        <row r="180">
          <cell r="K180" t="str">
            <v>Kota Bogor</v>
          </cell>
          <cell r="L180">
            <v>83.1</v>
          </cell>
          <cell r="M180">
            <v>75.84</v>
          </cell>
          <cell r="N180">
            <v>78.52</v>
          </cell>
        </row>
        <row r="181">
          <cell r="K181" t="str">
            <v>Kota Sukabumi</v>
          </cell>
          <cell r="L181">
            <v>81.489999999999995</v>
          </cell>
          <cell r="M181">
            <v>75.45</v>
          </cell>
          <cell r="N181">
            <v>76.849999999999994</v>
          </cell>
        </row>
        <row r="182">
          <cell r="K182" t="str">
            <v>Kota Bandung</v>
          </cell>
          <cell r="L182">
            <v>86.94</v>
          </cell>
          <cell r="M182">
            <v>82.48</v>
          </cell>
          <cell r="N182">
            <v>83.52</v>
          </cell>
        </row>
        <row r="183">
          <cell r="K183" t="str">
            <v>Kota Cirebon</v>
          </cell>
          <cell r="L183">
            <v>79.95</v>
          </cell>
          <cell r="M183">
            <v>76.62</v>
          </cell>
          <cell r="N183">
            <v>77.08</v>
          </cell>
        </row>
        <row r="184">
          <cell r="K184" t="str">
            <v>Kota Bekasi</v>
          </cell>
          <cell r="L184">
            <v>87.84</v>
          </cell>
          <cell r="M184">
            <v>82.24</v>
          </cell>
          <cell r="N184">
            <v>83.54</v>
          </cell>
        </row>
        <row r="185">
          <cell r="K185" t="str">
            <v>Kota Depok</v>
          </cell>
          <cell r="L185">
            <v>86.99</v>
          </cell>
          <cell r="M185">
            <v>81.510000000000005</v>
          </cell>
          <cell r="N185">
            <v>82.91</v>
          </cell>
        </row>
        <row r="186">
          <cell r="K186" t="str">
            <v>Kota Cimahi</v>
          </cell>
          <cell r="L186">
            <v>84.21</v>
          </cell>
          <cell r="M186">
            <v>77.709999999999994</v>
          </cell>
          <cell r="N186">
            <v>80.08</v>
          </cell>
        </row>
        <row r="187">
          <cell r="K187" t="str">
            <v>Kota Tasikmalaya</v>
          </cell>
          <cell r="L187">
            <v>78.11</v>
          </cell>
          <cell r="M187">
            <v>72.03</v>
          </cell>
          <cell r="N187">
            <v>75.040000000000006</v>
          </cell>
        </row>
        <row r="188">
          <cell r="K188" t="str">
            <v>Kota Banjar</v>
          </cell>
          <cell r="L188">
            <v>78.540000000000006</v>
          </cell>
          <cell r="M188">
            <v>69.209999999999994</v>
          </cell>
          <cell r="N188">
            <v>73.64</v>
          </cell>
        </row>
        <row r="189">
          <cell r="K189" t="str">
            <v>Cilacap</v>
          </cell>
          <cell r="L189">
            <v>77.3</v>
          </cell>
          <cell r="M189">
            <v>67.569999999999993</v>
          </cell>
          <cell r="N189">
            <v>72.38</v>
          </cell>
        </row>
        <row r="190">
          <cell r="K190" t="str">
            <v>Banyumas</v>
          </cell>
          <cell r="L190">
            <v>78.58</v>
          </cell>
          <cell r="M190">
            <v>70.150000000000006</v>
          </cell>
          <cell r="N190">
            <v>74.52</v>
          </cell>
        </row>
        <row r="191">
          <cell r="K191" t="str">
            <v>Purbalingga</v>
          </cell>
          <cell r="L191">
            <v>74.23</v>
          </cell>
          <cell r="M191">
            <v>69.58</v>
          </cell>
          <cell r="N191">
            <v>70.69</v>
          </cell>
        </row>
        <row r="192">
          <cell r="K192" t="str">
            <v>Banjarnegara</v>
          </cell>
          <cell r="L192">
            <v>71.56</v>
          </cell>
          <cell r="M192">
            <v>68.12</v>
          </cell>
          <cell r="N192">
            <v>69.599999999999994</v>
          </cell>
        </row>
        <row r="193">
          <cell r="K193" t="str">
            <v>Kebumen</v>
          </cell>
          <cell r="L193">
            <v>75.53</v>
          </cell>
          <cell r="M193">
            <v>70.55</v>
          </cell>
          <cell r="N193">
            <v>71.930000000000007</v>
          </cell>
        </row>
        <row r="194">
          <cell r="K194" t="str">
            <v>Purworejo</v>
          </cell>
          <cell r="L194">
            <v>77.55</v>
          </cell>
          <cell r="M194">
            <v>73.760000000000005</v>
          </cell>
          <cell r="N194">
            <v>75.11</v>
          </cell>
        </row>
        <row r="195">
          <cell r="K195" t="str">
            <v>Wonosobo</v>
          </cell>
          <cell r="L195">
            <v>73.209999999999994</v>
          </cell>
          <cell r="M195">
            <v>68.099999999999994</v>
          </cell>
          <cell r="N195">
            <v>69.819999999999993</v>
          </cell>
        </row>
        <row r="196">
          <cell r="K196" t="str">
            <v>Magelang</v>
          </cell>
          <cell r="L196">
            <v>76.349999999999994</v>
          </cell>
          <cell r="M196">
            <v>70.67</v>
          </cell>
          <cell r="N196">
            <v>71.989999999999995</v>
          </cell>
        </row>
        <row r="197">
          <cell r="K197" t="str">
            <v>Boyolali</v>
          </cell>
          <cell r="L197">
            <v>79.650000000000006</v>
          </cell>
          <cell r="M197">
            <v>75.5</v>
          </cell>
          <cell r="N197">
            <v>75.959999999999994</v>
          </cell>
        </row>
        <row r="198">
          <cell r="K198" t="str">
            <v>Klaten</v>
          </cell>
          <cell r="L198">
            <v>80.27</v>
          </cell>
          <cell r="M198">
            <v>76.98</v>
          </cell>
          <cell r="N198">
            <v>78.16</v>
          </cell>
        </row>
        <row r="199">
          <cell r="K199" t="str">
            <v>Sukoharjo</v>
          </cell>
          <cell r="L199">
            <v>80.64</v>
          </cell>
          <cell r="M199">
            <v>79.09</v>
          </cell>
          <cell r="N199">
            <v>79.3</v>
          </cell>
        </row>
        <row r="200">
          <cell r="K200" t="str">
            <v>Wonogiri</v>
          </cell>
          <cell r="L200">
            <v>76.489999999999995</v>
          </cell>
          <cell r="M200">
            <v>70.66</v>
          </cell>
          <cell r="N200">
            <v>72.55</v>
          </cell>
        </row>
        <row r="201">
          <cell r="K201" t="str">
            <v>Karanganyar</v>
          </cell>
          <cell r="L201">
            <v>79.22</v>
          </cell>
          <cell r="M201">
            <v>76.97</v>
          </cell>
          <cell r="N201">
            <v>78.11</v>
          </cell>
        </row>
        <row r="202">
          <cell r="K202" t="str">
            <v>Sragen</v>
          </cell>
          <cell r="L202">
            <v>79.44</v>
          </cell>
          <cell r="M202">
            <v>73.58</v>
          </cell>
          <cell r="N202">
            <v>75.53</v>
          </cell>
        </row>
        <row r="203">
          <cell r="K203" t="str">
            <v>Grobogan</v>
          </cell>
          <cell r="L203">
            <v>78.45</v>
          </cell>
          <cell r="M203">
            <v>67.819999999999993</v>
          </cell>
          <cell r="N203">
            <v>72.02</v>
          </cell>
        </row>
        <row r="204">
          <cell r="K204" t="str">
            <v>Blora</v>
          </cell>
          <cell r="L204">
            <v>76.459999999999994</v>
          </cell>
          <cell r="M204">
            <v>65.67</v>
          </cell>
          <cell r="N204">
            <v>71.39</v>
          </cell>
        </row>
        <row r="205">
          <cell r="K205" t="str">
            <v>Rembang</v>
          </cell>
          <cell r="L205">
            <v>77.09</v>
          </cell>
          <cell r="M205">
            <v>67.86</v>
          </cell>
          <cell r="N205">
            <v>72.53</v>
          </cell>
        </row>
        <row r="206">
          <cell r="K206" t="str">
            <v>Pati</v>
          </cell>
          <cell r="L206">
            <v>78.540000000000006</v>
          </cell>
          <cell r="M206">
            <v>72.69</v>
          </cell>
          <cell r="N206">
            <v>74.099999999999994</v>
          </cell>
        </row>
        <row r="207">
          <cell r="K207" t="str">
            <v>Kudus</v>
          </cell>
          <cell r="L207">
            <v>80.790000000000006</v>
          </cell>
          <cell r="M207">
            <v>75.95</v>
          </cell>
          <cell r="N207">
            <v>77.22</v>
          </cell>
        </row>
        <row r="208">
          <cell r="K208" t="str">
            <v>Jepara</v>
          </cell>
          <cell r="L208">
            <v>78.260000000000005</v>
          </cell>
          <cell r="M208">
            <v>71.77</v>
          </cell>
          <cell r="N208">
            <v>74.319999999999993</v>
          </cell>
        </row>
        <row r="209">
          <cell r="K209" t="str">
            <v>Demak</v>
          </cell>
          <cell r="L209">
            <v>79.209999999999994</v>
          </cell>
          <cell r="M209">
            <v>72.28</v>
          </cell>
          <cell r="N209">
            <v>74.569999999999993</v>
          </cell>
        </row>
        <row r="210">
          <cell r="K210" t="str">
            <v>Semarang</v>
          </cell>
          <cell r="L210">
            <v>77.5</v>
          </cell>
          <cell r="M210">
            <v>74.97</v>
          </cell>
          <cell r="N210">
            <v>75.67</v>
          </cell>
        </row>
        <row r="211">
          <cell r="K211" t="str">
            <v>Temanggung</v>
          </cell>
          <cell r="L211">
            <v>73.900000000000006</v>
          </cell>
          <cell r="M211">
            <v>71.14</v>
          </cell>
          <cell r="N211">
            <v>71.87</v>
          </cell>
        </row>
        <row r="212">
          <cell r="K212" t="str">
            <v>Kendal</v>
          </cell>
          <cell r="L212">
            <v>77.540000000000006</v>
          </cell>
          <cell r="M212">
            <v>73.150000000000006</v>
          </cell>
          <cell r="N212">
            <v>74.34</v>
          </cell>
        </row>
        <row r="213">
          <cell r="K213" t="str">
            <v>Batang</v>
          </cell>
          <cell r="L213">
            <v>74.45</v>
          </cell>
          <cell r="M213">
            <v>69</v>
          </cell>
          <cell r="N213">
            <v>70.739999999999995</v>
          </cell>
        </row>
        <row r="214">
          <cell r="K214" t="str">
            <v>Pekalongan</v>
          </cell>
          <cell r="L214">
            <v>75.45</v>
          </cell>
          <cell r="M214">
            <v>70.14</v>
          </cell>
          <cell r="N214">
            <v>71.84</v>
          </cell>
        </row>
        <row r="215">
          <cell r="K215" t="str">
            <v>Pemalang</v>
          </cell>
          <cell r="L215">
            <v>73.48</v>
          </cell>
          <cell r="M215">
            <v>64.2</v>
          </cell>
          <cell r="N215">
            <v>68.55</v>
          </cell>
        </row>
        <row r="216">
          <cell r="K216" t="str">
            <v>Tegal</v>
          </cell>
          <cell r="L216">
            <v>75.7</v>
          </cell>
          <cell r="M216">
            <v>67.260000000000005</v>
          </cell>
          <cell r="N216">
            <v>70.77</v>
          </cell>
        </row>
        <row r="217">
          <cell r="K217" t="str">
            <v>Brebes</v>
          </cell>
          <cell r="L217">
            <v>72.95</v>
          </cell>
          <cell r="M217">
            <v>63.91</v>
          </cell>
          <cell r="N217">
            <v>68.459999999999994</v>
          </cell>
        </row>
        <row r="218">
          <cell r="K218" t="str">
            <v>Kota Magelang</v>
          </cell>
          <cell r="L218">
            <v>84.08</v>
          </cell>
          <cell r="M218">
            <v>81.33</v>
          </cell>
          <cell r="N218">
            <v>82.15</v>
          </cell>
        </row>
        <row r="219">
          <cell r="K219" t="str">
            <v>Kota Surakarta</v>
          </cell>
          <cell r="L219">
            <v>85.28</v>
          </cell>
          <cell r="M219">
            <v>83.18</v>
          </cell>
          <cell r="N219">
            <v>84.4</v>
          </cell>
        </row>
        <row r="220">
          <cell r="K220" t="str">
            <v>Kota Salatiga</v>
          </cell>
          <cell r="L220">
            <v>88.76</v>
          </cell>
          <cell r="M220">
            <v>84.85</v>
          </cell>
          <cell r="N220">
            <v>85.72</v>
          </cell>
        </row>
        <row r="221">
          <cell r="K221" t="str">
            <v>Kota Semarang</v>
          </cell>
          <cell r="L221">
            <v>87.03</v>
          </cell>
          <cell r="M221">
            <v>83.87</v>
          </cell>
          <cell r="N221">
            <v>85.25</v>
          </cell>
        </row>
        <row r="222">
          <cell r="K222" t="str">
            <v>Kota Pekalongan</v>
          </cell>
          <cell r="L222">
            <v>80.150000000000006</v>
          </cell>
          <cell r="M222">
            <v>76.59</v>
          </cell>
          <cell r="N222">
            <v>77.22</v>
          </cell>
        </row>
        <row r="223">
          <cell r="K223" t="str">
            <v>Kota Tegal</v>
          </cell>
          <cell r="L223">
            <v>81.17</v>
          </cell>
          <cell r="M223">
            <v>76.260000000000005</v>
          </cell>
          <cell r="N223">
            <v>77.430000000000007</v>
          </cell>
        </row>
        <row r="224">
          <cell r="K224" t="str">
            <v>Kulon Progo</v>
          </cell>
          <cell r="L224">
            <v>79.55</v>
          </cell>
          <cell r="M224">
            <v>75.8</v>
          </cell>
          <cell r="N224">
            <v>76.14</v>
          </cell>
        </row>
        <row r="225">
          <cell r="K225" t="str">
            <v>Bantul</v>
          </cell>
          <cell r="L225">
            <v>84.22</v>
          </cell>
          <cell r="M225">
            <v>80.569999999999993</v>
          </cell>
          <cell r="N225">
            <v>81.739999999999995</v>
          </cell>
        </row>
        <row r="226">
          <cell r="K226" t="str">
            <v>Gunung Kidul</v>
          </cell>
          <cell r="L226">
            <v>77.739999999999995</v>
          </cell>
          <cell r="M226">
            <v>67.38</v>
          </cell>
          <cell r="N226">
            <v>71.89</v>
          </cell>
        </row>
        <row r="227">
          <cell r="K227" t="str">
            <v>Sleman</v>
          </cell>
          <cell r="L227">
            <v>87.28</v>
          </cell>
          <cell r="M227">
            <v>84.24</v>
          </cell>
          <cell r="N227">
            <v>85.61</v>
          </cell>
        </row>
        <row r="228">
          <cell r="K228" t="str">
            <v>Kota Yogyakarta</v>
          </cell>
          <cell r="L228">
            <v>89.3</v>
          </cell>
          <cell r="M228">
            <v>88.09</v>
          </cell>
          <cell r="N228">
            <v>88.77</v>
          </cell>
        </row>
        <row r="229">
          <cell r="K229" t="str">
            <v>Pacitan</v>
          </cell>
          <cell r="L229">
            <v>75.75</v>
          </cell>
          <cell r="M229">
            <v>65.489999999999995</v>
          </cell>
          <cell r="N229">
            <v>70.739999999999995</v>
          </cell>
        </row>
        <row r="230">
          <cell r="K230" t="str">
            <v>Ponorogo</v>
          </cell>
          <cell r="L230">
            <v>76.099999999999994</v>
          </cell>
          <cell r="M230">
            <v>71.989999999999995</v>
          </cell>
          <cell r="N230">
            <v>73.010000000000005</v>
          </cell>
        </row>
        <row r="231">
          <cell r="K231" t="str">
            <v>Trenggalek</v>
          </cell>
          <cell r="L231">
            <v>76.819999999999993</v>
          </cell>
          <cell r="M231">
            <v>71.2</v>
          </cell>
          <cell r="N231">
            <v>72.239999999999995</v>
          </cell>
        </row>
        <row r="232">
          <cell r="K232" t="str">
            <v>Tulungagung</v>
          </cell>
          <cell r="L232">
            <v>77.97</v>
          </cell>
          <cell r="M232">
            <v>74.510000000000005</v>
          </cell>
          <cell r="N232">
            <v>75.09</v>
          </cell>
        </row>
        <row r="233">
          <cell r="K233" t="str">
            <v>Blitar</v>
          </cell>
          <cell r="L233">
            <v>76.75</v>
          </cell>
          <cell r="M233">
            <v>71.88</v>
          </cell>
          <cell r="N233">
            <v>73.09</v>
          </cell>
        </row>
        <row r="234">
          <cell r="K234" t="str">
            <v>Kediri</v>
          </cell>
          <cell r="L234">
            <v>78.33</v>
          </cell>
          <cell r="M234">
            <v>73.17</v>
          </cell>
          <cell r="N234">
            <v>74.44</v>
          </cell>
        </row>
        <row r="235">
          <cell r="K235" t="str">
            <v>Malang</v>
          </cell>
          <cell r="L235">
            <v>77.08</v>
          </cell>
          <cell r="M235">
            <v>68.53</v>
          </cell>
          <cell r="N235">
            <v>72.680000000000007</v>
          </cell>
        </row>
        <row r="236">
          <cell r="K236" t="str">
            <v>Lumajang</v>
          </cell>
          <cell r="L236">
            <v>73.569999999999993</v>
          </cell>
          <cell r="M236">
            <v>65.790000000000006</v>
          </cell>
          <cell r="N236">
            <v>68.8</v>
          </cell>
        </row>
        <row r="237">
          <cell r="K237" t="str">
            <v>Jember</v>
          </cell>
          <cell r="L237">
            <v>74.510000000000005</v>
          </cell>
          <cell r="M237">
            <v>63.92</v>
          </cell>
          <cell r="N237">
            <v>69.150000000000006</v>
          </cell>
        </row>
        <row r="238">
          <cell r="K238" t="str">
            <v>Banyuwangi</v>
          </cell>
          <cell r="L238">
            <v>77.8</v>
          </cell>
          <cell r="M238">
            <v>68.13</v>
          </cell>
          <cell r="N238">
            <v>73.11</v>
          </cell>
        </row>
        <row r="239">
          <cell r="K239" t="str">
            <v>Bondowoso</v>
          </cell>
          <cell r="L239">
            <v>72.91</v>
          </cell>
          <cell r="M239">
            <v>66.510000000000005</v>
          </cell>
          <cell r="N239">
            <v>68.650000000000006</v>
          </cell>
        </row>
        <row r="240">
          <cell r="K240" t="str">
            <v>Situbondo</v>
          </cell>
          <cell r="L240">
            <v>75.28</v>
          </cell>
          <cell r="M240">
            <v>66.040000000000006</v>
          </cell>
          <cell r="N240">
            <v>69.75</v>
          </cell>
        </row>
        <row r="241">
          <cell r="K241" t="str">
            <v>Probolinggo</v>
          </cell>
          <cell r="L241">
            <v>73.459999999999994</v>
          </cell>
          <cell r="M241">
            <v>63.64</v>
          </cell>
          <cell r="N241">
            <v>68.290000000000006</v>
          </cell>
        </row>
        <row r="242">
          <cell r="K242" t="str">
            <v>Pasuruan</v>
          </cell>
          <cell r="L242">
            <v>74.760000000000005</v>
          </cell>
          <cell r="M242">
            <v>68.16</v>
          </cell>
          <cell r="N242">
            <v>70.73</v>
          </cell>
        </row>
        <row r="243">
          <cell r="K243" t="str">
            <v>Sidoarjo</v>
          </cell>
          <cell r="L243">
            <v>85.9</v>
          </cell>
          <cell r="M243">
            <v>81.52</v>
          </cell>
          <cell r="N243">
            <v>82.31</v>
          </cell>
        </row>
        <row r="244">
          <cell r="K244" t="str">
            <v>Mojokerto</v>
          </cell>
          <cell r="L244">
            <v>80.28</v>
          </cell>
          <cell r="M244">
            <v>73.73</v>
          </cell>
          <cell r="N244">
            <v>75.98</v>
          </cell>
        </row>
        <row r="245">
          <cell r="K245" t="str">
            <v>Jombang</v>
          </cell>
          <cell r="L245">
            <v>79.319999999999993</v>
          </cell>
          <cell r="M245">
            <v>72.05</v>
          </cell>
          <cell r="N245">
            <v>75.099999999999994</v>
          </cell>
        </row>
        <row r="246">
          <cell r="K246" t="str">
            <v>Nganjuk</v>
          </cell>
          <cell r="L246">
            <v>78.31</v>
          </cell>
          <cell r="M246">
            <v>73.75</v>
          </cell>
          <cell r="N246">
            <v>74.23</v>
          </cell>
        </row>
        <row r="247">
          <cell r="K247" t="str">
            <v>Madiun</v>
          </cell>
          <cell r="L247">
            <v>77.430000000000007</v>
          </cell>
          <cell r="M247">
            <v>71.66</v>
          </cell>
          <cell r="N247">
            <v>73.739999999999995</v>
          </cell>
        </row>
        <row r="248">
          <cell r="K248" t="str">
            <v>Magetan</v>
          </cell>
          <cell r="L248">
            <v>79.52</v>
          </cell>
          <cell r="M248">
            <v>75.040000000000006</v>
          </cell>
          <cell r="N248">
            <v>75.87</v>
          </cell>
        </row>
        <row r="249">
          <cell r="K249" t="str">
            <v>Ngawi</v>
          </cell>
          <cell r="L249">
            <v>76.86</v>
          </cell>
          <cell r="M249">
            <v>71.58</v>
          </cell>
          <cell r="N249">
            <v>73.09</v>
          </cell>
        </row>
        <row r="250">
          <cell r="K250" t="str">
            <v>Bojonegoro</v>
          </cell>
          <cell r="L250">
            <v>75.8</v>
          </cell>
          <cell r="M250">
            <v>69.31</v>
          </cell>
          <cell r="N250">
            <v>71.78</v>
          </cell>
        </row>
        <row r="251">
          <cell r="K251" t="str">
            <v>Tuban</v>
          </cell>
          <cell r="L251">
            <v>76.03</v>
          </cell>
          <cell r="M251">
            <v>67.52</v>
          </cell>
          <cell r="N251">
            <v>71.23</v>
          </cell>
        </row>
        <row r="252">
          <cell r="K252" t="str">
            <v>Lamongan</v>
          </cell>
          <cell r="L252">
            <v>79.36</v>
          </cell>
          <cell r="M252">
            <v>71.510000000000005</v>
          </cell>
          <cell r="N252">
            <v>75.13</v>
          </cell>
        </row>
        <row r="253">
          <cell r="K253" t="str">
            <v>Gresik</v>
          </cell>
          <cell r="L253">
            <v>82.96</v>
          </cell>
          <cell r="M253">
            <v>75.7</v>
          </cell>
          <cell r="N253">
            <v>78.45</v>
          </cell>
        </row>
        <row r="254">
          <cell r="K254" t="str">
            <v>Bangkalan</v>
          </cell>
          <cell r="L254">
            <v>71.44</v>
          </cell>
          <cell r="M254">
            <v>62.73</v>
          </cell>
          <cell r="N254">
            <v>66.27</v>
          </cell>
        </row>
        <row r="255">
          <cell r="K255" t="str">
            <v>Sampang</v>
          </cell>
          <cell r="L255">
            <v>69.47</v>
          </cell>
          <cell r="M255">
            <v>60.55</v>
          </cell>
          <cell r="N255">
            <v>64.650000000000006</v>
          </cell>
        </row>
        <row r="256">
          <cell r="K256" t="str">
            <v>Pamekasan</v>
          </cell>
          <cell r="L256">
            <v>73.62</v>
          </cell>
          <cell r="M256">
            <v>64.209999999999994</v>
          </cell>
          <cell r="N256">
            <v>68.489999999999995</v>
          </cell>
        </row>
        <row r="257">
          <cell r="K257" t="str">
            <v>Sumenep</v>
          </cell>
          <cell r="L257">
            <v>74.959999999999994</v>
          </cell>
          <cell r="M257">
            <v>61.97</v>
          </cell>
          <cell r="N257">
            <v>69.260000000000005</v>
          </cell>
        </row>
        <row r="258">
          <cell r="K258" t="str">
            <v>Kota Kediri</v>
          </cell>
          <cell r="L258">
            <v>84.7</v>
          </cell>
          <cell r="M258">
            <v>80.28</v>
          </cell>
          <cell r="N258">
            <v>81.349999999999994</v>
          </cell>
        </row>
        <row r="259">
          <cell r="K259" t="str">
            <v>Kota Blitar</v>
          </cell>
          <cell r="L259">
            <v>82.72</v>
          </cell>
          <cell r="M259">
            <v>80.64</v>
          </cell>
          <cell r="N259">
            <v>81.27</v>
          </cell>
        </row>
        <row r="260">
          <cell r="K260" t="str">
            <v>Kota Malang</v>
          </cell>
          <cell r="L260">
            <v>87.06</v>
          </cell>
          <cell r="M260">
            <v>83.49</v>
          </cell>
          <cell r="N260">
            <v>84.06</v>
          </cell>
        </row>
        <row r="261">
          <cell r="K261" t="str">
            <v>Kota Probolinggo</v>
          </cell>
          <cell r="L261">
            <v>77.77</v>
          </cell>
          <cell r="M261">
            <v>75.11</v>
          </cell>
          <cell r="N261">
            <v>76.27</v>
          </cell>
        </row>
        <row r="262">
          <cell r="K262" t="str">
            <v>Kota Pasuruan</v>
          </cell>
          <cell r="L262">
            <v>78.95</v>
          </cell>
          <cell r="M262">
            <v>76.569999999999993</v>
          </cell>
          <cell r="N262">
            <v>77.75</v>
          </cell>
        </row>
        <row r="263">
          <cell r="K263" t="str">
            <v>Kota Mojokerto</v>
          </cell>
          <cell r="L263">
            <v>84.72</v>
          </cell>
          <cell r="M263">
            <v>79.650000000000006</v>
          </cell>
          <cell r="N263">
            <v>80.92</v>
          </cell>
        </row>
        <row r="264">
          <cell r="K264" t="str">
            <v>Kota Madiun</v>
          </cell>
          <cell r="L264">
            <v>87</v>
          </cell>
          <cell r="M264">
            <v>82.88</v>
          </cell>
          <cell r="N264">
            <v>83.48</v>
          </cell>
        </row>
        <row r="265">
          <cell r="K265" t="str">
            <v>Kota Surabaya</v>
          </cell>
          <cell r="L265">
            <v>87.13</v>
          </cell>
          <cell r="M265">
            <v>82.36</v>
          </cell>
          <cell r="N265">
            <v>84.14</v>
          </cell>
        </row>
        <row r="266">
          <cell r="K266" t="str">
            <v>Kota Batu</v>
          </cell>
          <cell r="L266">
            <v>82.85</v>
          </cell>
          <cell r="M266">
            <v>75.28</v>
          </cell>
          <cell r="N266">
            <v>78.790000000000006</v>
          </cell>
        </row>
        <row r="267">
          <cell r="K267" t="str">
            <v>Pandeglang</v>
          </cell>
          <cell r="L267">
            <v>72.069999999999993</v>
          </cell>
          <cell r="M267">
            <v>62.87</v>
          </cell>
          <cell r="N267">
            <v>66.989999999999995</v>
          </cell>
        </row>
        <row r="268">
          <cell r="K268" t="str">
            <v>Lebak</v>
          </cell>
          <cell r="L268">
            <v>70.59</v>
          </cell>
          <cell r="M268">
            <v>57.33</v>
          </cell>
          <cell r="N268">
            <v>65.86</v>
          </cell>
        </row>
        <row r="269">
          <cell r="K269" t="str">
            <v>Tangerang</v>
          </cell>
          <cell r="L269">
            <v>78.31</v>
          </cell>
          <cell r="M269">
            <v>71.8</v>
          </cell>
          <cell r="N269">
            <v>74.09</v>
          </cell>
        </row>
        <row r="270">
          <cell r="K270" t="str">
            <v>Serang</v>
          </cell>
          <cell r="L270">
            <v>73.02</v>
          </cell>
          <cell r="M270">
            <v>67.569999999999993</v>
          </cell>
          <cell r="N270">
            <v>69.03</v>
          </cell>
        </row>
        <row r="271">
          <cell r="K271" t="str">
            <v>Kota Tangerang</v>
          </cell>
          <cell r="L271">
            <v>83.38</v>
          </cell>
          <cell r="M271">
            <v>79.17</v>
          </cell>
          <cell r="N271">
            <v>80.02</v>
          </cell>
        </row>
        <row r="272">
          <cell r="K272" t="str">
            <v>Kota Cilegon</v>
          </cell>
          <cell r="L272">
            <v>79.94</v>
          </cell>
          <cell r="M272">
            <v>70.58</v>
          </cell>
          <cell r="N272">
            <v>75.14</v>
          </cell>
        </row>
        <row r="273">
          <cell r="K273" t="str">
            <v>Kota Serang</v>
          </cell>
          <cell r="L273">
            <v>78.400000000000006</v>
          </cell>
          <cell r="M273">
            <v>72.61</v>
          </cell>
          <cell r="N273">
            <v>73.989999999999995</v>
          </cell>
        </row>
        <row r="274">
          <cell r="K274" t="str">
            <v>Kota Tangerang Selatan</v>
          </cell>
          <cell r="L274">
            <v>86.38</v>
          </cell>
          <cell r="M274">
            <v>81.599999999999994</v>
          </cell>
          <cell r="N274">
            <v>82.89</v>
          </cell>
        </row>
        <row r="275">
          <cell r="K275" t="str">
            <v>Jembrana</v>
          </cell>
          <cell r="L275">
            <v>77.209999999999994</v>
          </cell>
          <cell r="M275">
            <v>73.27</v>
          </cell>
          <cell r="N275">
            <v>74.599999999999994</v>
          </cell>
        </row>
        <row r="276">
          <cell r="K276" t="str">
            <v>Tabanan</v>
          </cell>
          <cell r="L276">
            <v>79.92</v>
          </cell>
          <cell r="M276">
            <v>76.680000000000007</v>
          </cell>
          <cell r="N276">
            <v>78.42</v>
          </cell>
        </row>
        <row r="277">
          <cell r="K277" t="str">
            <v>Badung</v>
          </cell>
          <cell r="L277">
            <v>86.03</v>
          </cell>
          <cell r="M277">
            <v>82.73</v>
          </cell>
          <cell r="N277">
            <v>83.87</v>
          </cell>
        </row>
        <row r="278">
          <cell r="K278" t="str">
            <v>Gianyar</v>
          </cell>
          <cell r="L278">
            <v>82.16</v>
          </cell>
          <cell r="M278">
            <v>78.17</v>
          </cell>
          <cell r="N278">
            <v>79.819999999999993</v>
          </cell>
        </row>
        <row r="279">
          <cell r="K279" t="str">
            <v>Klungkung</v>
          </cell>
          <cell r="L279">
            <v>78.5</v>
          </cell>
          <cell r="M279">
            <v>72.36</v>
          </cell>
          <cell r="N279">
            <v>74.040000000000006</v>
          </cell>
        </row>
        <row r="280">
          <cell r="K280" t="str">
            <v>Bangli</v>
          </cell>
          <cell r="L280">
            <v>75.58</v>
          </cell>
          <cell r="M280">
            <v>69.97</v>
          </cell>
          <cell r="N280">
            <v>71.34</v>
          </cell>
        </row>
        <row r="281">
          <cell r="K281" t="str">
            <v>Karangasem</v>
          </cell>
          <cell r="L281">
            <v>73.849999999999994</v>
          </cell>
          <cell r="M281">
            <v>66.959999999999994</v>
          </cell>
          <cell r="N281">
            <v>69.739999999999995</v>
          </cell>
        </row>
        <row r="282">
          <cell r="K282" t="str">
            <v>Buleleng</v>
          </cell>
          <cell r="L282">
            <v>78.78</v>
          </cell>
          <cell r="M282">
            <v>72.67</v>
          </cell>
          <cell r="N282">
            <v>74.52</v>
          </cell>
        </row>
        <row r="283">
          <cell r="K283" t="str">
            <v>Kota Denpasar</v>
          </cell>
          <cell r="L283">
            <v>86.92</v>
          </cell>
          <cell r="M283">
            <v>84.11</v>
          </cell>
          <cell r="N283">
            <v>85.22</v>
          </cell>
        </row>
        <row r="284">
          <cell r="K284" t="str">
            <v>Lombok Barat</v>
          </cell>
          <cell r="L284">
            <v>75.52</v>
          </cell>
          <cell r="M284">
            <v>68.47</v>
          </cell>
          <cell r="N284">
            <v>70.67</v>
          </cell>
        </row>
        <row r="285">
          <cell r="K285" t="str">
            <v>Lombok Tengah</v>
          </cell>
          <cell r="L285">
            <v>73.900000000000006</v>
          </cell>
          <cell r="M285">
            <v>65.61</v>
          </cell>
          <cell r="N285">
            <v>69.17</v>
          </cell>
        </row>
        <row r="286">
          <cell r="K286" t="str">
            <v>Lombok Timur</v>
          </cell>
          <cell r="L286">
            <v>72.56</v>
          </cell>
          <cell r="M286">
            <v>67.040000000000006</v>
          </cell>
          <cell r="N286">
            <v>69.23</v>
          </cell>
        </row>
        <row r="287">
          <cell r="K287" t="str">
            <v>Sumbawa</v>
          </cell>
          <cell r="L287">
            <v>73.23</v>
          </cell>
          <cell r="M287">
            <v>69.540000000000006</v>
          </cell>
          <cell r="N287">
            <v>70.55</v>
          </cell>
        </row>
        <row r="288">
          <cell r="K288" t="str">
            <v>Dompu</v>
          </cell>
          <cell r="L288">
            <v>75.36</v>
          </cell>
          <cell r="M288">
            <v>68.97</v>
          </cell>
          <cell r="N288">
            <v>70.78</v>
          </cell>
        </row>
        <row r="289">
          <cell r="K289" t="str">
            <v>Bima</v>
          </cell>
          <cell r="L289">
            <v>72.59</v>
          </cell>
          <cell r="M289">
            <v>67.02</v>
          </cell>
          <cell r="N289">
            <v>68.94</v>
          </cell>
        </row>
        <row r="290">
          <cell r="K290" t="str">
            <v>Sumbawa Barat</v>
          </cell>
          <cell r="L290">
            <v>77.45</v>
          </cell>
          <cell r="M290">
            <v>72.5</v>
          </cell>
          <cell r="N290">
            <v>73.86</v>
          </cell>
        </row>
        <row r="291">
          <cell r="K291" t="str">
            <v>Lombok Utara</v>
          </cell>
          <cell r="L291">
            <v>72.22</v>
          </cell>
          <cell r="M291">
            <v>62.14</v>
          </cell>
          <cell r="N291">
            <v>67.239999999999995</v>
          </cell>
        </row>
        <row r="292">
          <cell r="K292" t="str">
            <v>Kota Mataram</v>
          </cell>
          <cell r="L292">
            <v>84.33</v>
          </cell>
          <cell r="M292">
            <v>78.7</v>
          </cell>
          <cell r="N292">
            <v>80.599999999999994</v>
          </cell>
        </row>
        <row r="293">
          <cell r="K293" t="str">
            <v>Kota Bima</v>
          </cell>
          <cell r="L293">
            <v>79.73</v>
          </cell>
          <cell r="M293">
            <v>77.239999999999995</v>
          </cell>
          <cell r="N293">
            <v>78.040000000000006</v>
          </cell>
        </row>
        <row r="294">
          <cell r="K294" t="str">
            <v>Sumba Barat</v>
          </cell>
          <cell r="L294">
            <v>68.63</v>
          </cell>
          <cell r="M294">
            <v>65.239999999999995</v>
          </cell>
          <cell r="N294">
            <v>66.06</v>
          </cell>
        </row>
        <row r="295">
          <cell r="K295" t="str">
            <v>Sumba Timur</v>
          </cell>
          <cell r="L295">
            <v>69.95</v>
          </cell>
          <cell r="M295">
            <v>67.319999999999993</v>
          </cell>
          <cell r="N295">
            <v>67.680000000000007</v>
          </cell>
        </row>
        <row r="296">
          <cell r="K296" t="str">
            <v>Kupang</v>
          </cell>
          <cell r="L296">
            <v>70.56</v>
          </cell>
          <cell r="M296">
            <v>62.82</v>
          </cell>
          <cell r="N296">
            <v>66.569999999999993</v>
          </cell>
        </row>
        <row r="297">
          <cell r="K297" t="str">
            <v>Timor Tengah Selatan</v>
          </cell>
          <cell r="L297">
            <v>67.05</v>
          </cell>
          <cell r="M297">
            <v>64.34</v>
          </cell>
          <cell r="N297">
            <v>64.36</v>
          </cell>
        </row>
        <row r="298">
          <cell r="K298" t="str">
            <v>Timor Tengah Utara</v>
          </cell>
          <cell r="L298">
            <v>67.84</v>
          </cell>
          <cell r="M298">
            <v>65.180000000000007</v>
          </cell>
          <cell r="N298">
            <v>65.83</v>
          </cell>
        </row>
        <row r="299">
          <cell r="K299" t="str">
            <v>Belu</v>
          </cell>
          <cell r="L299">
            <v>65.930000000000007</v>
          </cell>
          <cell r="M299">
            <v>64.12</v>
          </cell>
          <cell r="N299">
            <v>64.430000000000007</v>
          </cell>
        </row>
        <row r="300">
          <cell r="K300" t="str">
            <v>Alor</v>
          </cell>
          <cell r="L300">
            <v>67.459999999999994</v>
          </cell>
          <cell r="M300">
            <v>62.57</v>
          </cell>
          <cell r="N300">
            <v>63.82</v>
          </cell>
        </row>
        <row r="301">
          <cell r="K301" t="str">
            <v>Lembata</v>
          </cell>
          <cell r="L301">
            <v>71.05</v>
          </cell>
          <cell r="M301">
            <v>65.150000000000006</v>
          </cell>
          <cell r="N301">
            <v>66.62</v>
          </cell>
        </row>
        <row r="302">
          <cell r="K302" t="str">
            <v>Flores Timur</v>
          </cell>
          <cell r="L302">
            <v>70.34</v>
          </cell>
          <cell r="M302">
            <v>64.819999999999993</v>
          </cell>
          <cell r="N302">
            <v>66.290000000000006</v>
          </cell>
        </row>
        <row r="303">
          <cell r="K303" t="str">
            <v>Sikka</v>
          </cell>
          <cell r="L303">
            <v>71.959999999999994</v>
          </cell>
          <cell r="M303">
            <v>64.55</v>
          </cell>
          <cell r="N303">
            <v>67.41</v>
          </cell>
        </row>
        <row r="304">
          <cell r="K304" t="str">
            <v>Ende</v>
          </cell>
          <cell r="L304">
            <v>70.84</v>
          </cell>
          <cell r="M304">
            <v>68.239999999999995</v>
          </cell>
          <cell r="N304">
            <v>69.11</v>
          </cell>
        </row>
        <row r="305">
          <cell r="K305" t="str">
            <v>Ngada</v>
          </cell>
          <cell r="L305">
            <v>71.819999999999993</v>
          </cell>
          <cell r="M305">
            <v>69.2</v>
          </cell>
          <cell r="N305">
            <v>69.52</v>
          </cell>
        </row>
        <row r="306">
          <cell r="K306" t="str">
            <v>Manggarai</v>
          </cell>
          <cell r="L306">
            <v>71.8</v>
          </cell>
          <cell r="M306">
            <v>63.96</v>
          </cell>
          <cell r="N306">
            <v>67.28</v>
          </cell>
        </row>
        <row r="307">
          <cell r="K307" t="str">
            <v>Rote Ndao</v>
          </cell>
          <cell r="L307">
            <v>69.72</v>
          </cell>
          <cell r="M307">
            <v>59.68</v>
          </cell>
          <cell r="N307">
            <v>64.59</v>
          </cell>
        </row>
        <row r="308">
          <cell r="K308" t="str">
            <v>Manggarai Barat</v>
          </cell>
          <cell r="L308">
            <v>71.41</v>
          </cell>
          <cell r="M308">
            <v>63.58</v>
          </cell>
          <cell r="N308">
            <v>66.650000000000006</v>
          </cell>
        </row>
        <row r="309">
          <cell r="K309" t="str">
            <v>Sumba Tengah</v>
          </cell>
          <cell r="L309">
            <v>67.959999999999994</v>
          </cell>
          <cell r="M309">
            <v>62.01</v>
          </cell>
          <cell r="N309">
            <v>64.31</v>
          </cell>
        </row>
        <row r="310">
          <cell r="K310" t="str">
            <v>Sumba Barat Daya</v>
          </cell>
          <cell r="L310">
            <v>65.05</v>
          </cell>
          <cell r="M310">
            <v>63.98</v>
          </cell>
          <cell r="N310">
            <v>64.27</v>
          </cell>
        </row>
        <row r="311">
          <cell r="K311" t="str">
            <v>Nagekeo</v>
          </cell>
          <cell r="L311">
            <v>68.459999999999994</v>
          </cell>
          <cell r="M311">
            <v>67.33</v>
          </cell>
          <cell r="N311">
            <v>67.72</v>
          </cell>
        </row>
        <row r="312">
          <cell r="K312" t="str">
            <v>Manggarai Timur</v>
          </cell>
          <cell r="L312">
            <v>67.98</v>
          </cell>
          <cell r="M312">
            <v>62.52</v>
          </cell>
          <cell r="N312">
            <v>64.2</v>
          </cell>
        </row>
        <row r="313">
          <cell r="K313" t="str">
            <v>Sabu Raijua</v>
          </cell>
          <cell r="L313">
            <v>62.95</v>
          </cell>
          <cell r="M313">
            <v>58.18</v>
          </cell>
          <cell r="N313">
            <v>59.58</v>
          </cell>
        </row>
        <row r="314">
          <cell r="K314" t="str">
            <v>Malaka</v>
          </cell>
          <cell r="L314">
            <v>66.64</v>
          </cell>
          <cell r="M314">
            <v>60.5</v>
          </cell>
          <cell r="N314">
            <v>62.73</v>
          </cell>
        </row>
        <row r="315">
          <cell r="K315" t="str">
            <v>Kota Kupang</v>
          </cell>
          <cell r="L315">
            <v>83.63</v>
          </cell>
          <cell r="M315">
            <v>80.680000000000007</v>
          </cell>
          <cell r="N315">
            <v>81.08</v>
          </cell>
        </row>
        <row r="316">
          <cell r="K316" t="str">
            <v>Sambas</v>
          </cell>
          <cell r="L316">
            <v>74</v>
          </cell>
          <cell r="M316">
            <v>65.41</v>
          </cell>
          <cell r="N316">
            <v>69.31</v>
          </cell>
        </row>
        <row r="317">
          <cell r="K317" t="str">
            <v>Bengkayang</v>
          </cell>
          <cell r="L317">
            <v>74.36</v>
          </cell>
          <cell r="M317">
            <v>62.51</v>
          </cell>
          <cell r="N317">
            <v>70.3</v>
          </cell>
        </row>
        <row r="318">
          <cell r="K318" t="str">
            <v>Landak</v>
          </cell>
          <cell r="L318">
            <v>73.31</v>
          </cell>
          <cell r="M318">
            <v>65.77</v>
          </cell>
          <cell r="N318">
            <v>69.08</v>
          </cell>
        </row>
        <row r="319">
          <cell r="K319" t="str">
            <v>Mempawah</v>
          </cell>
          <cell r="L319">
            <v>73.11</v>
          </cell>
          <cell r="M319">
            <v>65.09</v>
          </cell>
          <cell r="N319">
            <v>68.56</v>
          </cell>
        </row>
        <row r="320">
          <cell r="K320" t="str">
            <v>Sanggau</v>
          </cell>
          <cell r="L320">
            <v>73.260000000000005</v>
          </cell>
          <cell r="M320">
            <v>60.83</v>
          </cell>
          <cell r="N320">
            <v>68.430000000000007</v>
          </cell>
        </row>
        <row r="321">
          <cell r="K321" t="str">
            <v>Ketapang</v>
          </cell>
          <cell r="L321">
            <v>73.510000000000005</v>
          </cell>
          <cell r="M321">
            <v>65.87</v>
          </cell>
          <cell r="N321">
            <v>69.42</v>
          </cell>
        </row>
        <row r="322">
          <cell r="K322" t="str">
            <v>Sintang</v>
          </cell>
          <cell r="L322">
            <v>73.41</v>
          </cell>
          <cell r="M322">
            <v>64.64</v>
          </cell>
          <cell r="N322">
            <v>69.42</v>
          </cell>
        </row>
        <row r="323">
          <cell r="K323" t="str">
            <v>Kapuas Hulu</v>
          </cell>
          <cell r="L323">
            <v>73.48</v>
          </cell>
          <cell r="M323">
            <v>63.8</v>
          </cell>
          <cell r="N323">
            <v>68.58</v>
          </cell>
        </row>
        <row r="324">
          <cell r="K324" t="str">
            <v>Sekadau</v>
          </cell>
          <cell r="L324">
            <v>72.209999999999994</v>
          </cell>
          <cell r="M324">
            <v>60.75</v>
          </cell>
          <cell r="N324">
            <v>67.25</v>
          </cell>
        </row>
        <row r="325">
          <cell r="K325" t="str">
            <v>Melawi</v>
          </cell>
          <cell r="L325">
            <v>73.91</v>
          </cell>
          <cell r="M325">
            <v>60.53</v>
          </cell>
          <cell r="N325">
            <v>68.66</v>
          </cell>
        </row>
        <row r="326">
          <cell r="K326" t="str">
            <v>Kayong Utara</v>
          </cell>
          <cell r="L326">
            <v>70.12</v>
          </cell>
          <cell r="M326">
            <v>61</v>
          </cell>
          <cell r="N326">
            <v>65.739999999999995</v>
          </cell>
        </row>
        <row r="327">
          <cell r="K327" t="str">
            <v>Kubu Raya</v>
          </cell>
          <cell r="L327">
            <v>75.63</v>
          </cell>
          <cell r="M327">
            <v>64.8</v>
          </cell>
          <cell r="N327">
            <v>70.25</v>
          </cell>
        </row>
        <row r="328">
          <cell r="K328" t="str">
            <v>Kota Pontianak</v>
          </cell>
          <cell r="L328">
            <v>85.14</v>
          </cell>
          <cell r="M328">
            <v>80.709999999999994</v>
          </cell>
          <cell r="N328">
            <v>81.569999999999993</v>
          </cell>
        </row>
        <row r="329">
          <cell r="K329" t="str">
            <v>Kota Singkawang</v>
          </cell>
          <cell r="L329">
            <v>77.41</v>
          </cell>
          <cell r="M329">
            <v>72.11</v>
          </cell>
          <cell r="N329">
            <v>73.87</v>
          </cell>
        </row>
        <row r="330">
          <cell r="K330" t="str">
            <v>Kotawaringin Barat</v>
          </cell>
          <cell r="L330">
            <v>78.53</v>
          </cell>
          <cell r="M330">
            <v>72.5</v>
          </cell>
          <cell r="N330">
            <v>74.44</v>
          </cell>
        </row>
        <row r="331">
          <cell r="K331" t="str">
            <v>Kotawaringin Timur</v>
          </cell>
          <cell r="L331">
            <v>77.400000000000006</v>
          </cell>
          <cell r="M331">
            <v>68.55</v>
          </cell>
          <cell r="N331">
            <v>72.66</v>
          </cell>
        </row>
        <row r="332">
          <cell r="K332" t="str">
            <v>Kapuas</v>
          </cell>
          <cell r="L332">
            <v>73.66</v>
          </cell>
          <cell r="M332">
            <v>70.48</v>
          </cell>
          <cell r="N332">
            <v>71.319999999999993</v>
          </cell>
        </row>
        <row r="333">
          <cell r="K333" t="str">
            <v>Barito Selatan</v>
          </cell>
          <cell r="L333">
            <v>76.17</v>
          </cell>
          <cell r="M333">
            <v>70.540000000000006</v>
          </cell>
          <cell r="N333">
            <v>72.36</v>
          </cell>
        </row>
        <row r="334">
          <cell r="K334" t="str">
            <v>Barito Utara</v>
          </cell>
          <cell r="L334">
            <v>77.06</v>
          </cell>
          <cell r="M334">
            <v>67.78</v>
          </cell>
          <cell r="N334">
            <v>72.31</v>
          </cell>
        </row>
        <row r="335">
          <cell r="K335" t="str">
            <v>Sukamara</v>
          </cell>
          <cell r="L335">
            <v>73.83</v>
          </cell>
          <cell r="M335">
            <v>67.930000000000007</v>
          </cell>
          <cell r="N335">
            <v>69.849999999999994</v>
          </cell>
        </row>
        <row r="336">
          <cell r="K336" t="str">
            <v>Lamandau</v>
          </cell>
          <cell r="L336">
            <v>75.650000000000006</v>
          </cell>
          <cell r="M336">
            <v>69.599999999999994</v>
          </cell>
          <cell r="N336">
            <v>72.25</v>
          </cell>
        </row>
        <row r="337">
          <cell r="K337" t="str">
            <v>Seruyan</v>
          </cell>
          <cell r="L337">
            <v>73.53</v>
          </cell>
          <cell r="M337">
            <v>65.81</v>
          </cell>
          <cell r="N337">
            <v>69.05</v>
          </cell>
        </row>
        <row r="338">
          <cell r="K338" t="str">
            <v>Katingan</v>
          </cell>
          <cell r="L338">
            <v>74.760000000000005</v>
          </cell>
          <cell r="M338">
            <v>64.89</v>
          </cell>
          <cell r="N338">
            <v>70.7</v>
          </cell>
        </row>
        <row r="339">
          <cell r="K339" t="str">
            <v>Pulang Pisau</v>
          </cell>
          <cell r="L339">
            <v>73.81</v>
          </cell>
          <cell r="M339">
            <v>68.09</v>
          </cell>
          <cell r="N339">
            <v>70.27</v>
          </cell>
        </row>
        <row r="340">
          <cell r="K340" t="str">
            <v>Gunung Mas</v>
          </cell>
          <cell r="L340">
            <v>76.099999999999994</v>
          </cell>
          <cell r="M340">
            <v>70.319999999999993</v>
          </cell>
          <cell r="N340">
            <v>72.73</v>
          </cell>
        </row>
        <row r="341">
          <cell r="K341" t="str">
            <v>Barito Timur</v>
          </cell>
          <cell r="L341">
            <v>77.84</v>
          </cell>
          <cell r="M341">
            <v>69.66</v>
          </cell>
          <cell r="N341">
            <v>73.260000000000005</v>
          </cell>
        </row>
        <row r="342">
          <cell r="K342" t="str">
            <v>Murung Raya</v>
          </cell>
          <cell r="L342">
            <v>75.209999999999994</v>
          </cell>
          <cell r="M342">
            <v>63.7</v>
          </cell>
          <cell r="N342">
            <v>70.03</v>
          </cell>
        </row>
        <row r="343">
          <cell r="K343" t="str">
            <v>Kota Palangka Raya</v>
          </cell>
          <cell r="L343">
            <v>85.39</v>
          </cell>
          <cell r="M343">
            <v>81.709999999999994</v>
          </cell>
          <cell r="N343">
            <v>82.2</v>
          </cell>
        </row>
        <row r="344">
          <cell r="K344" t="str">
            <v>Tanah Laut</v>
          </cell>
          <cell r="L344">
            <v>76.180000000000007</v>
          </cell>
          <cell r="M344">
            <v>66.87</v>
          </cell>
          <cell r="N344">
            <v>71.430000000000007</v>
          </cell>
        </row>
        <row r="345">
          <cell r="K345" t="str">
            <v>Kotabaru</v>
          </cell>
          <cell r="L345">
            <v>75.319999999999993</v>
          </cell>
          <cell r="M345">
            <v>64.150000000000006</v>
          </cell>
          <cell r="N345">
            <v>70.61</v>
          </cell>
        </row>
        <row r="346">
          <cell r="K346" t="str">
            <v>Banjar</v>
          </cell>
          <cell r="L346">
            <v>75.97</v>
          </cell>
          <cell r="M346">
            <v>70.290000000000006</v>
          </cell>
          <cell r="N346">
            <v>71.87</v>
          </cell>
        </row>
        <row r="347">
          <cell r="K347" t="str">
            <v>Barito Kuala</v>
          </cell>
          <cell r="L347">
            <v>72.94</v>
          </cell>
          <cell r="M347">
            <v>65.760000000000005</v>
          </cell>
          <cell r="N347">
            <v>68.84</v>
          </cell>
        </row>
        <row r="348">
          <cell r="K348" t="str">
            <v>Tapin</v>
          </cell>
          <cell r="L348">
            <v>77.02</v>
          </cell>
          <cell r="M348">
            <v>65.77</v>
          </cell>
          <cell r="N348">
            <v>72.510000000000005</v>
          </cell>
        </row>
        <row r="349">
          <cell r="K349" t="str">
            <v>Hulu Sungai Selatan</v>
          </cell>
          <cell r="L349">
            <v>75.069999999999993</v>
          </cell>
          <cell r="M349">
            <v>67.62</v>
          </cell>
          <cell r="N349">
            <v>71.209999999999994</v>
          </cell>
        </row>
        <row r="350">
          <cell r="K350" t="str">
            <v>Hulu Sungai Tengah</v>
          </cell>
          <cell r="L350">
            <v>72.58</v>
          </cell>
          <cell r="M350">
            <v>69.81</v>
          </cell>
          <cell r="N350">
            <v>70.69</v>
          </cell>
        </row>
        <row r="351">
          <cell r="K351" t="str">
            <v>Hulu Sungai Utara</v>
          </cell>
          <cell r="L351">
            <v>72.709999999999994</v>
          </cell>
          <cell r="M351">
            <v>66.739999999999995</v>
          </cell>
          <cell r="N351">
            <v>68.28</v>
          </cell>
        </row>
        <row r="352">
          <cell r="K352" t="str">
            <v>Tabalong</v>
          </cell>
          <cell r="L352">
            <v>79.37</v>
          </cell>
          <cell r="M352">
            <v>68.92</v>
          </cell>
          <cell r="N352">
            <v>74.41</v>
          </cell>
        </row>
        <row r="353">
          <cell r="K353" t="str">
            <v>Tanah Bumbu</v>
          </cell>
          <cell r="L353">
            <v>78.22</v>
          </cell>
          <cell r="M353">
            <v>67.14</v>
          </cell>
          <cell r="N353">
            <v>72.95</v>
          </cell>
        </row>
        <row r="354">
          <cell r="K354" t="str">
            <v>Balangan</v>
          </cell>
          <cell r="L354">
            <v>75.75</v>
          </cell>
          <cell r="M354">
            <v>70.41</v>
          </cell>
          <cell r="N354">
            <v>71.34</v>
          </cell>
        </row>
        <row r="355">
          <cell r="K355" t="str">
            <v>Kota Banjarmasin</v>
          </cell>
          <cell r="L355">
            <v>82.45</v>
          </cell>
          <cell r="M355">
            <v>77.86</v>
          </cell>
          <cell r="N355">
            <v>79.05</v>
          </cell>
        </row>
        <row r="356">
          <cell r="K356" t="str">
            <v>Kota Banjar Baru</v>
          </cell>
          <cell r="L356">
            <v>85.55</v>
          </cell>
          <cell r="M356">
            <v>79.569999999999993</v>
          </cell>
          <cell r="N356">
            <v>80.510000000000005</v>
          </cell>
        </row>
        <row r="357">
          <cell r="K357" t="str">
            <v>Paser</v>
          </cell>
          <cell r="L357">
            <v>79.56</v>
          </cell>
          <cell r="M357">
            <v>58.66</v>
          </cell>
          <cell r="N357">
            <v>74.7</v>
          </cell>
        </row>
        <row r="358">
          <cell r="K358" t="str">
            <v>Kutai Barat</v>
          </cell>
          <cell r="L358">
            <v>79.33</v>
          </cell>
          <cell r="M358">
            <v>68.13</v>
          </cell>
          <cell r="N358">
            <v>74.5</v>
          </cell>
        </row>
        <row r="359">
          <cell r="K359" t="str">
            <v>Kutai Kartanegara</v>
          </cell>
          <cell r="L359">
            <v>80.87</v>
          </cell>
          <cell r="M359">
            <v>65.67</v>
          </cell>
          <cell r="N359">
            <v>75.91</v>
          </cell>
        </row>
        <row r="360">
          <cell r="K360" t="str">
            <v>Kutai Timur</v>
          </cell>
          <cell r="L360">
            <v>80.55</v>
          </cell>
          <cell r="M360">
            <v>63.32</v>
          </cell>
          <cell r="N360">
            <v>75.53</v>
          </cell>
        </row>
        <row r="361">
          <cell r="K361" t="str">
            <v>Berau</v>
          </cell>
          <cell r="L361">
            <v>81.17</v>
          </cell>
          <cell r="M361">
            <v>71.900000000000006</v>
          </cell>
          <cell r="N361">
            <v>76.66</v>
          </cell>
        </row>
        <row r="362">
          <cell r="K362" t="str">
            <v>Penajam Paser Utara</v>
          </cell>
          <cell r="L362">
            <v>78.31</v>
          </cell>
          <cell r="M362">
            <v>68.31</v>
          </cell>
          <cell r="N362">
            <v>73.900000000000006</v>
          </cell>
        </row>
        <row r="363">
          <cell r="K363" t="str">
            <v>Mahakam Ulu</v>
          </cell>
          <cell r="L363">
            <v>76.06</v>
          </cell>
          <cell r="M363">
            <v>63.59</v>
          </cell>
          <cell r="N363">
            <v>70.349999999999994</v>
          </cell>
        </row>
        <row r="364">
          <cell r="K364" t="str">
            <v>Kota Balikpapan</v>
          </cell>
          <cell r="L364">
            <v>87.14</v>
          </cell>
          <cell r="M364">
            <v>78.72</v>
          </cell>
          <cell r="N364">
            <v>82.24</v>
          </cell>
        </row>
        <row r="365">
          <cell r="K365" t="str">
            <v>Kota Samarinda</v>
          </cell>
          <cell r="L365">
            <v>87.01</v>
          </cell>
          <cell r="M365">
            <v>78.62</v>
          </cell>
          <cell r="N365">
            <v>82.81</v>
          </cell>
        </row>
        <row r="366">
          <cell r="K366" t="str">
            <v>Kota Bontang</v>
          </cell>
          <cell r="L366">
            <v>86.49</v>
          </cell>
          <cell r="M366">
            <v>76.41</v>
          </cell>
          <cell r="N366">
            <v>82.42</v>
          </cell>
        </row>
        <row r="367">
          <cell r="K367" t="str">
            <v>Malinau</v>
          </cell>
          <cell r="L367">
            <v>78.92</v>
          </cell>
          <cell r="M367">
            <v>65.55</v>
          </cell>
          <cell r="N367">
            <v>73.900000000000006</v>
          </cell>
        </row>
        <row r="368">
          <cell r="K368" t="str">
            <v>Bulungan</v>
          </cell>
          <cell r="L368">
            <v>78.87</v>
          </cell>
          <cell r="M368">
            <v>67.849999999999994</v>
          </cell>
          <cell r="N368">
            <v>73.34</v>
          </cell>
        </row>
        <row r="369">
          <cell r="K369" t="str">
            <v>Tana Tidung</v>
          </cell>
          <cell r="L369">
            <v>75.52</v>
          </cell>
          <cell r="M369">
            <v>60.08</v>
          </cell>
          <cell r="N369">
            <v>70.08</v>
          </cell>
        </row>
        <row r="370">
          <cell r="K370" t="str">
            <v>Nunukan</v>
          </cell>
          <cell r="L370">
            <v>73.430000000000007</v>
          </cell>
          <cell r="M370">
            <v>62.05</v>
          </cell>
          <cell r="N370">
            <v>68.52</v>
          </cell>
        </row>
        <row r="371">
          <cell r="K371" t="str">
            <v>Kota Tarakan</v>
          </cell>
          <cell r="L371">
            <v>81.87</v>
          </cell>
          <cell r="M371">
            <v>75.97</v>
          </cell>
          <cell r="N371">
            <v>77.959999999999994</v>
          </cell>
        </row>
        <row r="372">
          <cell r="K372" t="str">
            <v>Bolaang Mongondow</v>
          </cell>
          <cell r="L372">
            <v>73.8</v>
          </cell>
          <cell r="M372">
            <v>65.77</v>
          </cell>
          <cell r="N372">
            <v>70.290000000000006</v>
          </cell>
        </row>
        <row r="373">
          <cell r="K373" t="str">
            <v>Minahasa</v>
          </cell>
          <cell r="L373">
            <v>79.849999999999994</v>
          </cell>
          <cell r="M373">
            <v>77.36</v>
          </cell>
          <cell r="N373">
            <v>77.739999999999995</v>
          </cell>
        </row>
        <row r="374">
          <cell r="K374" t="str">
            <v>Kepulauan Sangihe</v>
          </cell>
          <cell r="L374">
            <v>74.7</v>
          </cell>
          <cell r="M374">
            <v>71.58</v>
          </cell>
          <cell r="N374">
            <v>72.709999999999994</v>
          </cell>
        </row>
        <row r="375">
          <cell r="K375" t="str">
            <v>Kepulauan Talaud</v>
          </cell>
          <cell r="L375">
            <v>72.75</v>
          </cell>
          <cell r="M375">
            <v>71.44</v>
          </cell>
          <cell r="N375">
            <v>71.77</v>
          </cell>
        </row>
        <row r="376">
          <cell r="K376" t="str">
            <v>Minahasa Selatan</v>
          </cell>
          <cell r="L376">
            <v>77.63</v>
          </cell>
          <cell r="M376">
            <v>69.680000000000007</v>
          </cell>
          <cell r="N376">
            <v>74.17</v>
          </cell>
        </row>
        <row r="377">
          <cell r="K377" t="str">
            <v>Minahasa Utara</v>
          </cell>
          <cell r="L377">
            <v>78.05</v>
          </cell>
          <cell r="M377">
            <v>75.41</v>
          </cell>
          <cell r="N377">
            <v>75.89</v>
          </cell>
        </row>
        <row r="378">
          <cell r="K378" t="str">
            <v>Bolaang Mongondow Utara</v>
          </cell>
          <cell r="L378">
            <v>73.73</v>
          </cell>
          <cell r="M378">
            <v>64.78</v>
          </cell>
          <cell r="N378">
            <v>69.319999999999993</v>
          </cell>
        </row>
        <row r="379">
          <cell r="K379" t="str">
            <v>Siau Tagulandang Biaro</v>
          </cell>
          <cell r="L379">
            <v>74.349999999999994</v>
          </cell>
          <cell r="M379">
            <v>66.5</v>
          </cell>
          <cell r="N379">
            <v>70.31</v>
          </cell>
        </row>
        <row r="380">
          <cell r="K380" t="str">
            <v>Minahasa Tenggara</v>
          </cell>
          <cell r="L380">
            <v>75.930000000000007</v>
          </cell>
          <cell r="M380">
            <v>70.489999999999995</v>
          </cell>
          <cell r="N380">
            <v>72.66</v>
          </cell>
        </row>
        <row r="381">
          <cell r="K381" t="str">
            <v>Bolaang Mongondow Selatan</v>
          </cell>
          <cell r="L381">
            <v>71.760000000000005</v>
          </cell>
          <cell r="M381">
            <v>58.55</v>
          </cell>
          <cell r="N381">
            <v>67.14</v>
          </cell>
        </row>
        <row r="382">
          <cell r="K382" t="str">
            <v>Bolaang Mongondow Timur</v>
          </cell>
          <cell r="L382">
            <v>72.17</v>
          </cell>
          <cell r="M382">
            <v>66.22</v>
          </cell>
          <cell r="N382">
            <v>68.53</v>
          </cell>
        </row>
        <row r="383">
          <cell r="K383" t="str">
            <v>Kota Manado</v>
          </cell>
          <cell r="L383">
            <v>82.71</v>
          </cell>
          <cell r="M383">
            <v>80.11</v>
          </cell>
          <cell r="N383">
            <v>80.63</v>
          </cell>
        </row>
        <row r="384">
          <cell r="K384" t="str">
            <v>Kota Bitung</v>
          </cell>
          <cell r="L384">
            <v>78.3</v>
          </cell>
          <cell r="M384">
            <v>74.239999999999995</v>
          </cell>
          <cell r="N384">
            <v>75.709999999999994</v>
          </cell>
        </row>
        <row r="385">
          <cell r="K385" t="str">
            <v>Kota Tomohon</v>
          </cell>
          <cell r="L385">
            <v>79.22</v>
          </cell>
          <cell r="M385">
            <v>78.87</v>
          </cell>
          <cell r="N385">
            <v>78.89</v>
          </cell>
        </row>
        <row r="386">
          <cell r="K386" t="str">
            <v>Kota Kotamobagu</v>
          </cell>
          <cell r="L386">
            <v>78.16</v>
          </cell>
          <cell r="M386">
            <v>74.75</v>
          </cell>
          <cell r="N386">
            <v>75.27</v>
          </cell>
        </row>
        <row r="387">
          <cell r="K387" t="str">
            <v>Banggai Kepulauan</v>
          </cell>
          <cell r="L387">
            <v>71.86</v>
          </cell>
          <cell r="M387">
            <v>66.73</v>
          </cell>
          <cell r="N387">
            <v>67.430000000000007</v>
          </cell>
        </row>
        <row r="388">
          <cell r="K388" t="str">
            <v>Banggai</v>
          </cell>
          <cell r="L388">
            <v>76.180000000000007</v>
          </cell>
          <cell r="M388">
            <v>69.88</v>
          </cell>
          <cell r="N388">
            <v>72.319999999999993</v>
          </cell>
        </row>
        <row r="389">
          <cell r="K389" t="str">
            <v>Morowali</v>
          </cell>
          <cell r="L389">
            <v>78.58</v>
          </cell>
          <cell r="M389">
            <v>67.12</v>
          </cell>
          <cell r="N389">
            <v>73.540000000000006</v>
          </cell>
        </row>
        <row r="390">
          <cell r="K390" t="str">
            <v>Poso</v>
          </cell>
          <cell r="L390">
            <v>74.41</v>
          </cell>
          <cell r="M390">
            <v>72.349999999999994</v>
          </cell>
          <cell r="N390">
            <v>72.87</v>
          </cell>
        </row>
        <row r="391">
          <cell r="K391" t="str">
            <v>Donggala</v>
          </cell>
          <cell r="L391">
            <v>71.36</v>
          </cell>
          <cell r="M391">
            <v>63.87</v>
          </cell>
          <cell r="N391">
            <v>67.45</v>
          </cell>
        </row>
        <row r="392">
          <cell r="K392" t="str">
            <v>Toli-Toli</v>
          </cell>
          <cell r="L392">
            <v>72.22</v>
          </cell>
          <cell r="M392">
            <v>65.430000000000007</v>
          </cell>
          <cell r="N392">
            <v>68.37</v>
          </cell>
        </row>
        <row r="393">
          <cell r="K393" t="str">
            <v>Buol</v>
          </cell>
          <cell r="L393">
            <v>74.47</v>
          </cell>
          <cell r="M393">
            <v>67.19</v>
          </cell>
          <cell r="N393">
            <v>70.28</v>
          </cell>
        </row>
        <row r="394">
          <cell r="K394" t="str">
            <v>Parigi Moutong</v>
          </cell>
          <cell r="L394">
            <v>70.17</v>
          </cell>
          <cell r="M394">
            <v>65.02</v>
          </cell>
          <cell r="N394">
            <v>67.489999999999995</v>
          </cell>
        </row>
        <row r="395">
          <cell r="K395" t="str">
            <v>Tojo Una-Una</v>
          </cell>
          <cell r="L395">
            <v>71.069999999999993</v>
          </cell>
          <cell r="M395">
            <v>65.400000000000006</v>
          </cell>
          <cell r="N395">
            <v>66.97</v>
          </cell>
        </row>
        <row r="396">
          <cell r="K396" t="str">
            <v>Sigi</v>
          </cell>
          <cell r="L396">
            <v>73.69</v>
          </cell>
          <cell r="M396">
            <v>69.540000000000006</v>
          </cell>
          <cell r="N396">
            <v>70.510000000000005</v>
          </cell>
        </row>
        <row r="397">
          <cell r="K397" t="str">
            <v>Banggai Laut</v>
          </cell>
          <cell r="L397">
            <v>71.569999999999993</v>
          </cell>
          <cell r="M397">
            <v>66.37</v>
          </cell>
          <cell r="N397">
            <v>67.430000000000007</v>
          </cell>
        </row>
        <row r="398">
          <cell r="K398" t="str">
            <v>Morowali Utara</v>
          </cell>
          <cell r="L398">
            <v>72.569999999999993</v>
          </cell>
          <cell r="M398">
            <v>70.44</v>
          </cell>
          <cell r="N398">
            <v>70.58</v>
          </cell>
        </row>
        <row r="399">
          <cell r="K399" t="str">
            <v>Kota Palu</v>
          </cell>
          <cell r="L399">
            <v>83.68</v>
          </cell>
          <cell r="M399">
            <v>82.48</v>
          </cell>
          <cell r="N399">
            <v>82.88</v>
          </cell>
        </row>
        <row r="400">
          <cell r="K400" t="str">
            <v>Kepulauan Selayar</v>
          </cell>
          <cell r="L400">
            <v>74.87</v>
          </cell>
          <cell r="M400">
            <v>69.17</v>
          </cell>
          <cell r="N400">
            <v>70.03</v>
          </cell>
        </row>
        <row r="401">
          <cell r="K401" t="str">
            <v>Bulukumba</v>
          </cell>
          <cell r="L401">
            <v>74.58</v>
          </cell>
          <cell r="M401">
            <v>71.599999999999994</v>
          </cell>
          <cell r="N401">
            <v>71.97</v>
          </cell>
        </row>
        <row r="402">
          <cell r="K402" t="str">
            <v>Bantaeng</v>
          </cell>
          <cell r="L402">
            <v>72.53</v>
          </cell>
          <cell r="M402">
            <v>69.14</v>
          </cell>
          <cell r="N402">
            <v>71.48</v>
          </cell>
        </row>
        <row r="403">
          <cell r="K403" t="str">
            <v>Jeneponto</v>
          </cell>
          <cell r="L403">
            <v>70.47</v>
          </cell>
          <cell r="M403">
            <v>65.11</v>
          </cell>
          <cell r="N403">
            <v>66.38</v>
          </cell>
        </row>
        <row r="404">
          <cell r="K404" t="str">
            <v>Takalar</v>
          </cell>
          <cell r="L404">
            <v>73.8</v>
          </cell>
          <cell r="M404">
            <v>65.12</v>
          </cell>
          <cell r="N404">
            <v>69.47</v>
          </cell>
        </row>
        <row r="405">
          <cell r="K405" t="str">
            <v>Gowa</v>
          </cell>
          <cell r="L405">
            <v>76.58</v>
          </cell>
          <cell r="M405">
            <v>68.09</v>
          </cell>
          <cell r="N405">
            <v>72.260000000000005</v>
          </cell>
        </row>
        <row r="406">
          <cell r="K406" t="str">
            <v>Sinjai</v>
          </cell>
          <cell r="L406">
            <v>70.569999999999993</v>
          </cell>
          <cell r="M406">
            <v>69.37</v>
          </cell>
          <cell r="N406">
            <v>69.52</v>
          </cell>
        </row>
        <row r="407">
          <cell r="K407" t="str">
            <v>Maros</v>
          </cell>
          <cell r="L407">
            <v>76.88</v>
          </cell>
          <cell r="M407">
            <v>68.89</v>
          </cell>
          <cell r="N407">
            <v>72.11</v>
          </cell>
        </row>
        <row r="408">
          <cell r="K408" t="str">
            <v>Pangkajene dan Kepulauan</v>
          </cell>
          <cell r="L408">
            <v>75.75</v>
          </cell>
          <cell r="M408">
            <v>69.2</v>
          </cell>
          <cell r="N408">
            <v>71.22</v>
          </cell>
        </row>
        <row r="409">
          <cell r="K409" t="str">
            <v>Barru</v>
          </cell>
          <cell r="L409">
            <v>75.87</v>
          </cell>
          <cell r="M409">
            <v>72.64</v>
          </cell>
          <cell r="N409">
            <v>73.06</v>
          </cell>
        </row>
        <row r="410">
          <cell r="K410" t="str">
            <v>Bone</v>
          </cell>
          <cell r="L410">
            <v>71.88</v>
          </cell>
          <cell r="M410">
            <v>67.3</v>
          </cell>
          <cell r="N410">
            <v>68.36</v>
          </cell>
        </row>
        <row r="411">
          <cell r="K411" t="str">
            <v>Soppeng</v>
          </cell>
          <cell r="L411">
            <v>72.900000000000006</v>
          </cell>
          <cell r="M411">
            <v>70.959999999999994</v>
          </cell>
          <cell r="N411">
            <v>71.39</v>
          </cell>
        </row>
        <row r="412">
          <cell r="K412" t="str">
            <v>Wajo</v>
          </cell>
          <cell r="L412">
            <v>75.959999999999994</v>
          </cell>
          <cell r="M412">
            <v>68.86</v>
          </cell>
          <cell r="N412">
            <v>71.52</v>
          </cell>
        </row>
        <row r="413">
          <cell r="K413" t="str">
            <v>Sidenreng Rappang</v>
          </cell>
          <cell r="L413">
            <v>77.180000000000007</v>
          </cell>
          <cell r="M413">
            <v>71.47</v>
          </cell>
          <cell r="N413">
            <v>73.209999999999994</v>
          </cell>
        </row>
        <row r="414">
          <cell r="K414" t="str">
            <v>Pinrang</v>
          </cell>
          <cell r="L414">
            <v>75.78</v>
          </cell>
          <cell r="M414">
            <v>72.64</v>
          </cell>
          <cell r="N414">
            <v>73.55</v>
          </cell>
        </row>
        <row r="415">
          <cell r="K415" t="str">
            <v>Enrekang</v>
          </cell>
          <cell r="L415">
            <v>75.430000000000007</v>
          </cell>
          <cell r="M415">
            <v>74.03</v>
          </cell>
          <cell r="N415">
            <v>74.61</v>
          </cell>
        </row>
        <row r="416">
          <cell r="K416" t="str">
            <v>Luwu</v>
          </cell>
          <cell r="L416">
            <v>76.28</v>
          </cell>
          <cell r="M416">
            <v>70.81</v>
          </cell>
          <cell r="N416">
            <v>72.790000000000006</v>
          </cell>
        </row>
        <row r="417">
          <cell r="K417" t="str">
            <v>Tana Toraja</v>
          </cell>
          <cell r="L417">
            <v>76.19</v>
          </cell>
          <cell r="M417">
            <v>67.849999999999994</v>
          </cell>
          <cell r="N417">
            <v>71.67</v>
          </cell>
        </row>
        <row r="418">
          <cell r="K418" t="str">
            <v>Luwu Utara</v>
          </cell>
          <cell r="L418">
            <v>75.53</v>
          </cell>
          <cell r="M418">
            <v>68.23</v>
          </cell>
          <cell r="N418">
            <v>72.069999999999993</v>
          </cell>
        </row>
        <row r="419">
          <cell r="K419" t="str">
            <v>Luwu Timur</v>
          </cell>
          <cell r="L419">
            <v>79.11</v>
          </cell>
          <cell r="M419">
            <v>71.55</v>
          </cell>
          <cell r="N419">
            <v>74.95</v>
          </cell>
        </row>
        <row r="420">
          <cell r="K420" t="str">
            <v>Toraja Utara</v>
          </cell>
          <cell r="L420">
            <v>75.77</v>
          </cell>
          <cell r="M420">
            <v>67</v>
          </cell>
          <cell r="N420">
            <v>71.849999999999994</v>
          </cell>
        </row>
        <row r="421">
          <cell r="K421" t="str">
            <v>Kota Makasar</v>
          </cell>
          <cell r="L421">
            <v>86.16</v>
          </cell>
          <cell r="M421">
            <v>81.84</v>
          </cell>
          <cell r="N421">
            <v>83.9</v>
          </cell>
        </row>
        <row r="422">
          <cell r="K422" t="str">
            <v>Kota Parepare</v>
          </cell>
          <cell r="L422">
            <v>81.42</v>
          </cell>
          <cell r="M422">
            <v>79.17</v>
          </cell>
          <cell r="N422">
            <v>79.64</v>
          </cell>
        </row>
        <row r="423">
          <cell r="K423" t="str">
            <v>Kota Palopo</v>
          </cell>
          <cell r="L423">
            <v>81.34</v>
          </cell>
          <cell r="M423">
            <v>79.37</v>
          </cell>
          <cell r="N423">
            <v>79.94</v>
          </cell>
        </row>
        <row r="424">
          <cell r="K424" t="str">
            <v>Buton</v>
          </cell>
          <cell r="L424">
            <v>75.83</v>
          </cell>
          <cell r="M424">
            <v>62.23</v>
          </cell>
          <cell r="N424">
            <v>68.88</v>
          </cell>
        </row>
        <row r="425">
          <cell r="K425" t="str">
            <v>Muna</v>
          </cell>
          <cell r="L425">
            <v>76.16</v>
          </cell>
          <cell r="M425">
            <v>67.3</v>
          </cell>
          <cell r="N425">
            <v>71.05</v>
          </cell>
        </row>
        <row r="426">
          <cell r="K426" t="str">
            <v>Konawe</v>
          </cell>
          <cell r="L426">
            <v>77.16</v>
          </cell>
          <cell r="M426">
            <v>72.38</v>
          </cell>
          <cell r="N426">
            <v>73.39</v>
          </cell>
        </row>
        <row r="427">
          <cell r="K427" t="str">
            <v>Kolaka</v>
          </cell>
          <cell r="L427">
            <v>79.040000000000006</v>
          </cell>
          <cell r="M427">
            <v>71.47</v>
          </cell>
          <cell r="N427">
            <v>75.180000000000007</v>
          </cell>
        </row>
        <row r="428">
          <cell r="K428" t="str">
            <v>Konawe Selatan</v>
          </cell>
          <cell r="L428">
            <v>75.45</v>
          </cell>
          <cell r="M428">
            <v>66.86</v>
          </cell>
          <cell r="N428">
            <v>71.19</v>
          </cell>
        </row>
        <row r="429">
          <cell r="K429" t="str">
            <v>Bombana</v>
          </cell>
          <cell r="L429">
            <v>72.69</v>
          </cell>
          <cell r="M429">
            <v>62.57</v>
          </cell>
          <cell r="N429">
            <v>68.150000000000006</v>
          </cell>
        </row>
        <row r="430">
          <cell r="K430" t="str">
            <v>Wakatobi</v>
          </cell>
          <cell r="L430">
            <v>76.67</v>
          </cell>
          <cell r="M430">
            <v>68.680000000000007</v>
          </cell>
          <cell r="N430">
            <v>72.02</v>
          </cell>
        </row>
        <row r="431">
          <cell r="K431" t="str">
            <v>Kolaka Utara</v>
          </cell>
          <cell r="L431">
            <v>72.53</v>
          </cell>
          <cell r="M431">
            <v>71.599999999999994</v>
          </cell>
          <cell r="N431">
            <v>71.7</v>
          </cell>
        </row>
        <row r="432">
          <cell r="K432" t="str">
            <v>Buton Utara</v>
          </cell>
          <cell r="L432">
            <v>74.55</v>
          </cell>
          <cell r="M432">
            <v>68.98</v>
          </cell>
          <cell r="N432">
            <v>70.599999999999994</v>
          </cell>
        </row>
        <row r="433">
          <cell r="K433" t="str">
            <v>Konawe Utara</v>
          </cell>
          <cell r="L433">
            <v>76.61</v>
          </cell>
          <cell r="M433">
            <v>66.94</v>
          </cell>
          <cell r="N433">
            <v>72.319999999999993</v>
          </cell>
        </row>
        <row r="434">
          <cell r="K434" t="str">
            <v>Kolaka Timur</v>
          </cell>
          <cell r="L434">
            <v>70.52</v>
          </cell>
          <cell r="M434">
            <v>70</v>
          </cell>
          <cell r="N434">
            <v>70.27</v>
          </cell>
        </row>
        <row r="435">
          <cell r="K435" t="str">
            <v>Konawe Kepulauan</v>
          </cell>
          <cell r="L435">
            <v>73.180000000000007</v>
          </cell>
          <cell r="M435">
            <v>63.25</v>
          </cell>
          <cell r="N435">
            <v>67.989999999999995</v>
          </cell>
        </row>
        <row r="436">
          <cell r="K436" t="str">
            <v>Muna Barat</v>
          </cell>
          <cell r="L436">
            <v>72.290000000000006</v>
          </cell>
          <cell r="M436">
            <v>64.849999999999994</v>
          </cell>
          <cell r="N436">
            <v>68.06</v>
          </cell>
        </row>
        <row r="437">
          <cell r="K437" t="str">
            <v>Buton Tengah</v>
          </cell>
          <cell r="L437">
            <v>71.760000000000005</v>
          </cell>
          <cell r="M437">
            <v>60.13</v>
          </cell>
          <cell r="N437">
            <v>66.47</v>
          </cell>
        </row>
        <row r="438">
          <cell r="K438" t="str">
            <v>Buton Selatan</v>
          </cell>
          <cell r="L438">
            <v>73.760000000000005</v>
          </cell>
          <cell r="M438">
            <v>54.96</v>
          </cell>
          <cell r="N438">
            <v>67</v>
          </cell>
        </row>
        <row r="439">
          <cell r="K439" t="str">
            <v>Kota Kendari</v>
          </cell>
          <cell r="L439">
            <v>87.88</v>
          </cell>
          <cell r="M439">
            <v>83.61</v>
          </cell>
          <cell r="N439">
            <v>85.33</v>
          </cell>
        </row>
        <row r="440">
          <cell r="K440" t="str">
            <v>Kota Baubau</v>
          </cell>
          <cell r="L440">
            <v>82.3</v>
          </cell>
          <cell r="M440">
            <v>75.180000000000007</v>
          </cell>
          <cell r="N440">
            <v>78.13</v>
          </cell>
        </row>
        <row r="441">
          <cell r="K441" t="str">
            <v>Boalemo</v>
          </cell>
          <cell r="L441">
            <v>71.34</v>
          </cell>
          <cell r="M441">
            <v>59.65</v>
          </cell>
          <cell r="N441">
            <v>68.739999999999995</v>
          </cell>
        </row>
        <row r="442">
          <cell r="K442" t="str">
            <v>Gorontalo</v>
          </cell>
          <cell r="L442">
            <v>73.62</v>
          </cell>
          <cell r="M442">
            <v>65.260000000000005</v>
          </cell>
          <cell r="N442">
            <v>69.66</v>
          </cell>
        </row>
        <row r="443">
          <cell r="K443" t="str">
            <v>Pohuwato</v>
          </cell>
          <cell r="L443">
            <v>69.930000000000007</v>
          </cell>
          <cell r="M443">
            <v>64.61</v>
          </cell>
          <cell r="N443">
            <v>68.02</v>
          </cell>
        </row>
        <row r="444">
          <cell r="K444" t="str">
            <v>Bone Bolango</v>
          </cell>
          <cell r="L444">
            <v>74.67</v>
          </cell>
          <cell r="M444">
            <v>66.650000000000006</v>
          </cell>
          <cell r="N444">
            <v>72.38</v>
          </cell>
        </row>
        <row r="445">
          <cell r="K445" t="str">
            <v>Gorontalo Utara</v>
          </cell>
          <cell r="L445">
            <v>70.75</v>
          </cell>
          <cell r="M445">
            <v>58.58</v>
          </cell>
          <cell r="N445">
            <v>67.459999999999994</v>
          </cell>
        </row>
        <row r="446">
          <cell r="K446" t="str">
            <v>Kota Gorontalo</v>
          </cell>
          <cell r="L446">
            <v>82.36</v>
          </cell>
          <cell r="M446">
            <v>72.86</v>
          </cell>
          <cell r="N446">
            <v>79.180000000000007</v>
          </cell>
        </row>
        <row r="447">
          <cell r="K447" t="str">
            <v>Majene</v>
          </cell>
          <cell r="L447">
            <v>71.72</v>
          </cell>
          <cell r="M447">
            <v>68.25</v>
          </cell>
          <cell r="N447">
            <v>69.42</v>
          </cell>
        </row>
        <row r="448">
          <cell r="K448" t="str">
            <v>Polewali Mandar</v>
          </cell>
          <cell r="L448">
            <v>69.72</v>
          </cell>
          <cell r="M448">
            <v>64.319999999999993</v>
          </cell>
          <cell r="N448">
            <v>66.22</v>
          </cell>
        </row>
        <row r="449">
          <cell r="K449" t="str">
            <v>Mamasa</v>
          </cell>
          <cell r="L449">
            <v>69.47</v>
          </cell>
          <cell r="M449">
            <v>68.34</v>
          </cell>
          <cell r="N449">
            <v>68.37</v>
          </cell>
        </row>
        <row r="450">
          <cell r="K450" t="str">
            <v>Mamuju</v>
          </cell>
          <cell r="L450">
            <v>73.16</v>
          </cell>
          <cell r="M450">
            <v>66.52</v>
          </cell>
          <cell r="N450">
            <v>70.400000000000006</v>
          </cell>
        </row>
        <row r="451">
          <cell r="K451" t="str">
            <v>Mamuju Utara / Pasangkayu</v>
          </cell>
          <cell r="L451">
            <v>74.11</v>
          </cell>
          <cell r="M451">
            <v>63.84</v>
          </cell>
          <cell r="N451">
            <v>69.73</v>
          </cell>
        </row>
        <row r="452">
          <cell r="K452" t="str">
            <v>Mamuju Tengah</v>
          </cell>
          <cell r="L452">
            <v>72.92</v>
          </cell>
          <cell r="M452">
            <v>63.25</v>
          </cell>
          <cell r="N452">
            <v>68.36</v>
          </cell>
        </row>
        <row r="453">
          <cell r="K453" t="str">
            <v>Maluku Tenggara Barat / Kepulauan Tanimbar</v>
          </cell>
          <cell r="L453">
            <v>68.040000000000006</v>
          </cell>
          <cell r="M453">
            <v>59.57</v>
          </cell>
          <cell r="N453">
            <v>64.83</v>
          </cell>
        </row>
        <row r="454">
          <cell r="K454" t="str">
            <v>Maluku Tenggara</v>
          </cell>
          <cell r="L454">
            <v>69.97</v>
          </cell>
          <cell r="M454">
            <v>67.72</v>
          </cell>
          <cell r="N454">
            <v>68.239999999999995</v>
          </cell>
        </row>
        <row r="455">
          <cell r="K455" t="str">
            <v>Maluku Tengah</v>
          </cell>
          <cell r="L455">
            <v>74.33</v>
          </cell>
          <cell r="M455">
            <v>73.09</v>
          </cell>
          <cell r="N455">
            <v>73.209999999999994</v>
          </cell>
        </row>
        <row r="456">
          <cell r="K456" t="str">
            <v>Buru</v>
          </cell>
          <cell r="L456">
            <v>75.53</v>
          </cell>
          <cell r="M456">
            <v>69.349999999999994</v>
          </cell>
          <cell r="N456">
            <v>71.010000000000005</v>
          </cell>
        </row>
        <row r="457">
          <cell r="K457" t="str">
            <v>Kepulauan Aru</v>
          </cell>
          <cell r="L457">
            <v>69.819999999999993</v>
          </cell>
          <cell r="M457">
            <v>62.5</v>
          </cell>
          <cell r="N457">
            <v>65.83</v>
          </cell>
        </row>
        <row r="458">
          <cell r="K458" t="str">
            <v>Seram Bagian Barat</v>
          </cell>
          <cell r="L458">
            <v>68.72</v>
          </cell>
          <cell r="M458">
            <v>67.62</v>
          </cell>
          <cell r="N458">
            <v>68.39</v>
          </cell>
        </row>
        <row r="459">
          <cell r="K459" t="str">
            <v>Seram Bagian Timur</v>
          </cell>
          <cell r="L459">
            <v>70.010000000000005</v>
          </cell>
          <cell r="M459">
            <v>62.19</v>
          </cell>
          <cell r="N459">
            <v>66.239999999999995</v>
          </cell>
        </row>
        <row r="460">
          <cell r="K460" t="str">
            <v>Maluku Barat Daya</v>
          </cell>
          <cell r="L460">
            <v>68.680000000000007</v>
          </cell>
          <cell r="M460">
            <v>62.26</v>
          </cell>
          <cell r="N460">
            <v>64.86</v>
          </cell>
        </row>
        <row r="461">
          <cell r="K461" t="str">
            <v>Buru Selatan</v>
          </cell>
          <cell r="L461">
            <v>72.989999999999995</v>
          </cell>
          <cell r="M461">
            <v>63.69</v>
          </cell>
          <cell r="N461">
            <v>67.09</v>
          </cell>
        </row>
        <row r="462">
          <cell r="K462" t="str">
            <v>Kota Ambon</v>
          </cell>
          <cell r="L462">
            <v>84.01</v>
          </cell>
          <cell r="M462">
            <v>82.29</v>
          </cell>
          <cell r="N462">
            <v>82.56</v>
          </cell>
        </row>
        <row r="463">
          <cell r="K463" t="str">
            <v>Kota Tual</v>
          </cell>
          <cell r="L463">
            <v>74.77</v>
          </cell>
          <cell r="M463">
            <v>66.41</v>
          </cell>
          <cell r="N463">
            <v>70.209999999999994</v>
          </cell>
        </row>
        <row r="464">
          <cell r="K464" t="str">
            <v>Halmahera Barat</v>
          </cell>
          <cell r="L464">
            <v>72.06</v>
          </cell>
          <cell r="M464">
            <v>64.349999999999994</v>
          </cell>
          <cell r="N464">
            <v>67.53</v>
          </cell>
        </row>
        <row r="465">
          <cell r="K465" t="str">
            <v>Halmahera Tengah</v>
          </cell>
          <cell r="L465">
            <v>72.34</v>
          </cell>
          <cell r="M465">
            <v>65.540000000000006</v>
          </cell>
          <cell r="N465">
            <v>68.45</v>
          </cell>
        </row>
        <row r="466">
          <cell r="K466" t="str">
            <v>Kepulauan Sula</v>
          </cell>
          <cell r="L466">
            <v>69.739999999999995</v>
          </cell>
          <cell r="M466">
            <v>64.989999999999995</v>
          </cell>
          <cell r="N466">
            <v>65.989999999999995</v>
          </cell>
        </row>
        <row r="467">
          <cell r="K467" t="str">
            <v>Halmahera Selatan</v>
          </cell>
          <cell r="L467">
            <v>71.64</v>
          </cell>
          <cell r="M467">
            <v>62.89</v>
          </cell>
          <cell r="N467">
            <v>66.66</v>
          </cell>
        </row>
        <row r="468">
          <cell r="K468" t="str">
            <v>Halmahera Utara</v>
          </cell>
          <cell r="L468">
            <v>75.069999999999993</v>
          </cell>
          <cell r="M468">
            <v>67.75</v>
          </cell>
          <cell r="N468">
            <v>69.78</v>
          </cell>
        </row>
        <row r="469">
          <cell r="K469" t="str">
            <v>Halmahera Timur</v>
          </cell>
          <cell r="L469">
            <v>75.11</v>
          </cell>
          <cell r="M469">
            <v>62.11</v>
          </cell>
          <cell r="N469">
            <v>69.58</v>
          </cell>
        </row>
        <row r="470">
          <cell r="K470" t="str">
            <v>Pulau Morotai</v>
          </cell>
          <cell r="L470">
            <v>71.44</v>
          </cell>
          <cell r="M470">
            <v>51.87</v>
          </cell>
          <cell r="N470">
            <v>65.680000000000007</v>
          </cell>
        </row>
        <row r="471">
          <cell r="K471" t="str">
            <v>Pulau Taliabu</v>
          </cell>
          <cell r="L471">
            <v>68.75</v>
          </cell>
          <cell r="M471">
            <v>58.39</v>
          </cell>
          <cell r="N471">
            <v>62.9</v>
          </cell>
        </row>
        <row r="472">
          <cell r="K472" t="str">
            <v>Kota Ternate</v>
          </cell>
          <cell r="L472">
            <v>85.57</v>
          </cell>
          <cell r="M472">
            <v>78.930000000000007</v>
          </cell>
          <cell r="N472">
            <v>82.12</v>
          </cell>
        </row>
        <row r="473">
          <cell r="K473" t="str">
            <v>Kota Tidore Kepulauan</v>
          </cell>
          <cell r="L473">
            <v>75.180000000000007</v>
          </cell>
          <cell r="M473">
            <v>72.62</v>
          </cell>
          <cell r="N473">
            <v>72.91</v>
          </cell>
        </row>
        <row r="474">
          <cell r="K474" t="str">
            <v>Fakfak</v>
          </cell>
          <cell r="L474">
            <v>76.59</v>
          </cell>
          <cell r="M474">
            <v>64.680000000000007</v>
          </cell>
          <cell r="N474">
            <v>70.39</v>
          </cell>
        </row>
        <row r="475">
          <cell r="K475" t="str">
            <v>Kaimana</v>
          </cell>
          <cell r="L475">
            <v>73.040000000000006</v>
          </cell>
          <cell r="M475">
            <v>62</v>
          </cell>
          <cell r="N475">
            <v>67.599999999999994</v>
          </cell>
        </row>
        <row r="476">
          <cell r="K476" t="str">
            <v>Teluk Wondama</v>
          </cell>
          <cell r="L476">
            <v>69.5</v>
          </cell>
          <cell r="M476">
            <v>55.85</v>
          </cell>
          <cell r="N476">
            <v>62.36</v>
          </cell>
        </row>
        <row r="477">
          <cell r="K477" t="str">
            <v>Teluk Bintuni</v>
          </cell>
          <cell r="L477">
            <v>71.87</v>
          </cell>
          <cell r="M477">
            <v>62.26</v>
          </cell>
          <cell r="N477">
            <v>66.75</v>
          </cell>
        </row>
        <row r="478">
          <cell r="K478" t="str">
            <v>Manokwari</v>
          </cell>
          <cell r="L478">
            <v>80.650000000000006</v>
          </cell>
          <cell r="M478">
            <v>68.849999999999994</v>
          </cell>
          <cell r="N478">
            <v>73.83</v>
          </cell>
        </row>
        <row r="479">
          <cell r="K479" t="str">
            <v>Sorong Selatan</v>
          </cell>
          <cell r="L479" t="str">
            <v>-</v>
          </cell>
          <cell r="M479" t="str">
            <v>-</v>
          </cell>
          <cell r="N479" t="str">
            <v>-</v>
          </cell>
        </row>
        <row r="480">
          <cell r="K480" t="str">
            <v>Sorong</v>
          </cell>
          <cell r="L480" t="str">
            <v>-</v>
          </cell>
          <cell r="M480" t="str">
            <v>-</v>
          </cell>
          <cell r="N480" t="str">
            <v>-</v>
          </cell>
        </row>
        <row r="481">
          <cell r="K481" t="str">
            <v>Raja Ampat</v>
          </cell>
          <cell r="L481" t="str">
            <v>-</v>
          </cell>
          <cell r="M481" t="str">
            <v>-</v>
          </cell>
          <cell r="N481" t="str">
            <v>-</v>
          </cell>
        </row>
        <row r="482">
          <cell r="K482" t="str">
            <v>Tambrauw</v>
          </cell>
          <cell r="L482" t="str">
            <v>-</v>
          </cell>
          <cell r="M482" t="str">
            <v>-</v>
          </cell>
          <cell r="N482" t="str">
            <v>-</v>
          </cell>
        </row>
        <row r="483">
          <cell r="K483" t="str">
            <v>Maybrat</v>
          </cell>
          <cell r="L483" t="str">
            <v>-</v>
          </cell>
          <cell r="M483" t="str">
            <v>-</v>
          </cell>
          <cell r="N483" t="str">
            <v>-</v>
          </cell>
        </row>
        <row r="484">
          <cell r="K484" t="str">
            <v>Manokwari Selatan</v>
          </cell>
          <cell r="L484">
            <v>71.540000000000006</v>
          </cell>
          <cell r="M484">
            <v>48.58</v>
          </cell>
          <cell r="N484">
            <v>62.45</v>
          </cell>
        </row>
        <row r="485">
          <cell r="K485" t="str">
            <v>Pegunungan Arfak</v>
          </cell>
          <cell r="L485">
            <v>66.58</v>
          </cell>
          <cell r="M485">
            <v>53.24</v>
          </cell>
          <cell r="N485">
            <v>58.73</v>
          </cell>
        </row>
        <row r="486">
          <cell r="K486" t="str">
            <v>Kota Sorong</v>
          </cell>
          <cell r="L486" t="str">
            <v>-</v>
          </cell>
          <cell r="M486" t="str">
            <v>-</v>
          </cell>
          <cell r="N486" t="str">
            <v>-</v>
          </cell>
        </row>
        <row r="487">
          <cell r="K487" t="str">
            <v>Raja Ampat</v>
          </cell>
          <cell r="L487">
            <v>71.55</v>
          </cell>
          <cell r="M487">
            <v>56.94</v>
          </cell>
          <cell r="N487">
            <v>65.86</v>
          </cell>
        </row>
        <row r="488">
          <cell r="K488" t="str">
            <v>Sorong</v>
          </cell>
          <cell r="L488">
            <v>73.08</v>
          </cell>
          <cell r="M488">
            <v>63.5</v>
          </cell>
          <cell r="N488">
            <v>68.290000000000006</v>
          </cell>
        </row>
        <row r="489">
          <cell r="K489" t="str">
            <v>Sorong Selatan</v>
          </cell>
          <cell r="L489">
            <v>70.319999999999993</v>
          </cell>
          <cell r="M489">
            <v>59.1</v>
          </cell>
          <cell r="N489">
            <v>64.5</v>
          </cell>
        </row>
        <row r="490">
          <cell r="K490" t="str">
            <v>Maybrat</v>
          </cell>
          <cell r="L490">
            <v>69.63</v>
          </cell>
          <cell r="M490">
            <v>55.33</v>
          </cell>
          <cell r="N490">
            <v>61.83</v>
          </cell>
        </row>
        <row r="491">
          <cell r="K491" t="str">
            <v>Tambrauw</v>
          </cell>
          <cell r="L491">
            <v>65.150000000000006</v>
          </cell>
          <cell r="M491">
            <v>46.4</v>
          </cell>
          <cell r="N491">
            <v>56.32</v>
          </cell>
        </row>
        <row r="492">
          <cell r="K492" t="str">
            <v>Kota Sorong</v>
          </cell>
          <cell r="L492">
            <v>83.9</v>
          </cell>
          <cell r="M492">
            <v>77.33</v>
          </cell>
          <cell r="N492">
            <v>79.930000000000007</v>
          </cell>
        </row>
        <row r="493">
          <cell r="K493" t="str">
            <v>Merauke</v>
          </cell>
          <cell r="L493" t="str">
            <v>-</v>
          </cell>
          <cell r="M493" t="str">
            <v>-</v>
          </cell>
          <cell r="N493" t="str">
            <v>-</v>
          </cell>
        </row>
        <row r="494">
          <cell r="K494" t="str">
            <v>Jayawijaya</v>
          </cell>
          <cell r="L494" t="str">
            <v>-</v>
          </cell>
          <cell r="M494" t="str">
            <v>-</v>
          </cell>
          <cell r="N494" t="str">
            <v>-</v>
          </cell>
        </row>
        <row r="495">
          <cell r="K495" t="str">
            <v>Jayapura</v>
          </cell>
          <cell r="L495">
            <v>78.290000000000006</v>
          </cell>
          <cell r="M495">
            <v>71.739999999999995</v>
          </cell>
          <cell r="N495">
            <v>74.11</v>
          </cell>
        </row>
        <row r="496">
          <cell r="K496" t="str">
            <v>Nabire</v>
          </cell>
          <cell r="L496" t="str">
            <v>-</v>
          </cell>
          <cell r="M496" t="str">
            <v>-</v>
          </cell>
          <cell r="N496" t="str">
            <v>-</v>
          </cell>
        </row>
        <row r="497">
          <cell r="K497" t="str">
            <v>Kepulauan Yapen</v>
          </cell>
          <cell r="L497">
            <v>74.569999999999993</v>
          </cell>
          <cell r="M497">
            <v>67.069999999999993</v>
          </cell>
          <cell r="N497">
            <v>69.650000000000006</v>
          </cell>
        </row>
        <row r="498">
          <cell r="K498" t="str">
            <v>Biak Numfor</v>
          </cell>
          <cell r="L498">
            <v>78.39</v>
          </cell>
          <cell r="M498">
            <v>71.62</v>
          </cell>
          <cell r="N498">
            <v>73.98</v>
          </cell>
        </row>
        <row r="499">
          <cell r="K499" t="str">
            <v>Paniai</v>
          </cell>
          <cell r="L499" t="str">
            <v>-</v>
          </cell>
          <cell r="M499" t="str">
            <v>-</v>
          </cell>
          <cell r="N499" t="str">
            <v>-</v>
          </cell>
        </row>
        <row r="500">
          <cell r="K500" t="str">
            <v>Puncak Jaya</v>
          </cell>
          <cell r="L500" t="str">
            <v>-</v>
          </cell>
          <cell r="M500" t="str">
            <v>-</v>
          </cell>
          <cell r="N500" t="str">
            <v>-</v>
          </cell>
        </row>
        <row r="501">
          <cell r="K501" t="str">
            <v>Mimika</v>
          </cell>
          <cell r="L501" t="str">
            <v>-</v>
          </cell>
          <cell r="M501" t="str">
            <v>-</v>
          </cell>
          <cell r="N501" t="str">
            <v>-</v>
          </cell>
        </row>
        <row r="502">
          <cell r="K502" t="str">
            <v>Boven Digoel</v>
          </cell>
          <cell r="L502" t="str">
            <v>-</v>
          </cell>
          <cell r="M502" t="str">
            <v>-</v>
          </cell>
          <cell r="N502" t="str">
            <v>-</v>
          </cell>
        </row>
        <row r="503">
          <cell r="K503" t="str">
            <v>Mappi</v>
          </cell>
          <cell r="L503" t="str">
            <v>-</v>
          </cell>
          <cell r="M503" t="str">
            <v>-</v>
          </cell>
          <cell r="N503" t="str">
            <v>-</v>
          </cell>
        </row>
        <row r="504">
          <cell r="K504" t="str">
            <v>Asmat</v>
          </cell>
          <cell r="L504" t="str">
            <v>-</v>
          </cell>
          <cell r="M504" t="str">
            <v>-</v>
          </cell>
          <cell r="N504" t="str">
            <v>-</v>
          </cell>
        </row>
        <row r="505">
          <cell r="K505" t="str">
            <v>Yahukimo</v>
          </cell>
          <cell r="L505" t="str">
            <v>-</v>
          </cell>
          <cell r="M505" t="str">
            <v>-</v>
          </cell>
          <cell r="N505" t="str">
            <v>-</v>
          </cell>
        </row>
        <row r="506">
          <cell r="K506" t="str">
            <v>Pegunungan Bintang</v>
          </cell>
          <cell r="L506" t="str">
            <v>-</v>
          </cell>
          <cell r="M506" t="str">
            <v>-</v>
          </cell>
          <cell r="N506" t="str">
            <v>-</v>
          </cell>
        </row>
        <row r="507">
          <cell r="K507" t="str">
            <v>Tolikara</v>
          </cell>
          <cell r="L507" t="str">
            <v>-</v>
          </cell>
          <cell r="M507" t="str">
            <v>-</v>
          </cell>
          <cell r="N507" t="str">
            <v>-</v>
          </cell>
        </row>
        <row r="508">
          <cell r="K508" t="str">
            <v>Sarmi</v>
          </cell>
          <cell r="L508">
            <v>72.16</v>
          </cell>
          <cell r="M508">
            <v>60.82</v>
          </cell>
          <cell r="N508">
            <v>66.72</v>
          </cell>
        </row>
        <row r="509">
          <cell r="K509" t="str">
            <v>Keerom</v>
          </cell>
          <cell r="L509">
            <v>73.459999999999994</v>
          </cell>
          <cell r="M509">
            <v>64.739999999999995</v>
          </cell>
          <cell r="N509">
            <v>68.680000000000007</v>
          </cell>
        </row>
        <row r="510">
          <cell r="K510" t="str">
            <v>Waropen</v>
          </cell>
          <cell r="L510">
            <v>72.73</v>
          </cell>
          <cell r="M510">
            <v>52.57</v>
          </cell>
          <cell r="N510">
            <v>66.92</v>
          </cell>
        </row>
        <row r="511">
          <cell r="K511" t="str">
            <v>Supiori</v>
          </cell>
          <cell r="L511">
            <v>70.92</v>
          </cell>
          <cell r="M511">
            <v>55.92</v>
          </cell>
          <cell r="N511">
            <v>65.150000000000006</v>
          </cell>
        </row>
        <row r="512">
          <cell r="K512" t="str">
            <v>Mamberamo Raya</v>
          </cell>
          <cell r="L512">
            <v>59.99</v>
          </cell>
          <cell r="M512">
            <v>50.11</v>
          </cell>
          <cell r="N512">
            <v>55</v>
          </cell>
        </row>
        <row r="513">
          <cell r="K513" t="str">
            <v>Nduga</v>
          </cell>
          <cell r="L513" t="str">
            <v>-</v>
          </cell>
          <cell r="M513" t="str">
            <v>-</v>
          </cell>
          <cell r="N513" t="str">
            <v>-</v>
          </cell>
        </row>
        <row r="514">
          <cell r="K514" t="str">
            <v>Lanny Jaya</v>
          </cell>
          <cell r="L514" t="str">
            <v>-</v>
          </cell>
          <cell r="M514" t="str">
            <v>-</v>
          </cell>
          <cell r="N514" t="str">
            <v>-</v>
          </cell>
        </row>
        <row r="515">
          <cell r="K515" t="str">
            <v>Mamberamo Tengah</v>
          </cell>
          <cell r="L515" t="str">
            <v>-</v>
          </cell>
          <cell r="M515" t="str">
            <v>-</v>
          </cell>
          <cell r="N515" t="str">
            <v>-</v>
          </cell>
        </row>
        <row r="516">
          <cell r="K516" t="str">
            <v>Yalimo</v>
          </cell>
          <cell r="L516" t="str">
            <v>-</v>
          </cell>
          <cell r="M516" t="str">
            <v>-</v>
          </cell>
          <cell r="N516" t="str">
            <v>-</v>
          </cell>
        </row>
        <row r="517">
          <cell r="K517" t="str">
            <v>Puncak</v>
          </cell>
          <cell r="L517" t="str">
            <v>-</v>
          </cell>
          <cell r="M517" t="str">
            <v>-</v>
          </cell>
          <cell r="N517" t="str">
            <v>-</v>
          </cell>
        </row>
        <row r="518">
          <cell r="K518" t="str">
            <v>Dogiyai</v>
          </cell>
          <cell r="L518" t="str">
            <v>-</v>
          </cell>
          <cell r="M518" t="str">
            <v>-</v>
          </cell>
          <cell r="N518" t="str">
            <v>-</v>
          </cell>
        </row>
        <row r="519">
          <cell r="K519" t="str">
            <v>Intan Jaya</v>
          </cell>
          <cell r="L519" t="str">
            <v>-</v>
          </cell>
          <cell r="M519" t="str">
            <v>-</v>
          </cell>
          <cell r="N519" t="str">
            <v>-</v>
          </cell>
        </row>
        <row r="520">
          <cell r="K520" t="str">
            <v>Deiyai</v>
          </cell>
          <cell r="L520" t="str">
            <v>-</v>
          </cell>
          <cell r="M520" t="str">
            <v>-</v>
          </cell>
          <cell r="N520" t="str">
            <v>-</v>
          </cell>
        </row>
        <row r="521">
          <cell r="K521" t="str">
            <v>Kota Jayapura</v>
          </cell>
          <cell r="L521">
            <v>84.51</v>
          </cell>
          <cell r="M521">
            <v>80.05</v>
          </cell>
          <cell r="N521">
            <v>81.67</v>
          </cell>
        </row>
        <row r="522">
          <cell r="K522" t="str">
            <v>Merauke</v>
          </cell>
          <cell r="L522">
            <v>77.45</v>
          </cell>
          <cell r="M522">
            <v>69.569999999999993</v>
          </cell>
          <cell r="N522">
            <v>72.73</v>
          </cell>
        </row>
        <row r="523">
          <cell r="K523" t="str">
            <v>Boven Digoel</v>
          </cell>
          <cell r="L523">
            <v>69.17</v>
          </cell>
          <cell r="M523">
            <v>55.88</v>
          </cell>
          <cell r="N523">
            <v>64.260000000000005</v>
          </cell>
        </row>
        <row r="524">
          <cell r="K524" t="str">
            <v>Mappi</v>
          </cell>
          <cell r="L524">
            <v>66.77</v>
          </cell>
          <cell r="M524">
            <v>57.36</v>
          </cell>
          <cell r="N524">
            <v>61.51</v>
          </cell>
        </row>
        <row r="525">
          <cell r="K525" t="str">
            <v>Asmat</v>
          </cell>
          <cell r="L525">
            <v>60.32</v>
          </cell>
          <cell r="M525">
            <v>35.01</v>
          </cell>
          <cell r="N525">
            <v>53.92</v>
          </cell>
        </row>
        <row r="526">
          <cell r="K526" t="str">
            <v>Mimika</v>
          </cell>
          <cell r="L526">
            <v>82.06</v>
          </cell>
          <cell r="M526">
            <v>64.319999999999993</v>
          </cell>
          <cell r="N526">
            <v>76.849999999999994</v>
          </cell>
        </row>
        <row r="527">
          <cell r="K527" t="str">
            <v>Dogiyai</v>
          </cell>
          <cell r="L527">
            <v>62.11</v>
          </cell>
          <cell r="M527">
            <v>51.05</v>
          </cell>
          <cell r="N527">
            <v>57.68</v>
          </cell>
        </row>
        <row r="528">
          <cell r="K528" t="str">
            <v>Deiyai</v>
          </cell>
          <cell r="L528">
            <v>58.29</v>
          </cell>
          <cell r="M528">
            <v>42</v>
          </cell>
          <cell r="N528">
            <v>52.07</v>
          </cell>
        </row>
        <row r="529">
          <cell r="K529" t="str">
            <v>Nabire</v>
          </cell>
          <cell r="L529">
            <v>76.8</v>
          </cell>
          <cell r="M529">
            <v>70.260000000000005</v>
          </cell>
          <cell r="N529">
            <v>71.77</v>
          </cell>
        </row>
        <row r="530">
          <cell r="K530" t="str">
            <v>Paniai</v>
          </cell>
          <cell r="L530">
            <v>64.11</v>
          </cell>
          <cell r="M530">
            <v>45.11</v>
          </cell>
          <cell r="N530">
            <v>58.69</v>
          </cell>
        </row>
        <row r="531">
          <cell r="K531" t="str">
            <v>Intan Jaya</v>
          </cell>
          <cell r="L531">
            <v>57.65</v>
          </cell>
          <cell r="M531">
            <v>42.47</v>
          </cell>
          <cell r="N531">
            <v>50.71</v>
          </cell>
        </row>
        <row r="532">
          <cell r="K532" t="str">
            <v>Puncak</v>
          </cell>
          <cell r="L532">
            <v>47.53</v>
          </cell>
          <cell r="M532">
            <v>41.34</v>
          </cell>
          <cell r="N532">
            <v>45.6</v>
          </cell>
        </row>
        <row r="533">
          <cell r="K533" t="str">
            <v>Puncak Jaya</v>
          </cell>
          <cell r="L533">
            <v>57.94</v>
          </cell>
          <cell r="M533">
            <v>40.35</v>
          </cell>
          <cell r="N533">
            <v>51.78</v>
          </cell>
        </row>
        <row r="534">
          <cell r="K534" t="str">
            <v>Nduga</v>
          </cell>
          <cell r="L534">
            <v>39.72</v>
          </cell>
          <cell r="M534">
            <v>36.08</v>
          </cell>
          <cell r="N534">
            <v>36.299999999999997</v>
          </cell>
        </row>
        <row r="535">
          <cell r="K535" t="str">
            <v>Jayawijaya</v>
          </cell>
          <cell r="L535">
            <v>64.489999999999995</v>
          </cell>
          <cell r="M535">
            <v>55.51</v>
          </cell>
          <cell r="N535">
            <v>61.03</v>
          </cell>
        </row>
        <row r="536">
          <cell r="K536" t="str">
            <v>Lanny Jaya</v>
          </cell>
          <cell r="L536">
            <v>54.38</v>
          </cell>
          <cell r="M536">
            <v>51.34</v>
          </cell>
          <cell r="N536">
            <v>51.59</v>
          </cell>
        </row>
        <row r="537">
          <cell r="K537" t="str">
            <v>Tolikara</v>
          </cell>
          <cell r="L537">
            <v>59.71</v>
          </cell>
          <cell r="M537">
            <v>38.08</v>
          </cell>
          <cell r="N537">
            <v>52.05</v>
          </cell>
        </row>
        <row r="538">
          <cell r="K538" t="str">
            <v>Mamberamo Tengah</v>
          </cell>
          <cell r="L538">
            <v>54.34</v>
          </cell>
          <cell r="M538">
            <v>49.02</v>
          </cell>
          <cell r="N538">
            <v>50.72</v>
          </cell>
        </row>
        <row r="539">
          <cell r="K539" t="str">
            <v>Yalimo</v>
          </cell>
          <cell r="L539">
            <v>59.29</v>
          </cell>
          <cell r="M539">
            <v>51.25</v>
          </cell>
          <cell r="N539">
            <v>51.85</v>
          </cell>
        </row>
        <row r="540">
          <cell r="K540" t="str">
            <v>Yahukimo</v>
          </cell>
          <cell r="L540">
            <v>60.79</v>
          </cell>
          <cell r="M540">
            <v>46.61</v>
          </cell>
          <cell r="N540">
            <v>51.98</v>
          </cell>
        </row>
        <row r="541">
          <cell r="K541" t="str">
            <v>Pegunungan Bintang</v>
          </cell>
          <cell r="L541">
            <v>55.97</v>
          </cell>
          <cell r="M541">
            <v>46.45</v>
          </cell>
          <cell r="N541">
            <v>49.36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CF010-168F-4365-A12F-3CA797E280E2}">
  <dimension ref="A1:AA515"/>
  <sheetViews>
    <sheetView tabSelected="1" topLeftCell="A505" workbookViewId="0">
      <selection activeCell="B514" sqref="B514"/>
    </sheetView>
  </sheetViews>
  <sheetFormatPr defaultRowHeight="14.5" x14ac:dyDescent="0.35"/>
  <cols>
    <col min="1" max="1" width="25.453125" bestFit="1" customWidth="1"/>
    <col min="2" max="2" width="9.6328125" customWidth="1"/>
  </cols>
  <sheetData>
    <row r="1" spans="1:27" x14ac:dyDescent="0.35">
      <c r="A1" t="s">
        <v>0</v>
      </c>
      <c r="B1" t="s">
        <v>597</v>
      </c>
      <c r="C1" t="s">
        <v>1</v>
      </c>
      <c r="D1" t="s">
        <v>1114</v>
      </c>
      <c r="E1" t="s">
        <v>585</v>
      </c>
      <c r="F1" t="s">
        <v>556</v>
      </c>
      <c r="G1" t="s">
        <v>555</v>
      </c>
      <c r="H1" t="s">
        <v>580</v>
      </c>
      <c r="I1" t="s">
        <v>557</v>
      </c>
      <c r="J1" t="s">
        <v>558</v>
      </c>
      <c r="K1" t="s">
        <v>579</v>
      </c>
      <c r="L1" t="s">
        <v>569</v>
      </c>
      <c r="M1" t="s">
        <v>570</v>
      </c>
      <c r="N1" t="s">
        <v>571</v>
      </c>
      <c r="O1" t="s">
        <v>560</v>
      </c>
      <c r="P1" t="s">
        <v>561</v>
      </c>
      <c r="Q1" t="s">
        <v>562</v>
      </c>
      <c r="R1" t="s">
        <v>581</v>
      </c>
      <c r="S1" t="s">
        <v>582</v>
      </c>
      <c r="T1" t="s">
        <v>583</v>
      </c>
      <c r="U1" t="s">
        <v>563</v>
      </c>
      <c r="V1" t="s">
        <v>564</v>
      </c>
      <c r="W1" t="s">
        <v>565</v>
      </c>
      <c r="X1" t="s">
        <v>577</v>
      </c>
      <c r="Y1" t="s">
        <v>595</v>
      </c>
      <c r="Z1" t="s">
        <v>593</v>
      </c>
      <c r="AA1" t="s">
        <v>596</v>
      </c>
    </row>
    <row r="2" spans="1:27" x14ac:dyDescent="0.35">
      <c r="A2" t="s">
        <v>2</v>
      </c>
      <c r="B2" t="s">
        <v>600</v>
      </c>
      <c r="C2" t="s">
        <v>25</v>
      </c>
      <c r="D2" t="str">
        <f>LEFT(B2,2)</f>
        <v>11</v>
      </c>
      <c r="E2" t="s">
        <v>592</v>
      </c>
      <c r="F2">
        <v>10.36</v>
      </c>
      <c r="G2">
        <v>9.66</v>
      </c>
      <c r="H2">
        <v>10.09</v>
      </c>
      <c r="I2">
        <v>14.58</v>
      </c>
      <c r="J2">
        <v>14.76</v>
      </c>
      <c r="K2">
        <v>14.59</v>
      </c>
      <c r="L2">
        <v>77.3</v>
      </c>
      <c r="M2">
        <v>62.04</v>
      </c>
      <c r="N2">
        <v>71.94</v>
      </c>
      <c r="O2">
        <v>6.48</v>
      </c>
      <c r="P2">
        <v>3.58</v>
      </c>
      <c r="Q2">
        <v>5.31</v>
      </c>
      <c r="R2">
        <v>67.989999999999995</v>
      </c>
      <c r="S2">
        <v>71.94</v>
      </c>
      <c r="T2">
        <v>69.92</v>
      </c>
      <c r="U2">
        <v>82.15</v>
      </c>
      <c r="V2">
        <v>58.12</v>
      </c>
      <c r="W2">
        <v>70.14</v>
      </c>
      <c r="X2">
        <v>0.36799999999999999</v>
      </c>
      <c r="Y2">
        <v>80.260000000000005</v>
      </c>
      <c r="Z2">
        <v>3437.91</v>
      </c>
      <c r="AA2">
        <v>100136</v>
      </c>
    </row>
    <row r="3" spans="1:27" x14ac:dyDescent="0.35">
      <c r="A3" t="s">
        <v>3</v>
      </c>
      <c r="B3" t="s">
        <v>601</v>
      </c>
      <c r="C3" t="s">
        <v>25</v>
      </c>
      <c r="D3" t="str">
        <f t="shared" ref="D3:D66" si="0">LEFT(B3,2)</f>
        <v>11</v>
      </c>
      <c r="E3" t="s">
        <v>592</v>
      </c>
      <c r="F3">
        <v>9.35</v>
      </c>
      <c r="G3">
        <v>8.64</v>
      </c>
      <c r="H3">
        <v>9.0500000000000007</v>
      </c>
      <c r="I3">
        <v>14.41</v>
      </c>
      <c r="J3">
        <v>14.16</v>
      </c>
      <c r="K3">
        <v>14.37</v>
      </c>
      <c r="L3">
        <v>78.41</v>
      </c>
      <c r="M3">
        <v>67.239999999999995</v>
      </c>
      <c r="N3">
        <v>72.62</v>
      </c>
      <c r="O3">
        <v>4.25</v>
      </c>
      <c r="P3">
        <v>10.24</v>
      </c>
      <c r="Q3">
        <v>6.55</v>
      </c>
      <c r="R3">
        <v>68.23</v>
      </c>
      <c r="S3">
        <v>72.17</v>
      </c>
      <c r="T3">
        <v>70.150000000000006</v>
      </c>
      <c r="U3">
        <v>70.540000000000006</v>
      </c>
      <c r="V3">
        <v>44.68</v>
      </c>
      <c r="W3">
        <v>57.61</v>
      </c>
      <c r="X3">
        <v>0.47799999999999998</v>
      </c>
      <c r="Y3">
        <v>85.75</v>
      </c>
      <c r="Z3">
        <v>3744.49</v>
      </c>
      <c r="AA3">
        <v>138070</v>
      </c>
    </row>
    <row r="4" spans="1:27" x14ac:dyDescent="0.35">
      <c r="A4" t="s">
        <v>4</v>
      </c>
      <c r="B4" t="s">
        <v>602</v>
      </c>
      <c r="C4" t="s">
        <v>25</v>
      </c>
      <c r="D4" t="str">
        <f t="shared" si="0"/>
        <v>11</v>
      </c>
      <c r="E4" t="s">
        <v>592</v>
      </c>
      <c r="F4">
        <v>9.3800000000000008</v>
      </c>
      <c r="G4">
        <v>8.7899999999999991</v>
      </c>
      <c r="H4">
        <v>9.25</v>
      </c>
      <c r="I4">
        <v>14.6</v>
      </c>
      <c r="J4">
        <v>15</v>
      </c>
      <c r="K4">
        <v>14.72</v>
      </c>
      <c r="L4">
        <v>76.260000000000005</v>
      </c>
      <c r="M4">
        <v>70.760000000000005</v>
      </c>
      <c r="N4">
        <v>72.790000000000006</v>
      </c>
      <c r="O4">
        <v>4.8499999999999996</v>
      </c>
      <c r="P4">
        <v>3.33</v>
      </c>
      <c r="Q4">
        <v>4.3899999999999997</v>
      </c>
      <c r="R4">
        <v>68.89</v>
      </c>
      <c r="S4">
        <v>72.83</v>
      </c>
      <c r="T4">
        <v>70.81</v>
      </c>
      <c r="U4">
        <v>83.12</v>
      </c>
      <c r="V4">
        <v>35.64</v>
      </c>
      <c r="W4">
        <v>59.38</v>
      </c>
      <c r="X4">
        <v>0.374</v>
      </c>
      <c r="Y4">
        <v>92.79</v>
      </c>
      <c r="Z4">
        <v>8035.17</v>
      </c>
      <c r="AA4">
        <v>244472</v>
      </c>
    </row>
    <row r="5" spans="1:27" x14ac:dyDescent="0.35">
      <c r="A5" t="s">
        <v>5</v>
      </c>
      <c r="B5" t="s">
        <v>603</v>
      </c>
      <c r="C5" t="s">
        <v>25</v>
      </c>
      <c r="D5" t="str">
        <f t="shared" si="0"/>
        <v>11</v>
      </c>
      <c r="E5" t="s">
        <v>592</v>
      </c>
      <c r="F5">
        <v>10.75</v>
      </c>
      <c r="G5">
        <v>10.11</v>
      </c>
      <c r="H5">
        <v>10.39</v>
      </c>
      <c r="I5">
        <v>14.35</v>
      </c>
      <c r="J5">
        <v>15.02</v>
      </c>
      <c r="K5">
        <v>14.52</v>
      </c>
      <c r="L5">
        <v>78.94</v>
      </c>
      <c r="M5">
        <v>73.98</v>
      </c>
      <c r="N5">
        <v>74.36</v>
      </c>
      <c r="O5">
        <v>1.54</v>
      </c>
      <c r="P5">
        <v>8.6</v>
      </c>
      <c r="Q5">
        <v>4.72</v>
      </c>
      <c r="R5">
        <v>71.010000000000005</v>
      </c>
      <c r="S5">
        <v>75.11</v>
      </c>
      <c r="T5">
        <v>73.010000000000005</v>
      </c>
      <c r="U5">
        <v>77.819999999999993</v>
      </c>
      <c r="V5">
        <v>63.82</v>
      </c>
      <c r="W5">
        <v>70.819999999999993</v>
      </c>
      <c r="X5">
        <v>0.46800000000000003</v>
      </c>
      <c r="Y5">
        <v>93.72</v>
      </c>
      <c r="Z5">
        <v>7230.21</v>
      </c>
      <c r="AA5">
        <v>237910</v>
      </c>
    </row>
    <row r="6" spans="1:27" x14ac:dyDescent="0.35">
      <c r="A6" t="s">
        <v>6</v>
      </c>
      <c r="B6" t="s">
        <v>604</v>
      </c>
      <c r="C6" t="s">
        <v>25</v>
      </c>
      <c r="D6" t="str">
        <f t="shared" si="0"/>
        <v>11</v>
      </c>
      <c r="E6" t="s">
        <v>592</v>
      </c>
      <c r="F6">
        <v>8.93</v>
      </c>
      <c r="G6">
        <v>8.6300000000000008</v>
      </c>
      <c r="H6">
        <v>8.8000000000000007</v>
      </c>
      <c r="I6">
        <v>12.9</v>
      </c>
      <c r="J6">
        <v>13.14</v>
      </c>
      <c r="K6">
        <v>13.09</v>
      </c>
      <c r="L6">
        <v>76.599999999999994</v>
      </c>
      <c r="M6">
        <v>67.22</v>
      </c>
      <c r="N6">
        <v>72.2</v>
      </c>
      <c r="O6">
        <v>4.8</v>
      </c>
      <c r="P6">
        <v>13.48</v>
      </c>
      <c r="Q6">
        <v>7.74</v>
      </c>
      <c r="R6">
        <v>70.489999999999995</v>
      </c>
      <c r="S6">
        <v>74.510000000000005</v>
      </c>
      <c r="T6">
        <v>72.45</v>
      </c>
      <c r="U6">
        <v>81.010000000000005</v>
      </c>
      <c r="V6">
        <v>41.37</v>
      </c>
      <c r="W6">
        <v>61.19</v>
      </c>
      <c r="X6">
        <v>0.60199999999999998</v>
      </c>
      <c r="Y6">
        <v>87.75</v>
      </c>
      <c r="Z6">
        <v>15720.96</v>
      </c>
      <c r="AA6">
        <v>449080</v>
      </c>
    </row>
    <row r="7" spans="1:27" x14ac:dyDescent="0.35">
      <c r="A7" t="s">
        <v>7</v>
      </c>
      <c r="B7" t="s">
        <v>605</v>
      </c>
      <c r="C7" t="s">
        <v>25</v>
      </c>
      <c r="D7" t="str">
        <f t="shared" si="0"/>
        <v>11</v>
      </c>
      <c r="E7" t="s">
        <v>592</v>
      </c>
      <c r="F7">
        <v>10.37</v>
      </c>
      <c r="G7">
        <v>10.27</v>
      </c>
      <c r="H7">
        <v>10.35</v>
      </c>
      <c r="I7">
        <v>14.37</v>
      </c>
      <c r="J7">
        <v>15.65</v>
      </c>
      <c r="K7">
        <v>15.04</v>
      </c>
      <c r="L7">
        <v>78.430000000000007</v>
      </c>
      <c r="M7">
        <v>77.02</v>
      </c>
      <c r="N7">
        <v>78.09</v>
      </c>
      <c r="O7">
        <v>3.23</v>
      </c>
      <c r="P7">
        <v>5.03</v>
      </c>
      <c r="Q7">
        <v>4.03</v>
      </c>
      <c r="R7">
        <v>71.2</v>
      </c>
      <c r="S7">
        <v>75.5</v>
      </c>
      <c r="T7">
        <v>73.290000000000006</v>
      </c>
      <c r="U7">
        <v>85.7</v>
      </c>
      <c r="V7">
        <v>69.33</v>
      </c>
      <c r="W7">
        <v>77.52</v>
      </c>
      <c r="X7">
        <v>0.34</v>
      </c>
      <c r="Y7">
        <v>98.2</v>
      </c>
      <c r="Z7">
        <v>11503.56</v>
      </c>
      <c r="AA7">
        <v>229608</v>
      </c>
    </row>
    <row r="8" spans="1:27" x14ac:dyDescent="0.35">
      <c r="A8" t="s">
        <v>8</v>
      </c>
      <c r="B8" t="s">
        <v>606</v>
      </c>
      <c r="C8" t="s">
        <v>25</v>
      </c>
      <c r="D8" t="str">
        <f t="shared" si="0"/>
        <v>11</v>
      </c>
      <c r="E8" t="s">
        <v>592</v>
      </c>
      <c r="F8">
        <v>10.34</v>
      </c>
      <c r="G8">
        <v>10.1</v>
      </c>
      <c r="H8">
        <v>10.27</v>
      </c>
      <c r="I8">
        <v>14.94</v>
      </c>
      <c r="J8">
        <v>15.04</v>
      </c>
      <c r="K8">
        <v>14.94</v>
      </c>
      <c r="L8">
        <v>80.52</v>
      </c>
      <c r="M8">
        <v>70.23</v>
      </c>
      <c r="N8">
        <v>76.3</v>
      </c>
      <c r="O8">
        <v>5.32</v>
      </c>
      <c r="P8">
        <v>5.69</v>
      </c>
      <c r="Q8">
        <v>5.46</v>
      </c>
      <c r="R8">
        <v>70.349999999999994</v>
      </c>
      <c r="S8">
        <v>74.36</v>
      </c>
      <c r="T8">
        <v>72.31</v>
      </c>
      <c r="U8">
        <v>74.28</v>
      </c>
      <c r="V8">
        <v>47</v>
      </c>
      <c r="W8">
        <v>60.64</v>
      </c>
      <c r="X8">
        <v>0.36799999999999999</v>
      </c>
      <c r="Y8">
        <v>87.22</v>
      </c>
      <c r="Z8">
        <v>14828.76</v>
      </c>
      <c r="AA8">
        <v>208812</v>
      </c>
    </row>
    <row r="9" spans="1:27" x14ac:dyDescent="0.35">
      <c r="A9" t="s">
        <v>9</v>
      </c>
      <c r="B9" t="s">
        <v>607</v>
      </c>
      <c r="C9" t="s">
        <v>25</v>
      </c>
      <c r="D9" t="str">
        <f t="shared" si="0"/>
        <v>11</v>
      </c>
      <c r="E9" t="s">
        <v>592</v>
      </c>
      <c r="F9">
        <v>10.81</v>
      </c>
      <c r="G9">
        <v>10.69</v>
      </c>
      <c r="H9">
        <v>10.69</v>
      </c>
      <c r="I9">
        <v>14.86</v>
      </c>
      <c r="J9">
        <v>15.56</v>
      </c>
      <c r="K9">
        <v>14.92</v>
      </c>
      <c r="L9">
        <v>80.260000000000005</v>
      </c>
      <c r="M9">
        <v>77.06</v>
      </c>
      <c r="N9">
        <v>77.459999999999994</v>
      </c>
      <c r="O9">
        <v>3.57</v>
      </c>
      <c r="P9">
        <v>14.13</v>
      </c>
      <c r="Q9">
        <v>7.86</v>
      </c>
      <c r="R9">
        <v>71.34</v>
      </c>
      <c r="S9">
        <v>75.8</v>
      </c>
      <c r="T9">
        <v>73.510000000000005</v>
      </c>
      <c r="U9">
        <v>79.239999999999995</v>
      </c>
      <c r="V9">
        <v>54.62</v>
      </c>
      <c r="W9">
        <v>66.930000000000007</v>
      </c>
      <c r="X9">
        <v>0.372</v>
      </c>
      <c r="Y9">
        <v>96.01</v>
      </c>
      <c r="Z9">
        <v>19555.16</v>
      </c>
      <c r="AA9">
        <v>434042</v>
      </c>
    </row>
    <row r="10" spans="1:27" x14ac:dyDescent="0.35">
      <c r="A10" t="s">
        <v>10</v>
      </c>
      <c r="B10" t="s">
        <v>608</v>
      </c>
      <c r="C10" t="s">
        <v>25</v>
      </c>
      <c r="D10" t="str">
        <f t="shared" si="0"/>
        <v>11</v>
      </c>
      <c r="E10" t="s">
        <v>592</v>
      </c>
      <c r="F10">
        <v>9.7799999999999994</v>
      </c>
      <c r="G10">
        <v>9.0399999999999991</v>
      </c>
      <c r="H10">
        <v>9.3699999999999992</v>
      </c>
      <c r="I10">
        <v>14.39</v>
      </c>
      <c r="J10">
        <v>14.91</v>
      </c>
      <c r="K10">
        <v>14.53</v>
      </c>
      <c r="L10">
        <v>77.67</v>
      </c>
      <c r="M10">
        <v>73.040000000000006</v>
      </c>
      <c r="N10">
        <v>74.459999999999994</v>
      </c>
      <c r="O10">
        <v>5.72</v>
      </c>
      <c r="P10">
        <v>5.7</v>
      </c>
      <c r="Q10">
        <v>5.71</v>
      </c>
      <c r="R10">
        <v>68.27</v>
      </c>
      <c r="S10">
        <v>72.209999999999994</v>
      </c>
      <c r="T10">
        <v>70.19</v>
      </c>
      <c r="U10">
        <v>76.98</v>
      </c>
      <c r="V10">
        <v>49.32</v>
      </c>
      <c r="W10">
        <v>63.15</v>
      </c>
      <c r="X10">
        <v>0.19700000000000001</v>
      </c>
      <c r="Y10">
        <v>94.04</v>
      </c>
      <c r="Z10">
        <v>15561.75</v>
      </c>
      <c r="AA10">
        <v>456942</v>
      </c>
    </row>
    <row r="11" spans="1:27" x14ac:dyDescent="0.35">
      <c r="A11" t="s">
        <v>11</v>
      </c>
      <c r="B11" t="s">
        <v>609</v>
      </c>
      <c r="C11" t="s">
        <v>25</v>
      </c>
      <c r="D11" t="str">
        <f t="shared" si="0"/>
        <v>11</v>
      </c>
      <c r="E11" t="s">
        <v>592</v>
      </c>
      <c r="F11">
        <v>9.99</v>
      </c>
      <c r="G11">
        <v>9.8000000000000007</v>
      </c>
      <c r="H11">
        <v>9.92</v>
      </c>
      <c r="I11">
        <v>14.91</v>
      </c>
      <c r="J11">
        <v>15.31</v>
      </c>
      <c r="K11">
        <v>14.98</v>
      </c>
      <c r="L11">
        <v>79.55</v>
      </c>
      <c r="M11">
        <v>75.989999999999995</v>
      </c>
      <c r="N11">
        <v>76.290000000000006</v>
      </c>
      <c r="O11">
        <v>4.04</v>
      </c>
      <c r="P11">
        <v>3.5</v>
      </c>
      <c r="Q11">
        <v>3.82</v>
      </c>
      <c r="R11">
        <v>71.739999999999995</v>
      </c>
      <c r="S11">
        <v>76.64</v>
      </c>
      <c r="T11">
        <v>74.13</v>
      </c>
      <c r="U11">
        <v>82</v>
      </c>
      <c r="V11">
        <v>53.61</v>
      </c>
      <c r="W11">
        <v>67.81</v>
      </c>
      <c r="X11">
        <v>0.39</v>
      </c>
      <c r="Y11">
        <v>95.52</v>
      </c>
      <c r="Z11">
        <v>19823.759999999998</v>
      </c>
      <c r="AA11">
        <v>464776</v>
      </c>
    </row>
    <row r="12" spans="1:27" x14ac:dyDescent="0.35">
      <c r="A12" t="s">
        <v>12</v>
      </c>
      <c r="B12" t="s">
        <v>610</v>
      </c>
      <c r="C12" t="s">
        <v>25</v>
      </c>
      <c r="D12" t="str">
        <f t="shared" si="0"/>
        <v>11</v>
      </c>
      <c r="E12" t="s">
        <v>592</v>
      </c>
      <c r="F12">
        <v>9.59</v>
      </c>
      <c r="G12">
        <v>9.2100000000000009</v>
      </c>
      <c r="H12">
        <v>9.3800000000000008</v>
      </c>
      <c r="I12">
        <v>14.6</v>
      </c>
      <c r="J12">
        <v>15.16</v>
      </c>
      <c r="K12">
        <v>14.76</v>
      </c>
      <c r="L12">
        <v>77.52</v>
      </c>
      <c r="M12">
        <v>72.459999999999994</v>
      </c>
      <c r="N12">
        <v>74.290000000000006</v>
      </c>
      <c r="O12">
        <v>5.8</v>
      </c>
      <c r="P12">
        <v>9.0500000000000007</v>
      </c>
      <c r="Q12">
        <v>6.88</v>
      </c>
      <c r="R12">
        <v>71.010000000000005</v>
      </c>
      <c r="S12">
        <v>75.11</v>
      </c>
      <c r="T12">
        <v>73.010000000000005</v>
      </c>
      <c r="U12">
        <v>80.03</v>
      </c>
      <c r="V12">
        <v>39.39</v>
      </c>
      <c r="W12">
        <v>59.71</v>
      </c>
      <c r="X12">
        <v>0.79900000000000004</v>
      </c>
      <c r="Y12">
        <v>93.47</v>
      </c>
      <c r="Z12">
        <v>30809.53</v>
      </c>
      <c r="AA12">
        <v>638957</v>
      </c>
    </row>
    <row r="13" spans="1:27" x14ac:dyDescent="0.35">
      <c r="A13" t="s">
        <v>13</v>
      </c>
      <c r="B13" t="s">
        <v>611</v>
      </c>
      <c r="C13" t="s">
        <v>25</v>
      </c>
      <c r="D13" t="str">
        <f t="shared" si="0"/>
        <v>11</v>
      </c>
      <c r="E13" t="s">
        <v>592</v>
      </c>
      <c r="F13">
        <v>9.2799999999999994</v>
      </c>
      <c r="G13">
        <v>9.01</v>
      </c>
      <c r="H13">
        <v>9.11</v>
      </c>
      <c r="I13">
        <v>13.69</v>
      </c>
      <c r="J13">
        <v>14.86</v>
      </c>
      <c r="K13">
        <v>13.7</v>
      </c>
      <c r="L13">
        <v>77.739999999999995</v>
      </c>
      <c r="M13">
        <v>70.709999999999994</v>
      </c>
      <c r="N13">
        <v>72.099999999999994</v>
      </c>
      <c r="O13">
        <v>1.8</v>
      </c>
      <c r="P13">
        <v>6.76</v>
      </c>
      <c r="Q13">
        <v>3.66</v>
      </c>
      <c r="R13">
        <v>69.03</v>
      </c>
      <c r="S13">
        <v>72.98</v>
      </c>
      <c r="T13">
        <v>70.95</v>
      </c>
      <c r="U13">
        <v>75.66</v>
      </c>
      <c r="V13">
        <v>45.89</v>
      </c>
      <c r="W13">
        <v>60.78</v>
      </c>
      <c r="X13">
        <v>0.29099999999999998</v>
      </c>
      <c r="Y13">
        <v>90.96</v>
      </c>
      <c r="Z13">
        <v>5788.24</v>
      </c>
      <c r="AA13">
        <v>161341</v>
      </c>
    </row>
    <row r="14" spans="1:27" x14ac:dyDescent="0.35">
      <c r="A14" t="s">
        <v>14</v>
      </c>
      <c r="B14" t="s">
        <v>612</v>
      </c>
      <c r="C14" t="s">
        <v>25</v>
      </c>
      <c r="D14" t="str">
        <f t="shared" si="0"/>
        <v>11</v>
      </c>
      <c r="E14" t="s">
        <v>592</v>
      </c>
      <c r="F14">
        <v>9.2799999999999994</v>
      </c>
      <c r="G14">
        <v>8.17</v>
      </c>
      <c r="H14">
        <v>8.75</v>
      </c>
      <c r="I14">
        <v>14.45</v>
      </c>
      <c r="J14">
        <v>14.94</v>
      </c>
      <c r="K14">
        <v>14.73</v>
      </c>
      <c r="L14">
        <v>77.41</v>
      </c>
      <c r="M14">
        <v>70.319999999999993</v>
      </c>
      <c r="N14">
        <v>72.61</v>
      </c>
      <c r="O14">
        <v>3.07</v>
      </c>
      <c r="P14">
        <v>1.28</v>
      </c>
      <c r="Q14">
        <v>2.2400000000000002</v>
      </c>
      <c r="R14">
        <v>68.2</v>
      </c>
      <c r="S14">
        <v>72.14</v>
      </c>
      <c r="T14">
        <v>70.12</v>
      </c>
      <c r="U14">
        <v>84.03</v>
      </c>
      <c r="V14">
        <v>72.790000000000006</v>
      </c>
      <c r="W14">
        <v>78.41</v>
      </c>
      <c r="X14">
        <v>0.60799999999999998</v>
      </c>
      <c r="Y14">
        <v>90.84</v>
      </c>
      <c r="Z14">
        <v>3799.99</v>
      </c>
      <c r="AA14">
        <v>108672</v>
      </c>
    </row>
    <row r="15" spans="1:27" x14ac:dyDescent="0.35">
      <c r="A15" t="s">
        <v>15</v>
      </c>
      <c r="B15" t="s">
        <v>613</v>
      </c>
      <c r="C15" t="s">
        <v>25</v>
      </c>
      <c r="D15" t="str">
        <f t="shared" si="0"/>
        <v>11</v>
      </c>
      <c r="E15" t="s">
        <v>592</v>
      </c>
      <c r="F15">
        <v>9.5299999999999994</v>
      </c>
      <c r="G15">
        <v>9.25</v>
      </c>
      <c r="H15">
        <v>9.42</v>
      </c>
      <c r="I15">
        <v>14.25</v>
      </c>
      <c r="J15">
        <v>14.57</v>
      </c>
      <c r="K15">
        <v>14.52</v>
      </c>
      <c r="L15">
        <v>80.84</v>
      </c>
      <c r="M15">
        <v>67.72</v>
      </c>
      <c r="N15">
        <v>74.78</v>
      </c>
      <c r="O15">
        <v>6.62</v>
      </c>
      <c r="P15">
        <v>7.03</v>
      </c>
      <c r="Q15">
        <v>6.78</v>
      </c>
      <c r="R15">
        <v>71.73</v>
      </c>
      <c r="S15">
        <v>76.63</v>
      </c>
      <c r="T15">
        <v>74.12</v>
      </c>
      <c r="U15">
        <v>85.04</v>
      </c>
      <c r="V15">
        <v>54.24</v>
      </c>
      <c r="W15">
        <v>69.64</v>
      </c>
      <c r="X15">
        <v>0.49099999999999999</v>
      </c>
      <c r="Y15">
        <v>83.77</v>
      </c>
      <c r="Z15">
        <v>12005.78</v>
      </c>
      <c r="AA15">
        <v>312820</v>
      </c>
    </row>
    <row r="16" spans="1:27" x14ac:dyDescent="0.35">
      <c r="A16" t="s">
        <v>16</v>
      </c>
      <c r="B16" t="s">
        <v>614</v>
      </c>
      <c r="C16" t="s">
        <v>25</v>
      </c>
      <c r="D16" t="str">
        <f t="shared" si="0"/>
        <v>11</v>
      </c>
      <c r="E16" t="s">
        <v>592</v>
      </c>
      <c r="F16">
        <v>9.7200000000000006</v>
      </c>
      <c r="G16">
        <v>9.4</v>
      </c>
      <c r="H16">
        <v>9.57</v>
      </c>
      <c r="I16">
        <v>13.96</v>
      </c>
      <c r="J16">
        <v>14.51</v>
      </c>
      <c r="K16">
        <v>14.19</v>
      </c>
      <c r="L16">
        <v>78.38</v>
      </c>
      <c r="M16">
        <v>71.66</v>
      </c>
      <c r="N16">
        <v>73.87</v>
      </c>
      <c r="O16">
        <v>3.76</v>
      </c>
      <c r="P16">
        <v>7.85</v>
      </c>
      <c r="Q16">
        <v>5.0599999999999996</v>
      </c>
      <c r="R16">
        <v>70.97</v>
      </c>
      <c r="S16">
        <v>75.03</v>
      </c>
      <c r="T16">
        <v>72.95</v>
      </c>
      <c r="U16">
        <v>87.38</v>
      </c>
      <c r="V16">
        <v>40.97</v>
      </c>
      <c r="W16">
        <v>64.180000000000007</v>
      </c>
      <c r="X16">
        <v>0.50600000000000001</v>
      </c>
      <c r="Y16">
        <v>91.43</v>
      </c>
      <c r="Z16">
        <v>13307.88</v>
      </c>
      <c r="AA16">
        <v>178460</v>
      </c>
    </row>
    <row r="17" spans="1:27" x14ac:dyDescent="0.35">
      <c r="A17" t="s">
        <v>17</v>
      </c>
      <c r="B17" t="s">
        <v>615</v>
      </c>
      <c r="C17" t="s">
        <v>25</v>
      </c>
      <c r="D17" t="str">
        <f t="shared" si="0"/>
        <v>11</v>
      </c>
      <c r="E17" t="s">
        <v>592</v>
      </c>
      <c r="F17">
        <v>9.6</v>
      </c>
      <c r="G17">
        <v>8.9</v>
      </c>
      <c r="H17">
        <v>9.34</v>
      </c>
      <c r="I17">
        <v>14.06</v>
      </c>
      <c r="J17">
        <v>14.24</v>
      </c>
      <c r="K17">
        <v>14.07</v>
      </c>
      <c r="L17">
        <v>78.83</v>
      </c>
      <c r="M17">
        <v>71.209999999999994</v>
      </c>
      <c r="N17">
        <v>74.2</v>
      </c>
      <c r="O17">
        <v>0</v>
      </c>
      <c r="P17">
        <v>6.57</v>
      </c>
      <c r="Q17">
        <v>2.57</v>
      </c>
      <c r="R17">
        <v>69.209999999999994</v>
      </c>
      <c r="S17">
        <v>73.17</v>
      </c>
      <c r="T17">
        <v>71.150000000000006</v>
      </c>
      <c r="U17">
        <v>85.51</v>
      </c>
      <c r="V17">
        <v>55.84</v>
      </c>
      <c r="W17">
        <v>70.680000000000007</v>
      </c>
      <c r="X17">
        <v>0.28599999999999998</v>
      </c>
      <c r="Y17">
        <v>90.33</v>
      </c>
      <c r="Z17">
        <v>3878.75</v>
      </c>
      <c r="AA17">
        <v>100738</v>
      </c>
    </row>
    <row r="18" spans="1:27" x14ac:dyDescent="0.35">
      <c r="A18" t="s">
        <v>18</v>
      </c>
      <c r="B18" t="s">
        <v>616</v>
      </c>
      <c r="C18" t="s">
        <v>25</v>
      </c>
      <c r="D18" t="str">
        <f t="shared" si="0"/>
        <v>11</v>
      </c>
      <c r="E18" t="s">
        <v>592</v>
      </c>
      <c r="F18">
        <v>10.43</v>
      </c>
      <c r="G18">
        <v>10.36</v>
      </c>
      <c r="H18">
        <v>10.41</v>
      </c>
      <c r="I18">
        <v>13.73</v>
      </c>
      <c r="J18">
        <v>14.19</v>
      </c>
      <c r="K18">
        <v>13.93</v>
      </c>
      <c r="L18">
        <v>79.42</v>
      </c>
      <c r="M18">
        <v>77.239999999999995</v>
      </c>
      <c r="N18">
        <v>77.48</v>
      </c>
      <c r="O18">
        <v>1.21</v>
      </c>
      <c r="P18">
        <v>3.14</v>
      </c>
      <c r="Q18">
        <v>2.1</v>
      </c>
      <c r="R18">
        <v>71.180000000000007</v>
      </c>
      <c r="S18">
        <v>75.47</v>
      </c>
      <c r="T18">
        <v>73.27</v>
      </c>
      <c r="U18">
        <v>88.73</v>
      </c>
      <c r="V18">
        <v>77.290000000000006</v>
      </c>
      <c r="W18">
        <v>83.01</v>
      </c>
      <c r="X18">
        <v>0.54100000000000004</v>
      </c>
      <c r="Y18">
        <v>97.26</v>
      </c>
      <c r="Z18">
        <v>7053.89</v>
      </c>
      <c r="AA18">
        <v>174824</v>
      </c>
    </row>
    <row r="19" spans="1:27" x14ac:dyDescent="0.35">
      <c r="A19" t="s">
        <v>19</v>
      </c>
      <c r="B19" t="s">
        <v>617</v>
      </c>
      <c r="C19" t="s">
        <v>25</v>
      </c>
      <c r="D19" t="str">
        <f t="shared" si="0"/>
        <v>11</v>
      </c>
      <c r="E19" t="s">
        <v>592</v>
      </c>
      <c r="F19">
        <v>10.029999999999999</v>
      </c>
      <c r="G19">
        <v>9.65</v>
      </c>
      <c r="H19">
        <v>9.8000000000000007</v>
      </c>
      <c r="I19">
        <v>14.89</v>
      </c>
      <c r="J19">
        <v>15.3</v>
      </c>
      <c r="K19">
        <v>15.02</v>
      </c>
      <c r="L19">
        <v>80.22</v>
      </c>
      <c r="M19">
        <v>76.709999999999994</v>
      </c>
      <c r="N19">
        <v>77.040000000000006</v>
      </c>
      <c r="O19">
        <v>2.44</v>
      </c>
      <c r="P19">
        <v>5.86</v>
      </c>
      <c r="Q19">
        <v>3.67</v>
      </c>
      <c r="R19">
        <v>71.41</v>
      </c>
      <c r="S19">
        <v>75.94</v>
      </c>
      <c r="T19">
        <v>73.62</v>
      </c>
      <c r="U19">
        <v>78.31</v>
      </c>
      <c r="V19">
        <v>42.72</v>
      </c>
      <c r="W19">
        <v>60.52</v>
      </c>
      <c r="X19">
        <v>0.30599999999999999</v>
      </c>
      <c r="Y19">
        <v>95.62</v>
      </c>
      <c r="Z19">
        <v>5014.53</v>
      </c>
      <c r="AA19">
        <v>168546</v>
      </c>
    </row>
    <row r="20" spans="1:27" x14ac:dyDescent="0.35">
      <c r="A20" t="s">
        <v>20</v>
      </c>
      <c r="B20" t="s">
        <v>618</v>
      </c>
      <c r="C20" t="s">
        <v>25</v>
      </c>
      <c r="D20" t="str">
        <f t="shared" si="0"/>
        <v>11</v>
      </c>
      <c r="E20" t="s">
        <v>592</v>
      </c>
      <c r="F20">
        <v>13.47</v>
      </c>
      <c r="G20">
        <v>13.29</v>
      </c>
      <c r="H20">
        <v>13.37</v>
      </c>
      <c r="I20">
        <v>17.89</v>
      </c>
      <c r="J20">
        <v>18.09</v>
      </c>
      <c r="K20">
        <v>17.95</v>
      </c>
      <c r="L20">
        <v>91.05</v>
      </c>
      <c r="M20">
        <v>88.63</v>
      </c>
      <c r="N20">
        <v>89.55</v>
      </c>
      <c r="O20">
        <v>5.77</v>
      </c>
      <c r="P20">
        <v>9.7100000000000009</v>
      </c>
      <c r="Q20">
        <v>7.3</v>
      </c>
      <c r="R20">
        <v>72.959999999999994</v>
      </c>
      <c r="S20">
        <v>78.66</v>
      </c>
      <c r="T20">
        <v>75.739999999999995</v>
      </c>
      <c r="U20">
        <v>79.61</v>
      </c>
      <c r="V20">
        <v>50.48</v>
      </c>
      <c r="W20">
        <v>65.05</v>
      </c>
      <c r="X20">
        <v>0.16600000000000001</v>
      </c>
      <c r="Y20">
        <v>97.34</v>
      </c>
      <c r="Z20">
        <v>27963.46</v>
      </c>
      <c r="AA20">
        <v>267962</v>
      </c>
    </row>
    <row r="21" spans="1:27" x14ac:dyDescent="0.35">
      <c r="A21" t="s">
        <v>21</v>
      </c>
      <c r="B21" t="s">
        <v>619</v>
      </c>
      <c r="C21" t="s">
        <v>25</v>
      </c>
      <c r="D21" t="str">
        <f t="shared" si="0"/>
        <v>11</v>
      </c>
      <c r="E21" t="s">
        <v>592</v>
      </c>
      <c r="F21">
        <v>11.35</v>
      </c>
      <c r="G21">
        <v>11.22</v>
      </c>
      <c r="H21">
        <v>11.23</v>
      </c>
      <c r="I21">
        <v>14.98</v>
      </c>
      <c r="J21">
        <v>15.2</v>
      </c>
      <c r="K21">
        <v>14.98</v>
      </c>
      <c r="L21">
        <v>82.31</v>
      </c>
      <c r="M21">
        <v>79.33</v>
      </c>
      <c r="N21">
        <v>80.040000000000006</v>
      </c>
      <c r="O21">
        <v>1.86</v>
      </c>
      <c r="P21">
        <v>3.82</v>
      </c>
      <c r="Q21">
        <v>2.67</v>
      </c>
      <c r="R21">
        <v>71.58</v>
      </c>
      <c r="S21">
        <v>76.3</v>
      </c>
      <c r="T21">
        <v>73.88</v>
      </c>
      <c r="U21">
        <v>79.87</v>
      </c>
      <c r="V21">
        <v>56.02</v>
      </c>
      <c r="W21">
        <v>67.95</v>
      </c>
      <c r="X21">
        <v>0.188</v>
      </c>
      <c r="Y21">
        <v>96.38</v>
      </c>
      <c r="Z21">
        <v>1973.97</v>
      </c>
      <c r="AA21">
        <v>44042</v>
      </c>
    </row>
    <row r="22" spans="1:27" x14ac:dyDescent="0.35">
      <c r="A22" t="s">
        <v>22</v>
      </c>
      <c r="B22" t="s">
        <v>620</v>
      </c>
      <c r="C22" t="s">
        <v>25</v>
      </c>
      <c r="D22" t="str">
        <f t="shared" si="0"/>
        <v>11</v>
      </c>
      <c r="E22" t="s">
        <v>592</v>
      </c>
      <c r="F22">
        <v>11.7</v>
      </c>
      <c r="G22">
        <v>11.38</v>
      </c>
      <c r="H22">
        <v>11.6</v>
      </c>
      <c r="I22">
        <v>15.24</v>
      </c>
      <c r="J22">
        <v>16.62</v>
      </c>
      <c r="K22">
        <v>15.72</v>
      </c>
      <c r="L22">
        <v>84.06</v>
      </c>
      <c r="M22">
        <v>81.37</v>
      </c>
      <c r="N22">
        <v>81.77</v>
      </c>
      <c r="O22">
        <v>5.35</v>
      </c>
      <c r="P22">
        <v>11.13</v>
      </c>
      <c r="Q22">
        <v>7.31</v>
      </c>
      <c r="R22">
        <v>71.92</v>
      </c>
      <c r="S22">
        <v>77.02</v>
      </c>
      <c r="T22">
        <v>74.41</v>
      </c>
      <c r="U22">
        <v>80.2</v>
      </c>
      <c r="V22">
        <v>40.659999999999997</v>
      </c>
      <c r="W22">
        <v>60.43</v>
      </c>
      <c r="X22">
        <v>0.52900000000000003</v>
      </c>
      <c r="Y22">
        <v>96.8</v>
      </c>
      <c r="Z22">
        <v>7723.06</v>
      </c>
      <c r="AA22">
        <v>201058</v>
      </c>
    </row>
    <row r="23" spans="1:27" x14ac:dyDescent="0.35">
      <c r="A23" t="s">
        <v>23</v>
      </c>
      <c r="B23" t="s">
        <v>621</v>
      </c>
      <c r="C23" t="s">
        <v>25</v>
      </c>
      <c r="D23" t="str">
        <f t="shared" si="0"/>
        <v>11</v>
      </c>
      <c r="E23" t="s">
        <v>592</v>
      </c>
      <c r="F23">
        <v>11.71</v>
      </c>
      <c r="G23">
        <v>11.64</v>
      </c>
      <c r="H23">
        <v>11.64</v>
      </c>
      <c r="I23">
        <v>15.3</v>
      </c>
      <c r="J23">
        <v>15.99</v>
      </c>
      <c r="K23">
        <v>15.56</v>
      </c>
      <c r="L23">
        <v>84.38</v>
      </c>
      <c r="M23">
        <v>81.7</v>
      </c>
      <c r="N23">
        <v>81.75</v>
      </c>
      <c r="O23">
        <v>8.2899999999999991</v>
      </c>
      <c r="P23">
        <v>8.17</v>
      </c>
      <c r="Q23">
        <v>8.24</v>
      </c>
      <c r="R23">
        <v>72.59</v>
      </c>
      <c r="S23">
        <v>78.13</v>
      </c>
      <c r="T23">
        <v>75.290000000000006</v>
      </c>
      <c r="U23">
        <v>79.61</v>
      </c>
      <c r="V23">
        <v>49.98</v>
      </c>
      <c r="W23">
        <v>64.8</v>
      </c>
      <c r="X23">
        <v>0.254</v>
      </c>
      <c r="Y23">
        <v>96.82</v>
      </c>
      <c r="Z23">
        <v>12720.91</v>
      </c>
      <c r="AA23">
        <v>203410</v>
      </c>
    </row>
    <row r="24" spans="1:27" x14ac:dyDescent="0.35">
      <c r="A24" t="s">
        <v>24</v>
      </c>
      <c r="B24" t="s">
        <v>622</v>
      </c>
      <c r="C24" t="s">
        <v>25</v>
      </c>
      <c r="D24" t="str">
        <f t="shared" si="0"/>
        <v>11</v>
      </c>
      <c r="E24" t="s">
        <v>592</v>
      </c>
      <c r="F24">
        <v>9.31</v>
      </c>
      <c r="G24">
        <v>8.2100000000000009</v>
      </c>
      <c r="H24">
        <v>8.75</v>
      </c>
      <c r="I24">
        <v>14.97</v>
      </c>
      <c r="J24">
        <v>15.35</v>
      </c>
      <c r="K24">
        <v>15.32</v>
      </c>
      <c r="L24">
        <v>77.19</v>
      </c>
      <c r="M24">
        <v>66.5</v>
      </c>
      <c r="N24">
        <v>71.63</v>
      </c>
      <c r="O24">
        <v>2.94</v>
      </c>
      <c r="P24">
        <v>8.2799999999999994</v>
      </c>
      <c r="Q24">
        <v>4.87</v>
      </c>
      <c r="R24">
        <v>68.08</v>
      </c>
      <c r="S24">
        <v>72.02</v>
      </c>
      <c r="T24">
        <v>70.010000000000005</v>
      </c>
      <c r="U24">
        <v>85.84</v>
      </c>
      <c r="V24">
        <v>49.8</v>
      </c>
      <c r="W24">
        <v>67.819999999999993</v>
      </c>
      <c r="X24">
        <v>0.52700000000000002</v>
      </c>
      <c r="Y24">
        <v>86.15</v>
      </c>
      <c r="Z24">
        <v>2988.08</v>
      </c>
      <c r="AA24">
        <v>101282</v>
      </c>
    </row>
    <row r="25" spans="1:27" x14ac:dyDescent="0.35">
      <c r="A25" t="s">
        <v>26</v>
      </c>
      <c r="B25" t="s">
        <v>623</v>
      </c>
      <c r="C25" t="s">
        <v>59</v>
      </c>
      <c r="D25" t="str">
        <f t="shared" si="0"/>
        <v>12</v>
      </c>
      <c r="E25" t="s">
        <v>592</v>
      </c>
      <c r="F25">
        <v>7.69</v>
      </c>
      <c r="G25">
        <v>5.47</v>
      </c>
      <c r="H25">
        <v>6.41</v>
      </c>
      <c r="I25">
        <v>13.37</v>
      </c>
      <c r="J25">
        <v>12.91</v>
      </c>
      <c r="K25">
        <v>13.32</v>
      </c>
      <c r="L25">
        <v>70.13</v>
      </c>
      <c r="M25">
        <v>64.17</v>
      </c>
      <c r="N25">
        <v>66.790000000000006</v>
      </c>
      <c r="O25">
        <v>1.23</v>
      </c>
      <c r="P25">
        <v>2.92</v>
      </c>
      <c r="Q25">
        <v>2.08</v>
      </c>
      <c r="R25">
        <v>70.09</v>
      </c>
      <c r="S25">
        <v>74.08</v>
      </c>
      <c r="T25">
        <v>72.040000000000006</v>
      </c>
      <c r="U25">
        <v>79.78</v>
      </c>
      <c r="V25">
        <v>75.150000000000006</v>
      </c>
      <c r="W25">
        <v>77.47</v>
      </c>
      <c r="X25">
        <v>0.58699999999999997</v>
      </c>
      <c r="Y25">
        <v>91.5</v>
      </c>
      <c r="Z25">
        <v>5668.82</v>
      </c>
      <c r="AA25">
        <v>157513</v>
      </c>
    </row>
    <row r="26" spans="1:27" x14ac:dyDescent="0.35">
      <c r="A26" t="s">
        <v>27</v>
      </c>
      <c r="B26" t="s">
        <v>624</v>
      </c>
      <c r="C26" t="s">
        <v>59</v>
      </c>
      <c r="D26" t="str">
        <f t="shared" si="0"/>
        <v>12</v>
      </c>
      <c r="E26" t="s">
        <v>592</v>
      </c>
      <c r="F26">
        <v>9.3699999999999992</v>
      </c>
      <c r="G26">
        <v>9.08</v>
      </c>
      <c r="H26">
        <v>9.17</v>
      </c>
      <c r="I26">
        <v>13.75</v>
      </c>
      <c r="J26">
        <v>14.22</v>
      </c>
      <c r="K26">
        <v>14.1</v>
      </c>
      <c r="L26">
        <v>78.42</v>
      </c>
      <c r="M26">
        <v>73.84</v>
      </c>
      <c r="N26">
        <v>74.260000000000005</v>
      </c>
      <c r="O26">
        <v>5.98</v>
      </c>
      <c r="P26">
        <v>8.7899999999999991</v>
      </c>
      <c r="Q26">
        <v>7.18</v>
      </c>
      <c r="R26">
        <v>70.11</v>
      </c>
      <c r="S26">
        <v>74.11</v>
      </c>
      <c r="T26">
        <v>72.06</v>
      </c>
      <c r="U26">
        <v>83.18</v>
      </c>
      <c r="V26">
        <v>60.08</v>
      </c>
      <c r="W26">
        <v>71.63</v>
      </c>
      <c r="X26">
        <v>0.504</v>
      </c>
      <c r="Y26">
        <v>94.16</v>
      </c>
      <c r="Z26">
        <v>22043.919999999998</v>
      </c>
      <c r="AA26">
        <v>513536</v>
      </c>
    </row>
    <row r="27" spans="1:27" x14ac:dyDescent="0.35">
      <c r="A27" t="s">
        <v>28</v>
      </c>
      <c r="B27" t="s">
        <v>625</v>
      </c>
      <c r="C27" t="s">
        <v>59</v>
      </c>
      <c r="D27" t="str">
        <f t="shared" si="0"/>
        <v>12</v>
      </c>
      <c r="E27" t="s">
        <v>592</v>
      </c>
      <c r="F27">
        <v>9.8800000000000008</v>
      </c>
      <c r="G27">
        <v>9.3800000000000008</v>
      </c>
      <c r="H27">
        <v>9.6</v>
      </c>
      <c r="I27">
        <v>13.89</v>
      </c>
      <c r="J27">
        <v>14.32</v>
      </c>
      <c r="K27">
        <v>13.9</v>
      </c>
      <c r="L27">
        <v>80.13</v>
      </c>
      <c r="M27">
        <v>73.23</v>
      </c>
      <c r="N27">
        <v>75.78</v>
      </c>
      <c r="O27">
        <v>2.64</v>
      </c>
      <c r="P27">
        <v>4.26</v>
      </c>
      <c r="Q27">
        <v>3.35</v>
      </c>
      <c r="R27">
        <v>70.02</v>
      </c>
      <c r="S27">
        <v>74.010000000000005</v>
      </c>
      <c r="T27">
        <v>71.97</v>
      </c>
      <c r="U27">
        <v>85.04</v>
      </c>
      <c r="V27">
        <v>65.599999999999994</v>
      </c>
      <c r="W27">
        <v>75.319999999999993</v>
      </c>
      <c r="X27">
        <v>0.496</v>
      </c>
      <c r="Y27">
        <v>91.39</v>
      </c>
      <c r="Z27">
        <v>23638</v>
      </c>
      <c r="AA27">
        <v>320330</v>
      </c>
    </row>
    <row r="28" spans="1:27" x14ac:dyDescent="0.35">
      <c r="A28" t="s">
        <v>29</v>
      </c>
      <c r="B28" t="s">
        <v>626</v>
      </c>
      <c r="C28" t="s">
        <v>59</v>
      </c>
      <c r="D28" t="str">
        <f t="shared" si="0"/>
        <v>12</v>
      </c>
      <c r="E28" t="s">
        <v>592</v>
      </c>
      <c r="F28">
        <v>9.2100000000000009</v>
      </c>
      <c r="G28">
        <v>8.91</v>
      </c>
      <c r="H28">
        <v>8.93</v>
      </c>
      <c r="I28">
        <v>13.14</v>
      </c>
      <c r="J28">
        <v>13.97</v>
      </c>
      <c r="K28">
        <v>13.51</v>
      </c>
      <c r="L28">
        <v>76.95</v>
      </c>
      <c r="M28">
        <v>73.63</v>
      </c>
      <c r="N28">
        <v>73.97</v>
      </c>
      <c r="O28">
        <v>6.24</v>
      </c>
      <c r="P28">
        <v>8.41</v>
      </c>
      <c r="Q28">
        <v>7.21</v>
      </c>
      <c r="R28">
        <v>70.239999999999995</v>
      </c>
      <c r="S28">
        <v>74.25</v>
      </c>
      <c r="T28">
        <v>72.2</v>
      </c>
      <c r="U28">
        <v>85.66</v>
      </c>
      <c r="V28">
        <v>69.27</v>
      </c>
      <c r="W28">
        <v>77.47</v>
      </c>
      <c r="X28">
        <v>0.44</v>
      </c>
      <c r="Y28">
        <v>95.69</v>
      </c>
      <c r="Z28">
        <v>14559.65</v>
      </c>
      <c r="AA28">
        <v>402904</v>
      </c>
    </row>
    <row r="29" spans="1:27" x14ac:dyDescent="0.35">
      <c r="A29" t="s">
        <v>30</v>
      </c>
      <c r="B29" t="s">
        <v>627</v>
      </c>
      <c r="C29" t="s">
        <v>59</v>
      </c>
      <c r="D29" t="str">
        <f t="shared" si="0"/>
        <v>12</v>
      </c>
      <c r="E29" t="s">
        <v>592</v>
      </c>
      <c r="F29">
        <v>10.73</v>
      </c>
      <c r="G29">
        <v>10.33</v>
      </c>
      <c r="H29">
        <v>10.5</v>
      </c>
      <c r="I29">
        <v>13.69</v>
      </c>
      <c r="J29">
        <v>14.23</v>
      </c>
      <c r="K29">
        <v>13.75</v>
      </c>
      <c r="L29">
        <v>79.22</v>
      </c>
      <c r="M29">
        <v>78.09</v>
      </c>
      <c r="N29">
        <v>78.09</v>
      </c>
      <c r="O29">
        <v>0.39</v>
      </c>
      <c r="P29">
        <v>1.84</v>
      </c>
      <c r="Q29">
        <v>1.1000000000000001</v>
      </c>
      <c r="R29">
        <v>72.11</v>
      </c>
      <c r="S29">
        <v>77.41</v>
      </c>
      <c r="T29">
        <v>74.7</v>
      </c>
      <c r="U29">
        <v>85.1</v>
      </c>
      <c r="V29">
        <v>80.739999999999995</v>
      </c>
      <c r="W29">
        <v>82.92</v>
      </c>
      <c r="X29">
        <v>0.28999999999999998</v>
      </c>
      <c r="Y29">
        <v>98.57</v>
      </c>
      <c r="Z29">
        <v>12051.74</v>
      </c>
      <c r="AA29">
        <v>330856</v>
      </c>
    </row>
    <row r="30" spans="1:27" x14ac:dyDescent="0.35">
      <c r="A30" t="s">
        <v>575</v>
      </c>
      <c r="B30" s="2" t="s">
        <v>1097</v>
      </c>
      <c r="C30" t="s">
        <v>59</v>
      </c>
      <c r="D30" t="str">
        <f t="shared" si="0"/>
        <v>12</v>
      </c>
      <c r="E30" t="s">
        <v>592</v>
      </c>
      <c r="F30">
        <v>10.94</v>
      </c>
      <c r="G30">
        <v>10.66</v>
      </c>
      <c r="H30">
        <v>10.78</v>
      </c>
      <c r="I30">
        <v>13.69</v>
      </c>
      <c r="J30">
        <v>14.16</v>
      </c>
      <c r="K30">
        <v>13.82</v>
      </c>
      <c r="L30">
        <v>79.75</v>
      </c>
      <c r="M30">
        <v>79.14</v>
      </c>
      <c r="N30">
        <v>79.17</v>
      </c>
      <c r="O30">
        <v>0.88</v>
      </c>
      <c r="P30">
        <v>1.1499999999999999</v>
      </c>
      <c r="Q30">
        <v>1</v>
      </c>
      <c r="R30">
        <v>72.33</v>
      </c>
      <c r="S30">
        <v>77.760000000000005</v>
      </c>
      <c r="T30">
        <v>74.98</v>
      </c>
      <c r="U30">
        <v>84.2</v>
      </c>
      <c r="V30">
        <v>72.5</v>
      </c>
      <c r="W30">
        <v>78.349999999999994</v>
      </c>
      <c r="X30">
        <v>0.40899999999999997</v>
      </c>
      <c r="Y30">
        <v>99.24</v>
      </c>
      <c r="Z30">
        <v>10831.86</v>
      </c>
      <c r="AA30">
        <v>219580</v>
      </c>
    </row>
    <row r="31" spans="1:27" x14ac:dyDescent="0.35">
      <c r="A31" t="s">
        <v>32</v>
      </c>
      <c r="B31" t="s">
        <v>628</v>
      </c>
      <c r="C31" t="s">
        <v>59</v>
      </c>
      <c r="D31" t="str">
        <f t="shared" si="0"/>
        <v>12</v>
      </c>
      <c r="E31" t="s">
        <v>592</v>
      </c>
      <c r="F31">
        <v>9.74</v>
      </c>
      <c r="G31">
        <v>9.31</v>
      </c>
      <c r="H31">
        <v>9.5299999999999994</v>
      </c>
      <c r="I31">
        <v>13.29</v>
      </c>
      <c r="J31">
        <v>13.65</v>
      </c>
      <c r="K31">
        <v>13.3</v>
      </c>
      <c r="L31">
        <v>80.2</v>
      </c>
      <c r="M31">
        <v>73.319999999999993</v>
      </c>
      <c r="N31">
        <v>75.790000000000006</v>
      </c>
      <c r="O31">
        <v>5.24</v>
      </c>
      <c r="P31">
        <v>6.08</v>
      </c>
      <c r="Q31">
        <v>5.53</v>
      </c>
      <c r="R31">
        <v>71.3</v>
      </c>
      <c r="S31">
        <v>75.709999999999994</v>
      </c>
      <c r="T31">
        <v>73.45</v>
      </c>
      <c r="U31">
        <v>85.06</v>
      </c>
      <c r="V31">
        <v>46.87</v>
      </c>
      <c r="W31">
        <v>65.97</v>
      </c>
      <c r="X31">
        <v>0.47199999999999998</v>
      </c>
      <c r="Y31">
        <v>91.42</v>
      </c>
      <c r="Z31">
        <v>54829.279999999999</v>
      </c>
      <c r="AA31">
        <v>527043</v>
      </c>
    </row>
    <row r="32" spans="1:27" x14ac:dyDescent="0.35">
      <c r="A32" t="s">
        <v>33</v>
      </c>
      <c r="B32" t="s">
        <v>629</v>
      </c>
      <c r="C32" t="s">
        <v>59</v>
      </c>
      <c r="D32" t="str">
        <f t="shared" si="0"/>
        <v>12</v>
      </c>
      <c r="E32" t="s">
        <v>592</v>
      </c>
      <c r="F32">
        <v>9.31</v>
      </c>
      <c r="G32">
        <v>8.86</v>
      </c>
      <c r="H32">
        <v>9.06</v>
      </c>
      <c r="I32">
        <v>12.84</v>
      </c>
      <c r="J32">
        <v>13.35</v>
      </c>
      <c r="K32">
        <v>12.84</v>
      </c>
      <c r="L32">
        <v>79.12</v>
      </c>
      <c r="M32">
        <v>73.3</v>
      </c>
      <c r="N32">
        <v>75.13</v>
      </c>
      <c r="O32">
        <v>4.71</v>
      </c>
      <c r="P32">
        <v>6.68</v>
      </c>
      <c r="Q32">
        <v>5.46</v>
      </c>
      <c r="R32">
        <v>71.61</v>
      </c>
      <c r="S32">
        <v>76.36</v>
      </c>
      <c r="T32">
        <v>73.930000000000007</v>
      </c>
      <c r="U32">
        <v>85.05</v>
      </c>
      <c r="V32">
        <v>52.98</v>
      </c>
      <c r="W32">
        <v>69.02</v>
      </c>
      <c r="X32">
        <v>0.443</v>
      </c>
      <c r="Y32">
        <v>92.64</v>
      </c>
      <c r="Z32">
        <v>63144.24</v>
      </c>
      <c r="AA32">
        <v>824597</v>
      </c>
    </row>
    <row r="33" spans="1:27" x14ac:dyDescent="0.35">
      <c r="A33" t="s">
        <v>34</v>
      </c>
      <c r="B33" t="s">
        <v>630</v>
      </c>
      <c r="C33" t="s">
        <v>59</v>
      </c>
      <c r="D33" t="str">
        <f t="shared" si="0"/>
        <v>12</v>
      </c>
      <c r="E33" t="s">
        <v>592</v>
      </c>
      <c r="F33">
        <v>9.94</v>
      </c>
      <c r="G33">
        <v>9.5500000000000007</v>
      </c>
      <c r="H33">
        <v>9.74</v>
      </c>
      <c r="I33">
        <v>13.08</v>
      </c>
      <c r="J33">
        <v>13.67</v>
      </c>
      <c r="K33">
        <v>13.16</v>
      </c>
      <c r="L33">
        <v>80.03</v>
      </c>
      <c r="M33">
        <v>75.349999999999994</v>
      </c>
      <c r="N33">
        <v>76.48</v>
      </c>
      <c r="O33">
        <v>4.3099999999999996</v>
      </c>
      <c r="P33">
        <v>4.72</v>
      </c>
      <c r="Q33">
        <v>4.4800000000000004</v>
      </c>
      <c r="R33">
        <v>72.040000000000006</v>
      </c>
      <c r="S33">
        <v>77.27</v>
      </c>
      <c r="T33">
        <v>74.59</v>
      </c>
      <c r="U33">
        <v>88.81</v>
      </c>
      <c r="V33">
        <v>60.16</v>
      </c>
      <c r="W33">
        <v>74.489999999999995</v>
      </c>
      <c r="X33">
        <v>0.443</v>
      </c>
      <c r="Y33">
        <v>94.15</v>
      </c>
      <c r="Z33">
        <v>64810.17</v>
      </c>
      <c r="AA33">
        <v>1067499</v>
      </c>
    </row>
    <row r="34" spans="1:27" x14ac:dyDescent="0.35">
      <c r="A34" t="s">
        <v>35</v>
      </c>
      <c r="B34" t="s">
        <v>631</v>
      </c>
      <c r="C34" t="s">
        <v>59</v>
      </c>
      <c r="D34" t="str">
        <f t="shared" si="0"/>
        <v>12</v>
      </c>
      <c r="E34" t="s">
        <v>592</v>
      </c>
      <c r="F34">
        <v>10.15</v>
      </c>
      <c r="G34">
        <v>10.06</v>
      </c>
      <c r="H34">
        <v>10.09</v>
      </c>
      <c r="I34">
        <v>13.33</v>
      </c>
      <c r="J34">
        <v>13.63</v>
      </c>
      <c r="K34">
        <v>13.54</v>
      </c>
      <c r="L34">
        <v>76.89</v>
      </c>
      <c r="M34">
        <v>76.319999999999993</v>
      </c>
      <c r="N34">
        <v>76.680000000000007</v>
      </c>
      <c r="O34">
        <v>1.1299999999999999</v>
      </c>
      <c r="P34">
        <v>1.3</v>
      </c>
      <c r="Q34">
        <v>1.21</v>
      </c>
      <c r="R34">
        <v>72.12</v>
      </c>
      <c r="S34">
        <v>77.430000000000007</v>
      </c>
      <c r="T34">
        <v>74.709999999999994</v>
      </c>
      <c r="U34">
        <v>87.85</v>
      </c>
      <c r="V34">
        <v>78.66</v>
      </c>
      <c r="W34">
        <v>83.26</v>
      </c>
      <c r="X34">
        <v>0.28999999999999998</v>
      </c>
      <c r="Y34">
        <v>99.26</v>
      </c>
      <c r="Z34">
        <v>13617.06</v>
      </c>
      <c r="AA34">
        <v>336403</v>
      </c>
    </row>
    <row r="35" spans="1:27" x14ac:dyDescent="0.35">
      <c r="A35" t="s">
        <v>36</v>
      </c>
      <c r="B35" t="s">
        <v>632</v>
      </c>
      <c r="C35" t="s">
        <v>59</v>
      </c>
      <c r="D35" t="str">
        <f t="shared" si="0"/>
        <v>12</v>
      </c>
      <c r="E35" t="s">
        <v>592</v>
      </c>
      <c r="F35">
        <v>10.28</v>
      </c>
      <c r="G35">
        <v>10.3</v>
      </c>
      <c r="H35">
        <v>10.3</v>
      </c>
      <c r="I35">
        <v>12.94</v>
      </c>
      <c r="J35">
        <v>13.78</v>
      </c>
      <c r="K35">
        <v>13.27</v>
      </c>
      <c r="L35">
        <v>78.94</v>
      </c>
      <c r="M35">
        <v>76.83</v>
      </c>
      <c r="N35">
        <v>78.099999999999994</v>
      </c>
      <c r="O35">
        <v>1.76</v>
      </c>
      <c r="P35">
        <v>2.1</v>
      </c>
      <c r="Q35">
        <v>1.93</v>
      </c>
      <c r="R35">
        <v>72.12</v>
      </c>
      <c r="S35">
        <v>77.430000000000007</v>
      </c>
      <c r="T35">
        <v>74.709999999999994</v>
      </c>
      <c r="U35">
        <v>88.73</v>
      </c>
      <c r="V35">
        <v>83.42</v>
      </c>
      <c r="W35">
        <v>86.08</v>
      </c>
      <c r="X35">
        <v>0.26200000000000001</v>
      </c>
      <c r="Y35">
        <v>97.33</v>
      </c>
      <c r="Z35">
        <v>30462.81</v>
      </c>
      <c r="AA35">
        <v>432049</v>
      </c>
    </row>
    <row r="36" spans="1:27" x14ac:dyDescent="0.35">
      <c r="A36" t="s">
        <v>37</v>
      </c>
      <c r="B36" t="s">
        <v>633</v>
      </c>
      <c r="C36" t="s">
        <v>59</v>
      </c>
      <c r="D36" t="str">
        <f t="shared" si="0"/>
        <v>12</v>
      </c>
      <c r="E36" t="s">
        <v>592</v>
      </c>
      <c r="F36">
        <v>10.88</v>
      </c>
      <c r="G36">
        <v>10.46</v>
      </c>
      <c r="H36">
        <v>10.5</v>
      </c>
      <c r="I36">
        <v>13.39</v>
      </c>
      <c r="J36">
        <v>14</v>
      </c>
      <c r="K36">
        <v>13.46</v>
      </c>
      <c r="L36">
        <v>82.51</v>
      </c>
      <c r="M36">
        <v>76.45</v>
      </c>
      <c r="N36">
        <v>78.290000000000006</v>
      </c>
      <c r="O36">
        <v>7.1</v>
      </c>
      <c r="P36">
        <v>8.6</v>
      </c>
      <c r="Q36">
        <v>7.69</v>
      </c>
      <c r="R36">
        <v>71.67</v>
      </c>
      <c r="S36">
        <v>76.489999999999995</v>
      </c>
      <c r="T36">
        <v>74.02</v>
      </c>
      <c r="U36">
        <v>84.86</v>
      </c>
      <c r="V36">
        <v>55.45</v>
      </c>
      <c r="W36">
        <v>70.16</v>
      </c>
      <c r="X36">
        <v>0.35199999999999998</v>
      </c>
      <c r="Y36">
        <v>92.66</v>
      </c>
      <c r="Z36">
        <v>162247.88</v>
      </c>
      <c r="AA36">
        <v>2078046</v>
      </c>
    </row>
    <row r="37" spans="1:27" x14ac:dyDescent="0.35">
      <c r="A37" t="s">
        <v>38</v>
      </c>
      <c r="B37" t="s">
        <v>634</v>
      </c>
      <c r="C37" t="s">
        <v>59</v>
      </c>
      <c r="D37" t="str">
        <f t="shared" si="0"/>
        <v>12</v>
      </c>
      <c r="E37" t="s">
        <v>592</v>
      </c>
      <c r="F37">
        <v>9.06</v>
      </c>
      <c r="G37">
        <v>8.5500000000000007</v>
      </c>
      <c r="H37">
        <v>8.9499999999999993</v>
      </c>
      <c r="I37">
        <v>13.29</v>
      </c>
      <c r="J37">
        <v>13.55</v>
      </c>
      <c r="K37">
        <v>13.29</v>
      </c>
      <c r="L37">
        <v>79.27</v>
      </c>
      <c r="M37">
        <v>71.72</v>
      </c>
      <c r="N37">
        <v>75.58</v>
      </c>
      <c r="O37">
        <v>4.57</v>
      </c>
      <c r="P37">
        <v>7.98</v>
      </c>
      <c r="Q37">
        <v>5.85</v>
      </c>
      <c r="R37">
        <v>72.12</v>
      </c>
      <c r="S37">
        <v>77.44</v>
      </c>
      <c r="T37">
        <v>74.72</v>
      </c>
      <c r="U37">
        <v>88.04</v>
      </c>
      <c r="V37">
        <v>53.45</v>
      </c>
      <c r="W37">
        <v>70.75</v>
      </c>
      <c r="X37">
        <v>0.313</v>
      </c>
      <c r="Y37">
        <v>90.48</v>
      </c>
      <c r="Z37">
        <v>68152.02</v>
      </c>
      <c r="AA37">
        <v>1089969</v>
      </c>
    </row>
    <row r="38" spans="1:27" x14ac:dyDescent="0.35">
      <c r="A38" t="s">
        <v>39</v>
      </c>
      <c r="B38" t="s">
        <v>635</v>
      </c>
      <c r="C38" t="s">
        <v>59</v>
      </c>
      <c r="D38" t="str">
        <f t="shared" si="0"/>
        <v>12</v>
      </c>
      <c r="E38" t="s">
        <v>592</v>
      </c>
      <c r="F38">
        <v>7.51</v>
      </c>
      <c r="G38">
        <v>5.81</v>
      </c>
      <c r="H38">
        <v>6.61</v>
      </c>
      <c r="I38">
        <v>13</v>
      </c>
      <c r="J38">
        <v>13.12</v>
      </c>
      <c r="K38">
        <v>13.12</v>
      </c>
      <c r="L38">
        <v>71.790000000000006</v>
      </c>
      <c r="M38">
        <v>64.650000000000006</v>
      </c>
      <c r="N38">
        <v>66.739999999999995</v>
      </c>
      <c r="O38">
        <v>4.3499999999999996</v>
      </c>
      <c r="P38">
        <v>1.37</v>
      </c>
      <c r="Q38">
        <v>2.98</v>
      </c>
      <c r="R38">
        <v>69.97</v>
      </c>
      <c r="S38">
        <v>73.97</v>
      </c>
      <c r="T38">
        <v>71.92</v>
      </c>
      <c r="U38">
        <v>85.04</v>
      </c>
      <c r="V38">
        <v>72.48</v>
      </c>
      <c r="W38">
        <v>78.760000000000005</v>
      </c>
      <c r="X38">
        <v>0.59899999999999998</v>
      </c>
      <c r="Y38">
        <v>90.05</v>
      </c>
      <c r="Z38">
        <v>9629.6299999999992</v>
      </c>
      <c r="AA38">
        <v>397224</v>
      </c>
    </row>
    <row r="39" spans="1:27" x14ac:dyDescent="0.35">
      <c r="A39" t="s">
        <v>40</v>
      </c>
      <c r="B39" t="s">
        <v>636</v>
      </c>
      <c r="C39" t="s">
        <v>59</v>
      </c>
      <c r="D39" t="str">
        <f t="shared" si="0"/>
        <v>12</v>
      </c>
      <c r="E39" t="s">
        <v>592</v>
      </c>
      <c r="F39">
        <v>10.58</v>
      </c>
      <c r="G39">
        <v>10.11</v>
      </c>
      <c r="H39">
        <v>10.26</v>
      </c>
      <c r="I39">
        <v>13.47</v>
      </c>
      <c r="J39">
        <v>14.47</v>
      </c>
      <c r="K39">
        <v>13.47</v>
      </c>
      <c r="L39">
        <v>74.94</v>
      </c>
      <c r="M39">
        <v>73.78</v>
      </c>
      <c r="N39">
        <v>73.930000000000007</v>
      </c>
      <c r="O39">
        <v>1.18</v>
      </c>
      <c r="P39">
        <v>0.22</v>
      </c>
      <c r="Q39">
        <v>0.72</v>
      </c>
      <c r="R39">
        <v>72.010000000000005</v>
      </c>
      <c r="S39">
        <v>77.209999999999994</v>
      </c>
      <c r="T39">
        <v>74.55</v>
      </c>
      <c r="U39">
        <v>91.56</v>
      </c>
      <c r="V39">
        <v>82.48</v>
      </c>
      <c r="W39">
        <v>87.02</v>
      </c>
      <c r="X39">
        <v>0.313</v>
      </c>
      <c r="Y39">
        <v>98.45</v>
      </c>
      <c r="Z39">
        <v>8831.08</v>
      </c>
      <c r="AA39">
        <v>209460</v>
      </c>
    </row>
    <row r="40" spans="1:27" x14ac:dyDescent="0.35">
      <c r="A40" t="s">
        <v>41</v>
      </c>
      <c r="B40" t="s">
        <v>637</v>
      </c>
      <c r="C40" t="s">
        <v>59</v>
      </c>
      <c r="D40" t="str">
        <f t="shared" si="0"/>
        <v>12</v>
      </c>
      <c r="E40" t="s">
        <v>592</v>
      </c>
      <c r="F40">
        <v>10.119999999999999</v>
      </c>
      <c r="G40">
        <v>9.58</v>
      </c>
      <c r="H40">
        <v>9.94</v>
      </c>
      <c r="I40">
        <v>12.9</v>
      </c>
      <c r="J40">
        <v>15.08</v>
      </c>
      <c r="K40">
        <v>13.92</v>
      </c>
      <c r="L40">
        <v>74.34</v>
      </c>
      <c r="M40">
        <v>73.87</v>
      </c>
      <c r="N40">
        <v>73.89</v>
      </c>
      <c r="O40">
        <v>1.1599999999999999</v>
      </c>
      <c r="P40">
        <v>0.63</v>
      </c>
      <c r="Q40">
        <v>0.91</v>
      </c>
      <c r="R40">
        <v>71.23</v>
      </c>
      <c r="S40">
        <v>75.569999999999993</v>
      </c>
      <c r="T40">
        <v>73.349999999999994</v>
      </c>
      <c r="U40">
        <v>90.62</v>
      </c>
      <c r="V40">
        <v>83.89</v>
      </c>
      <c r="W40">
        <v>87.26</v>
      </c>
      <c r="X40">
        <v>0.41699999999999998</v>
      </c>
      <c r="Y40">
        <v>99.37</v>
      </c>
      <c r="Z40">
        <v>1871.67</v>
      </c>
      <c r="AA40">
        <v>57246</v>
      </c>
    </row>
    <row r="41" spans="1:27" x14ac:dyDescent="0.35">
      <c r="A41" t="s">
        <v>42</v>
      </c>
      <c r="B41" t="s">
        <v>638</v>
      </c>
      <c r="C41" t="s">
        <v>59</v>
      </c>
      <c r="D41" t="str">
        <f t="shared" si="0"/>
        <v>12</v>
      </c>
      <c r="E41" t="s">
        <v>592</v>
      </c>
      <c r="F41">
        <v>10.26</v>
      </c>
      <c r="G41">
        <v>9.35</v>
      </c>
      <c r="H41">
        <v>9.81</v>
      </c>
      <c r="I41">
        <v>13.4</v>
      </c>
      <c r="J41">
        <v>14.52</v>
      </c>
      <c r="K41">
        <v>13.53</v>
      </c>
      <c r="L41">
        <v>76.319999999999993</v>
      </c>
      <c r="M41">
        <v>74.62</v>
      </c>
      <c r="N41">
        <v>74.63</v>
      </c>
      <c r="O41">
        <v>1.28</v>
      </c>
      <c r="P41">
        <v>0.45</v>
      </c>
      <c r="Q41">
        <v>0.87</v>
      </c>
      <c r="R41">
        <v>72.099999999999994</v>
      </c>
      <c r="S41">
        <v>77.39</v>
      </c>
      <c r="T41">
        <v>74.680000000000007</v>
      </c>
      <c r="U41">
        <v>86.67</v>
      </c>
      <c r="V41">
        <v>82.94</v>
      </c>
      <c r="W41">
        <v>84.81</v>
      </c>
      <c r="X41">
        <v>0.29299999999999998</v>
      </c>
      <c r="Y41">
        <v>97.77</v>
      </c>
      <c r="Z41">
        <v>6509.11</v>
      </c>
      <c r="AA41">
        <v>144813</v>
      </c>
    </row>
    <row r="42" spans="1:27" x14ac:dyDescent="0.35">
      <c r="A42" t="s">
        <v>43</v>
      </c>
      <c r="B42" t="s">
        <v>639</v>
      </c>
      <c r="C42" t="s">
        <v>59</v>
      </c>
      <c r="D42" t="str">
        <f t="shared" si="0"/>
        <v>12</v>
      </c>
      <c r="E42" t="s">
        <v>592</v>
      </c>
      <c r="F42">
        <v>9.34</v>
      </c>
      <c r="G42">
        <v>8.92</v>
      </c>
      <c r="H42">
        <v>9.1300000000000008</v>
      </c>
      <c r="I42">
        <v>12.61</v>
      </c>
      <c r="J42">
        <v>12.87</v>
      </c>
      <c r="K42">
        <v>12.66</v>
      </c>
      <c r="L42">
        <v>78.92</v>
      </c>
      <c r="M42">
        <v>71.010000000000005</v>
      </c>
      <c r="N42">
        <v>74.69</v>
      </c>
      <c r="O42">
        <v>2.76</v>
      </c>
      <c r="P42">
        <v>6.8</v>
      </c>
      <c r="Q42">
        <v>4.3099999999999996</v>
      </c>
      <c r="R42">
        <v>71.5</v>
      </c>
      <c r="S42">
        <v>76.13</v>
      </c>
      <c r="T42">
        <v>73.760000000000005</v>
      </c>
      <c r="U42">
        <v>89.69</v>
      </c>
      <c r="V42">
        <v>56.01</v>
      </c>
      <c r="W42">
        <v>72.849999999999994</v>
      </c>
      <c r="X42">
        <v>0.26</v>
      </c>
      <c r="Y42">
        <v>89.98</v>
      </c>
      <c r="Z42">
        <v>46220.2</v>
      </c>
      <c r="AA42">
        <v>700077</v>
      </c>
    </row>
    <row r="43" spans="1:27" x14ac:dyDescent="0.35">
      <c r="A43" t="s">
        <v>44</v>
      </c>
      <c r="B43" t="s">
        <v>640</v>
      </c>
      <c r="C43" t="s">
        <v>59</v>
      </c>
      <c r="D43" t="str">
        <f t="shared" si="0"/>
        <v>12</v>
      </c>
      <c r="E43" t="s">
        <v>592</v>
      </c>
      <c r="F43">
        <v>8.92</v>
      </c>
      <c r="G43">
        <v>8.6300000000000008</v>
      </c>
      <c r="H43">
        <v>8.7100000000000009</v>
      </c>
      <c r="I43">
        <v>12.96</v>
      </c>
      <c r="J43">
        <v>13.39</v>
      </c>
      <c r="K43">
        <v>13.13</v>
      </c>
      <c r="L43">
        <v>78.61</v>
      </c>
      <c r="M43">
        <v>66.55</v>
      </c>
      <c r="N43">
        <v>73.92</v>
      </c>
      <c r="O43">
        <v>5.09</v>
      </c>
      <c r="P43">
        <v>5.97</v>
      </c>
      <c r="Q43">
        <v>5.44</v>
      </c>
      <c r="R43">
        <v>71.260000000000005</v>
      </c>
      <c r="S43">
        <v>75.64</v>
      </c>
      <c r="T43">
        <v>73.400000000000006</v>
      </c>
      <c r="U43">
        <v>85.13</v>
      </c>
      <c r="V43">
        <v>55.57</v>
      </c>
      <c r="W43">
        <v>70.349999999999994</v>
      </c>
      <c r="X43">
        <v>0.218</v>
      </c>
      <c r="Y43">
        <v>84.66</v>
      </c>
      <c r="Z43">
        <v>51388.29</v>
      </c>
      <c r="AA43">
        <v>443998</v>
      </c>
    </row>
    <row r="44" spans="1:27" x14ac:dyDescent="0.35">
      <c r="A44" t="s">
        <v>45</v>
      </c>
      <c r="B44" t="s">
        <v>641</v>
      </c>
      <c r="C44" t="s">
        <v>59</v>
      </c>
      <c r="D44" t="str">
        <f t="shared" si="0"/>
        <v>12</v>
      </c>
      <c r="E44" t="s">
        <v>592</v>
      </c>
      <c r="F44">
        <v>10.220000000000001</v>
      </c>
      <c r="G44">
        <v>9.89</v>
      </c>
      <c r="H44">
        <v>10.050000000000001</v>
      </c>
      <c r="I44">
        <v>13.63</v>
      </c>
      <c r="J44">
        <v>13.73</v>
      </c>
      <c r="K44">
        <v>13.73</v>
      </c>
      <c r="L44">
        <v>79.83</v>
      </c>
      <c r="M44">
        <v>70.849999999999994</v>
      </c>
      <c r="N44">
        <v>75.12</v>
      </c>
      <c r="O44">
        <v>3.44</v>
      </c>
      <c r="P44">
        <v>4.1399999999999997</v>
      </c>
      <c r="Q44">
        <v>3.73</v>
      </c>
      <c r="R44">
        <v>69.989999999999995</v>
      </c>
      <c r="S44">
        <v>73.989999999999995</v>
      </c>
      <c r="T44">
        <v>71.94</v>
      </c>
      <c r="U44">
        <v>87.36</v>
      </c>
      <c r="V44">
        <v>64.58</v>
      </c>
      <c r="W44">
        <v>75.97</v>
      </c>
      <c r="X44">
        <v>0.52300000000000002</v>
      </c>
      <c r="Y44">
        <v>88.75</v>
      </c>
      <c r="Z44">
        <v>19536.990000000002</v>
      </c>
      <c r="AA44">
        <v>285659</v>
      </c>
    </row>
    <row r="45" spans="1:27" x14ac:dyDescent="0.35">
      <c r="A45" t="s">
        <v>46</v>
      </c>
      <c r="B45" t="s">
        <v>642</v>
      </c>
      <c r="C45" t="s">
        <v>59</v>
      </c>
      <c r="D45" t="str">
        <f t="shared" si="0"/>
        <v>12</v>
      </c>
      <c r="E45" t="s">
        <v>592</v>
      </c>
      <c r="F45">
        <v>9.76</v>
      </c>
      <c r="G45">
        <v>9.49</v>
      </c>
      <c r="H45">
        <v>9.64</v>
      </c>
      <c r="I45">
        <v>13.61</v>
      </c>
      <c r="J45">
        <v>14.11</v>
      </c>
      <c r="K45">
        <v>14.11</v>
      </c>
      <c r="L45">
        <v>77.94</v>
      </c>
      <c r="M45">
        <v>68.22</v>
      </c>
      <c r="N45">
        <v>73.900000000000006</v>
      </c>
      <c r="O45">
        <v>4.74</v>
      </c>
      <c r="P45">
        <v>5.41</v>
      </c>
      <c r="Q45">
        <v>5.03</v>
      </c>
      <c r="R45">
        <v>69.92</v>
      </c>
      <c r="S45">
        <v>73.91</v>
      </c>
      <c r="T45">
        <v>71.87</v>
      </c>
      <c r="U45">
        <v>90.35</v>
      </c>
      <c r="V45">
        <v>67.430000000000007</v>
      </c>
      <c r="W45">
        <v>78.89</v>
      </c>
      <c r="X45">
        <v>0.79900000000000004</v>
      </c>
      <c r="Y45">
        <v>87.53</v>
      </c>
      <c r="Z45">
        <v>20555.91</v>
      </c>
      <c r="AA45">
        <v>285704</v>
      </c>
    </row>
    <row r="46" spans="1:27" x14ac:dyDescent="0.35">
      <c r="A46" t="s">
        <v>47</v>
      </c>
      <c r="B46" t="s">
        <v>643</v>
      </c>
      <c r="C46" t="s">
        <v>59</v>
      </c>
      <c r="D46" t="str">
        <f t="shared" si="0"/>
        <v>12</v>
      </c>
      <c r="E46" t="s">
        <v>592</v>
      </c>
      <c r="F46">
        <v>9.4600000000000009</v>
      </c>
      <c r="G46">
        <v>9.23</v>
      </c>
      <c r="H46">
        <v>9.2899999999999991</v>
      </c>
      <c r="I46">
        <v>13.21</v>
      </c>
      <c r="J46">
        <v>13.98</v>
      </c>
      <c r="K46">
        <v>13.54</v>
      </c>
      <c r="L46">
        <v>80.349999999999994</v>
      </c>
      <c r="M46">
        <v>71.86</v>
      </c>
      <c r="N46">
        <v>75.739999999999995</v>
      </c>
      <c r="O46">
        <v>3.11</v>
      </c>
      <c r="P46">
        <v>3.33</v>
      </c>
      <c r="Q46">
        <v>3.19</v>
      </c>
      <c r="R46">
        <v>71.010000000000005</v>
      </c>
      <c r="S46">
        <v>75.11</v>
      </c>
      <c r="T46">
        <v>73.010000000000005</v>
      </c>
      <c r="U46">
        <v>86.77</v>
      </c>
      <c r="V46">
        <v>51.87</v>
      </c>
      <c r="W46">
        <v>69.319999999999993</v>
      </c>
      <c r="X46">
        <v>0.53500000000000003</v>
      </c>
      <c r="Y46">
        <v>89.43</v>
      </c>
      <c r="Z46">
        <v>46170.5</v>
      </c>
      <c r="AA46">
        <v>342225</v>
      </c>
    </row>
    <row r="47" spans="1:27" x14ac:dyDescent="0.35">
      <c r="A47" t="s">
        <v>48</v>
      </c>
      <c r="B47" t="s">
        <v>644</v>
      </c>
      <c r="C47" t="s">
        <v>59</v>
      </c>
      <c r="D47" t="str">
        <f t="shared" si="0"/>
        <v>12</v>
      </c>
      <c r="E47" t="s">
        <v>592</v>
      </c>
      <c r="F47">
        <v>9.42</v>
      </c>
      <c r="G47">
        <v>8.99</v>
      </c>
      <c r="H47">
        <v>9.15</v>
      </c>
      <c r="I47">
        <v>13.36</v>
      </c>
      <c r="J47">
        <v>13.9</v>
      </c>
      <c r="K47">
        <v>13.59</v>
      </c>
      <c r="L47">
        <v>80.67</v>
      </c>
      <c r="M47">
        <v>73.849999999999994</v>
      </c>
      <c r="N47">
        <v>76.709999999999994</v>
      </c>
      <c r="O47">
        <v>2.31</v>
      </c>
      <c r="P47">
        <v>7.27</v>
      </c>
      <c r="Q47">
        <v>4.21</v>
      </c>
      <c r="R47">
        <v>71.95</v>
      </c>
      <c r="S47">
        <v>77.069999999999993</v>
      </c>
      <c r="T47">
        <v>74.45</v>
      </c>
      <c r="U47">
        <v>89.69</v>
      </c>
      <c r="V47">
        <v>56.79</v>
      </c>
      <c r="W47">
        <v>73.239999999999995</v>
      </c>
      <c r="X47">
        <v>0.56599999999999995</v>
      </c>
      <c r="Y47">
        <v>91.55</v>
      </c>
      <c r="Z47">
        <v>39677.85</v>
      </c>
      <c r="AA47">
        <v>415485</v>
      </c>
    </row>
    <row r="48" spans="1:27" x14ac:dyDescent="0.35">
      <c r="A48" t="s">
        <v>49</v>
      </c>
      <c r="B48" t="s">
        <v>645</v>
      </c>
      <c r="C48" t="s">
        <v>59</v>
      </c>
      <c r="D48" t="str">
        <f t="shared" si="0"/>
        <v>12</v>
      </c>
      <c r="E48" t="s">
        <v>592</v>
      </c>
      <c r="F48">
        <v>8.41</v>
      </c>
      <c r="G48">
        <v>6.12</v>
      </c>
      <c r="H48">
        <v>7.25</v>
      </c>
      <c r="I48">
        <v>13.39</v>
      </c>
      <c r="J48">
        <v>13.33</v>
      </c>
      <c r="K48">
        <v>13.38</v>
      </c>
      <c r="L48">
        <v>73.739999999999995</v>
      </c>
      <c r="M48">
        <v>60.13</v>
      </c>
      <c r="N48">
        <v>67.38</v>
      </c>
      <c r="O48">
        <v>2.31</v>
      </c>
      <c r="P48">
        <v>2.4900000000000002</v>
      </c>
      <c r="Q48">
        <v>2.4</v>
      </c>
      <c r="R48">
        <v>70.52</v>
      </c>
      <c r="S48">
        <v>74.540000000000006</v>
      </c>
      <c r="T48">
        <v>72.48</v>
      </c>
      <c r="U48">
        <v>83.43</v>
      </c>
      <c r="V48">
        <v>74.56</v>
      </c>
      <c r="W48">
        <v>79</v>
      </c>
      <c r="X48">
        <v>0.52900000000000003</v>
      </c>
      <c r="Y48">
        <v>81.540000000000006</v>
      </c>
      <c r="Z48">
        <v>5128.29</v>
      </c>
      <c r="AA48">
        <v>161442</v>
      </c>
    </row>
    <row r="49" spans="1:27" x14ac:dyDescent="0.35">
      <c r="A49" t="s">
        <v>50</v>
      </c>
      <c r="B49" t="s">
        <v>646</v>
      </c>
      <c r="C49" t="s">
        <v>59</v>
      </c>
      <c r="D49" t="str">
        <f t="shared" si="0"/>
        <v>12</v>
      </c>
      <c r="E49" t="s">
        <v>592</v>
      </c>
      <c r="F49">
        <v>9.06</v>
      </c>
      <c r="G49">
        <v>6.29</v>
      </c>
      <c r="H49">
        <v>7.43</v>
      </c>
      <c r="I49">
        <v>13.34</v>
      </c>
      <c r="J49">
        <v>13.05</v>
      </c>
      <c r="K49">
        <v>13.17</v>
      </c>
      <c r="L49">
        <v>72.989999999999995</v>
      </c>
      <c r="M49">
        <v>64.13</v>
      </c>
      <c r="N49">
        <v>66.650000000000006</v>
      </c>
      <c r="O49">
        <v>1.05</v>
      </c>
      <c r="P49">
        <v>0.9</v>
      </c>
      <c r="Q49">
        <v>0.97</v>
      </c>
      <c r="R49">
        <v>70.849999999999994</v>
      </c>
      <c r="S49">
        <v>74.88</v>
      </c>
      <c r="T49">
        <v>72.819999999999993</v>
      </c>
      <c r="U49">
        <v>86.79</v>
      </c>
      <c r="V49">
        <v>78.8</v>
      </c>
      <c r="W49">
        <v>82.8</v>
      </c>
      <c r="X49">
        <v>0.50700000000000001</v>
      </c>
      <c r="Y49">
        <v>87.86</v>
      </c>
      <c r="Z49">
        <v>2671.71</v>
      </c>
      <c r="AA49">
        <v>99124</v>
      </c>
    </row>
    <row r="50" spans="1:27" x14ac:dyDescent="0.35">
      <c r="A50" t="s">
        <v>51</v>
      </c>
      <c r="B50" t="s">
        <v>647</v>
      </c>
      <c r="C50" t="s">
        <v>59</v>
      </c>
      <c r="D50" t="str">
        <f t="shared" si="0"/>
        <v>12</v>
      </c>
      <c r="E50" t="s">
        <v>592</v>
      </c>
      <c r="F50">
        <v>10.44</v>
      </c>
      <c r="G50">
        <v>10.47</v>
      </c>
      <c r="H50">
        <v>10.46</v>
      </c>
      <c r="I50">
        <v>12.94</v>
      </c>
      <c r="J50">
        <v>13.96</v>
      </c>
      <c r="K50">
        <v>13.44</v>
      </c>
      <c r="L50">
        <v>79.06</v>
      </c>
      <c r="M50">
        <v>78.11</v>
      </c>
      <c r="N50">
        <v>78.11</v>
      </c>
      <c r="O50">
        <v>6.91</v>
      </c>
      <c r="P50">
        <v>5.74</v>
      </c>
      <c r="Q50">
        <v>6.44</v>
      </c>
      <c r="R50">
        <v>71.900000000000006</v>
      </c>
      <c r="S50">
        <v>76.98</v>
      </c>
      <c r="T50">
        <v>74.38</v>
      </c>
      <c r="U50">
        <v>82.71</v>
      </c>
      <c r="V50">
        <v>55.47</v>
      </c>
      <c r="W50">
        <v>69.09</v>
      </c>
      <c r="X50">
        <v>0.13500000000000001</v>
      </c>
      <c r="Y50">
        <v>98.8</v>
      </c>
      <c r="Z50">
        <v>7575</v>
      </c>
      <c r="AA50">
        <v>92244</v>
      </c>
    </row>
    <row r="51" spans="1:27" x14ac:dyDescent="0.35">
      <c r="A51" t="s">
        <v>52</v>
      </c>
      <c r="B51" t="s">
        <v>648</v>
      </c>
      <c r="C51" t="s">
        <v>59</v>
      </c>
      <c r="D51" t="str">
        <f t="shared" si="0"/>
        <v>12</v>
      </c>
      <c r="E51" t="s">
        <v>592</v>
      </c>
      <c r="F51">
        <v>9.64</v>
      </c>
      <c r="G51">
        <v>10.14</v>
      </c>
      <c r="H51">
        <v>9.9</v>
      </c>
      <c r="I51">
        <v>12.72</v>
      </c>
      <c r="J51">
        <v>13.45</v>
      </c>
      <c r="K51">
        <v>13.16</v>
      </c>
      <c r="L51">
        <v>80.33</v>
      </c>
      <c r="M51">
        <v>73.989999999999995</v>
      </c>
      <c r="N51">
        <v>76.7</v>
      </c>
      <c r="O51">
        <v>2.74</v>
      </c>
      <c r="P51">
        <v>5.4</v>
      </c>
      <c r="Q51">
        <v>3.81</v>
      </c>
      <c r="R51">
        <v>71.92</v>
      </c>
      <c r="S51">
        <v>77.010000000000005</v>
      </c>
      <c r="T51">
        <v>74.400000000000006</v>
      </c>
      <c r="U51">
        <v>86.16</v>
      </c>
      <c r="V51">
        <v>59.59</v>
      </c>
      <c r="W51">
        <v>72.88</v>
      </c>
      <c r="X51">
        <v>0.13200000000000001</v>
      </c>
      <c r="Y51">
        <v>92.11</v>
      </c>
      <c r="Z51">
        <v>13141.28</v>
      </c>
      <c r="AA51">
        <v>188063</v>
      </c>
    </row>
    <row r="52" spans="1:27" x14ac:dyDescent="0.35">
      <c r="A52" t="s">
        <v>53</v>
      </c>
      <c r="B52" t="s">
        <v>1098</v>
      </c>
      <c r="C52" t="s">
        <v>59</v>
      </c>
      <c r="D52" t="str">
        <f t="shared" si="0"/>
        <v>12</v>
      </c>
      <c r="E52" t="s">
        <v>592</v>
      </c>
      <c r="F52">
        <v>11.91</v>
      </c>
      <c r="G52">
        <v>11.76</v>
      </c>
      <c r="H52">
        <v>11.83</v>
      </c>
      <c r="I52">
        <v>14.99</v>
      </c>
      <c r="J52">
        <v>14.62</v>
      </c>
      <c r="K52">
        <v>14.62</v>
      </c>
      <c r="L52">
        <v>84.01</v>
      </c>
      <c r="M52">
        <v>81.05</v>
      </c>
      <c r="N52">
        <v>81.709999999999994</v>
      </c>
      <c r="O52">
        <v>10.87</v>
      </c>
      <c r="P52">
        <v>3.81</v>
      </c>
      <c r="Q52">
        <v>7.74</v>
      </c>
      <c r="R52">
        <v>73.849999999999994</v>
      </c>
      <c r="S52">
        <v>77.62</v>
      </c>
      <c r="T52">
        <v>75.42</v>
      </c>
      <c r="U52">
        <v>83.67</v>
      </c>
      <c r="V52">
        <v>64.19</v>
      </c>
      <c r="W52">
        <v>73.930000000000007</v>
      </c>
      <c r="X52">
        <v>0.129</v>
      </c>
      <c r="Y52">
        <v>96.48</v>
      </c>
      <c r="Z52">
        <v>18451.099999999999</v>
      </c>
      <c r="AA52">
        <v>279198</v>
      </c>
    </row>
    <row r="53" spans="1:27" x14ac:dyDescent="0.35">
      <c r="A53" t="s">
        <v>54</v>
      </c>
      <c r="B53" t="s">
        <v>649</v>
      </c>
      <c r="C53" t="s">
        <v>59</v>
      </c>
      <c r="D53" t="str">
        <f t="shared" si="0"/>
        <v>12</v>
      </c>
      <c r="E53" t="s">
        <v>592</v>
      </c>
      <c r="F53">
        <v>11.13</v>
      </c>
      <c r="G53">
        <v>10.87</v>
      </c>
      <c r="H53">
        <v>10.88</v>
      </c>
      <c r="I53">
        <v>13.01</v>
      </c>
      <c r="J53">
        <v>13.23</v>
      </c>
      <c r="K53">
        <v>13.14</v>
      </c>
      <c r="L53">
        <v>82.59</v>
      </c>
      <c r="M53">
        <v>78.06</v>
      </c>
      <c r="N53">
        <v>79.260000000000005</v>
      </c>
      <c r="O53">
        <v>6.87</v>
      </c>
      <c r="P53">
        <v>4.6900000000000004</v>
      </c>
      <c r="Q53">
        <v>5.99</v>
      </c>
      <c r="R53">
        <v>72.03</v>
      </c>
      <c r="S53">
        <v>77.25</v>
      </c>
      <c r="T53">
        <v>74.58</v>
      </c>
      <c r="U53">
        <v>87.58</v>
      </c>
      <c r="V53">
        <v>56.51</v>
      </c>
      <c r="W53">
        <v>72.05</v>
      </c>
      <c r="X53">
        <v>0.2</v>
      </c>
      <c r="Y53">
        <v>94.52</v>
      </c>
      <c r="Z53">
        <v>8265.0400000000009</v>
      </c>
      <c r="AA53">
        <v>182968</v>
      </c>
    </row>
    <row r="54" spans="1:27" x14ac:dyDescent="0.35">
      <c r="A54" t="s">
        <v>55</v>
      </c>
      <c r="B54" t="s">
        <v>650</v>
      </c>
      <c r="C54" t="s">
        <v>59</v>
      </c>
      <c r="D54" t="str">
        <f t="shared" si="0"/>
        <v>12</v>
      </c>
      <c r="E54" t="s">
        <v>592</v>
      </c>
      <c r="F54">
        <v>11.87</v>
      </c>
      <c r="G54">
        <v>11.75</v>
      </c>
      <c r="H54">
        <v>11.8</v>
      </c>
      <c r="I54">
        <v>14.66</v>
      </c>
      <c r="J54">
        <v>14.99</v>
      </c>
      <c r="K54">
        <v>14.8</v>
      </c>
      <c r="L54">
        <v>87.22</v>
      </c>
      <c r="M54">
        <v>83.33</v>
      </c>
      <c r="N54">
        <v>83.74</v>
      </c>
      <c r="O54">
        <v>7.88</v>
      </c>
      <c r="P54">
        <v>8.16</v>
      </c>
      <c r="Q54">
        <v>7.99</v>
      </c>
      <c r="R54">
        <v>72.790000000000006</v>
      </c>
      <c r="S54">
        <v>78.430000000000007</v>
      </c>
      <c r="T54">
        <v>75.540000000000006</v>
      </c>
      <c r="U54">
        <v>78.86</v>
      </c>
      <c r="V54">
        <v>52.79</v>
      </c>
      <c r="W54">
        <v>65.83</v>
      </c>
      <c r="X54">
        <v>0.13200000000000001</v>
      </c>
      <c r="Y54">
        <v>95.54</v>
      </c>
      <c r="Z54">
        <v>353289.26</v>
      </c>
      <c r="AA54">
        <v>2498293</v>
      </c>
    </row>
    <row r="55" spans="1:27" x14ac:dyDescent="0.35">
      <c r="A55" t="s">
        <v>56</v>
      </c>
      <c r="B55" t="s">
        <v>651</v>
      </c>
      <c r="C55" t="s">
        <v>59</v>
      </c>
      <c r="D55" t="str">
        <f t="shared" si="0"/>
        <v>12</v>
      </c>
      <c r="E55" t="s">
        <v>592</v>
      </c>
      <c r="F55">
        <v>11.4</v>
      </c>
      <c r="G55">
        <v>11.06</v>
      </c>
      <c r="H55">
        <v>11.21</v>
      </c>
      <c r="I55">
        <v>14.17</v>
      </c>
      <c r="J55">
        <v>14.26</v>
      </c>
      <c r="K55">
        <v>14.19</v>
      </c>
      <c r="L55">
        <v>83.3</v>
      </c>
      <c r="M55">
        <v>76.739999999999995</v>
      </c>
      <c r="N55">
        <v>79.2</v>
      </c>
      <c r="O55">
        <v>6.66</v>
      </c>
      <c r="P55">
        <v>3.54</v>
      </c>
      <c r="Q55">
        <v>5.37</v>
      </c>
      <c r="R55">
        <v>72.19</v>
      </c>
      <c r="S55">
        <v>77.56</v>
      </c>
      <c r="T55">
        <v>74.81</v>
      </c>
      <c r="U55">
        <v>76.87</v>
      </c>
      <c r="V55">
        <v>53.09</v>
      </c>
      <c r="W55">
        <v>64.98</v>
      </c>
      <c r="X55">
        <v>0.29399999999999998</v>
      </c>
      <c r="Y55">
        <v>92.12</v>
      </c>
      <c r="Z55">
        <v>16644.36</v>
      </c>
      <c r="AA55">
        <v>310932</v>
      </c>
    </row>
    <row r="56" spans="1:27" x14ac:dyDescent="0.35">
      <c r="A56" t="s">
        <v>57</v>
      </c>
      <c r="B56" t="s">
        <v>1099</v>
      </c>
      <c r="C56" t="s">
        <v>59</v>
      </c>
      <c r="D56" t="str">
        <f t="shared" si="0"/>
        <v>12</v>
      </c>
      <c r="E56" t="s">
        <v>592</v>
      </c>
      <c r="F56">
        <v>11.29</v>
      </c>
      <c r="G56">
        <v>11.14</v>
      </c>
      <c r="H56">
        <v>11.22</v>
      </c>
      <c r="I56">
        <v>14.15</v>
      </c>
      <c r="J56">
        <v>15.34</v>
      </c>
      <c r="K56">
        <v>14.72</v>
      </c>
      <c r="L56">
        <v>80.66</v>
      </c>
      <c r="M56">
        <v>79.180000000000007</v>
      </c>
      <c r="N56">
        <v>79.19</v>
      </c>
      <c r="O56">
        <v>7.75</v>
      </c>
      <c r="P56">
        <v>5.94</v>
      </c>
      <c r="Q56">
        <v>7</v>
      </c>
      <c r="R56">
        <v>71.63</v>
      </c>
      <c r="S56">
        <v>76.42</v>
      </c>
      <c r="T56">
        <v>73.97</v>
      </c>
      <c r="U56">
        <v>80.47</v>
      </c>
      <c r="V56">
        <v>58.78</v>
      </c>
      <c r="W56">
        <v>69.63</v>
      </c>
      <c r="X56">
        <v>0.183</v>
      </c>
      <c r="Y56">
        <v>98.17</v>
      </c>
      <c r="Z56">
        <v>9132.34</v>
      </c>
      <c r="AA56">
        <v>243843</v>
      </c>
    </row>
    <row r="57" spans="1:27" x14ac:dyDescent="0.35">
      <c r="A57" t="s">
        <v>58</v>
      </c>
      <c r="B57" t="s">
        <v>652</v>
      </c>
      <c r="C57" t="s">
        <v>59</v>
      </c>
      <c r="D57" t="str">
        <f t="shared" si="0"/>
        <v>12</v>
      </c>
      <c r="E57" t="s">
        <v>592</v>
      </c>
      <c r="F57">
        <v>10.15</v>
      </c>
      <c r="G57">
        <v>8.17</v>
      </c>
      <c r="H57">
        <v>8.9499999999999993</v>
      </c>
      <c r="I57">
        <v>13.88</v>
      </c>
      <c r="J57">
        <v>14.29</v>
      </c>
      <c r="K57">
        <v>13.95</v>
      </c>
      <c r="L57">
        <v>78.64</v>
      </c>
      <c r="M57">
        <v>71.59</v>
      </c>
      <c r="N57">
        <v>73.290000000000006</v>
      </c>
      <c r="O57">
        <v>5.26</v>
      </c>
      <c r="P57">
        <v>1.1200000000000001</v>
      </c>
      <c r="Q57">
        <v>3.29</v>
      </c>
      <c r="R57">
        <v>71.959999999999994</v>
      </c>
      <c r="S57">
        <v>77.099999999999994</v>
      </c>
      <c r="T57">
        <v>74.47</v>
      </c>
      <c r="U57">
        <v>77.64</v>
      </c>
      <c r="V57">
        <v>65.12</v>
      </c>
      <c r="W57">
        <v>71.38</v>
      </c>
      <c r="X57">
        <v>0.31900000000000001</v>
      </c>
      <c r="Y57">
        <v>91.04</v>
      </c>
      <c r="Z57">
        <v>7647.11</v>
      </c>
      <c r="AA57">
        <v>147516</v>
      </c>
    </row>
    <row r="58" spans="1:27" x14ac:dyDescent="0.35">
      <c r="A58" t="s">
        <v>60</v>
      </c>
      <c r="B58" t="s">
        <v>653</v>
      </c>
      <c r="C58" t="s">
        <v>79</v>
      </c>
      <c r="D58" t="str">
        <f t="shared" si="0"/>
        <v>13</v>
      </c>
      <c r="E58" t="s">
        <v>592</v>
      </c>
      <c r="F58">
        <v>8.4700000000000006</v>
      </c>
      <c r="G58">
        <v>7.77</v>
      </c>
      <c r="H58">
        <v>8.2100000000000009</v>
      </c>
      <c r="I58">
        <v>13.17</v>
      </c>
      <c r="J58">
        <v>13.1</v>
      </c>
      <c r="K58">
        <v>13.17</v>
      </c>
      <c r="L58">
        <v>72.239999999999995</v>
      </c>
      <c r="M58">
        <v>65.739999999999995</v>
      </c>
      <c r="N58">
        <v>67.62</v>
      </c>
      <c r="O58">
        <v>1.17</v>
      </c>
      <c r="P58">
        <v>1.96</v>
      </c>
      <c r="Q58">
        <v>1.53</v>
      </c>
      <c r="R58">
        <v>69.459999999999994</v>
      </c>
      <c r="S58">
        <v>73.430000000000007</v>
      </c>
      <c r="T58">
        <v>71.400000000000006</v>
      </c>
      <c r="U58">
        <v>85.58</v>
      </c>
      <c r="V58">
        <v>78.83</v>
      </c>
      <c r="W58">
        <v>82.21</v>
      </c>
      <c r="X58">
        <v>0.84099999999999997</v>
      </c>
      <c r="Y58">
        <v>91</v>
      </c>
      <c r="Z58">
        <v>6590.78</v>
      </c>
      <c r="AA58">
        <v>94049</v>
      </c>
    </row>
    <row r="59" spans="1:27" x14ac:dyDescent="0.35">
      <c r="A59" t="s">
        <v>61</v>
      </c>
      <c r="B59" t="s">
        <v>654</v>
      </c>
      <c r="C59" t="s">
        <v>79</v>
      </c>
      <c r="D59" t="str">
        <f t="shared" si="0"/>
        <v>13</v>
      </c>
      <c r="E59" t="s">
        <v>592</v>
      </c>
      <c r="F59">
        <v>8.98</v>
      </c>
      <c r="G59">
        <v>9.1</v>
      </c>
      <c r="H59">
        <v>9.06</v>
      </c>
      <c r="I59">
        <v>13.37</v>
      </c>
      <c r="J59">
        <v>14.2</v>
      </c>
      <c r="K59">
        <v>13.38</v>
      </c>
      <c r="L59">
        <v>76.7</v>
      </c>
      <c r="M59">
        <v>73.72</v>
      </c>
      <c r="N59">
        <v>73.72</v>
      </c>
      <c r="O59">
        <v>5.0199999999999996</v>
      </c>
      <c r="P59">
        <v>5.24</v>
      </c>
      <c r="Q59">
        <v>5.0999999999999996</v>
      </c>
      <c r="R59">
        <v>71.45</v>
      </c>
      <c r="S59">
        <v>76.03</v>
      </c>
      <c r="T59">
        <v>73.680000000000007</v>
      </c>
      <c r="U59">
        <v>86.72</v>
      </c>
      <c r="V59">
        <v>54.08</v>
      </c>
      <c r="W59">
        <v>70.400000000000006</v>
      </c>
      <c r="X59">
        <v>0.372</v>
      </c>
      <c r="Y59">
        <v>96.11</v>
      </c>
      <c r="Z59">
        <v>20357.36</v>
      </c>
      <c r="AA59">
        <v>540381</v>
      </c>
    </row>
    <row r="60" spans="1:27" x14ac:dyDescent="0.35">
      <c r="A60" t="s">
        <v>62</v>
      </c>
      <c r="B60" t="s">
        <v>655</v>
      </c>
      <c r="C60" t="s">
        <v>79</v>
      </c>
      <c r="D60" t="str">
        <f t="shared" si="0"/>
        <v>13</v>
      </c>
      <c r="E60" t="s">
        <v>592</v>
      </c>
      <c r="F60">
        <v>8.2799999999999994</v>
      </c>
      <c r="G60">
        <v>8.15</v>
      </c>
      <c r="H60">
        <v>8.25</v>
      </c>
      <c r="I60">
        <v>12.97</v>
      </c>
      <c r="J60">
        <v>14.4</v>
      </c>
      <c r="K60">
        <v>13.66</v>
      </c>
      <c r="L60">
        <v>75.98</v>
      </c>
      <c r="M60">
        <v>73.25</v>
      </c>
      <c r="N60">
        <v>73.260000000000005</v>
      </c>
      <c r="O60">
        <v>3.5</v>
      </c>
      <c r="P60">
        <v>6.26</v>
      </c>
      <c r="Q60">
        <v>4.7</v>
      </c>
      <c r="R60">
        <v>70.849999999999994</v>
      </c>
      <c r="S60">
        <v>74.88</v>
      </c>
      <c r="T60">
        <v>72.819999999999993</v>
      </c>
      <c r="U60">
        <v>87.3</v>
      </c>
      <c r="V60">
        <v>66.95</v>
      </c>
      <c r="W60">
        <v>77.13</v>
      </c>
      <c r="X60">
        <v>0.19600000000000001</v>
      </c>
      <c r="Y60">
        <v>96.41</v>
      </c>
      <c r="Z60">
        <v>19412.79</v>
      </c>
      <c r="AA60">
        <v>415442</v>
      </c>
    </row>
    <row r="61" spans="1:27" x14ac:dyDescent="0.35">
      <c r="A61" t="s">
        <v>63</v>
      </c>
      <c r="B61" t="s">
        <v>656</v>
      </c>
      <c r="C61" t="s">
        <v>79</v>
      </c>
      <c r="D61" t="str">
        <f t="shared" si="0"/>
        <v>13</v>
      </c>
      <c r="E61" t="s">
        <v>592</v>
      </c>
      <c r="F61">
        <v>8.68</v>
      </c>
      <c r="G61">
        <v>8.66</v>
      </c>
      <c r="H61">
        <v>8.66</v>
      </c>
      <c r="I61">
        <v>12.74</v>
      </c>
      <c r="J61">
        <v>13.68</v>
      </c>
      <c r="K61">
        <v>12.99</v>
      </c>
      <c r="L61">
        <v>77.44</v>
      </c>
      <c r="M61">
        <v>73.44</v>
      </c>
      <c r="N61">
        <v>73.73</v>
      </c>
      <c r="O61">
        <v>3.62</v>
      </c>
      <c r="P61">
        <v>5.95</v>
      </c>
      <c r="Q61">
        <v>4.59</v>
      </c>
      <c r="R61">
        <v>71.2</v>
      </c>
      <c r="S61">
        <v>75.510000000000005</v>
      </c>
      <c r="T61">
        <v>73.3</v>
      </c>
      <c r="U61">
        <v>87.16</v>
      </c>
      <c r="V61">
        <v>63.33</v>
      </c>
      <c r="W61">
        <v>75.25</v>
      </c>
      <c r="X61">
        <v>0.47699999999999998</v>
      </c>
      <c r="Y61">
        <v>94.83</v>
      </c>
      <c r="Z61">
        <v>13536.75</v>
      </c>
      <c r="AA61">
        <v>249794</v>
      </c>
    </row>
    <row r="62" spans="1:27" x14ac:dyDescent="0.35">
      <c r="A62" t="s">
        <v>64</v>
      </c>
      <c r="B62" t="s">
        <v>657</v>
      </c>
      <c r="C62" t="s">
        <v>79</v>
      </c>
      <c r="D62" t="str">
        <f t="shared" si="0"/>
        <v>13</v>
      </c>
      <c r="E62" t="s">
        <v>592</v>
      </c>
      <c r="F62">
        <v>9.2100000000000009</v>
      </c>
      <c r="G62">
        <v>9.6</v>
      </c>
      <c r="H62">
        <v>9.4600000000000009</v>
      </c>
      <c r="I62">
        <v>14.35</v>
      </c>
      <c r="J62">
        <v>15.34</v>
      </c>
      <c r="K62">
        <v>15.06</v>
      </c>
      <c r="L62">
        <v>77.989999999999995</v>
      </c>
      <c r="M62">
        <v>76.73</v>
      </c>
      <c r="N62">
        <v>77.040000000000006</v>
      </c>
      <c r="O62">
        <v>5.31</v>
      </c>
      <c r="P62">
        <v>5.2</v>
      </c>
      <c r="Q62">
        <v>5.26</v>
      </c>
      <c r="R62">
        <v>71.88</v>
      </c>
      <c r="S62">
        <v>76.94</v>
      </c>
      <c r="T62">
        <v>74.349999999999994</v>
      </c>
      <c r="U62">
        <v>84.45</v>
      </c>
      <c r="V62">
        <v>61.11</v>
      </c>
      <c r="W62">
        <v>72.78</v>
      </c>
      <c r="X62">
        <v>0.221</v>
      </c>
      <c r="Y62">
        <v>98.38</v>
      </c>
      <c r="Z62">
        <v>18472.04</v>
      </c>
      <c r="AA62">
        <v>392744</v>
      </c>
    </row>
    <row r="63" spans="1:27" x14ac:dyDescent="0.35">
      <c r="A63" t="s">
        <v>65</v>
      </c>
      <c r="B63" t="s">
        <v>658</v>
      </c>
      <c r="C63" t="s">
        <v>79</v>
      </c>
      <c r="D63" t="str">
        <f t="shared" si="0"/>
        <v>13</v>
      </c>
      <c r="E63" t="s">
        <v>592</v>
      </c>
      <c r="F63">
        <v>9.07</v>
      </c>
      <c r="G63">
        <v>8.65</v>
      </c>
      <c r="H63">
        <v>8.7799999999999994</v>
      </c>
      <c r="I63">
        <v>13.89</v>
      </c>
      <c r="J63">
        <v>15.08</v>
      </c>
      <c r="K63">
        <v>14.21</v>
      </c>
      <c r="L63">
        <v>79.489999999999995</v>
      </c>
      <c r="M63">
        <v>75.3</v>
      </c>
      <c r="N63">
        <v>75.709999999999994</v>
      </c>
      <c r="O63">
        <v>6.37</v>
      </c>
      <c r="P63">
        <v>6.65</v>
      </c>
      <c r="Q63">
        <v>6.48</v>
      </c>
      <c r="R63">
        <v>71.680000000000007</v>
      </c>
      <c r="S63">
        <v>76.52</v>
      </c>
      <c r="T63">
        <v>74.040000000000006</v>
      </c>
      <c r="U63">
        <v>81.28</v>
      </c>
      <c r="V63">
        <v>53.44</v>
      </c>
      <c r="W63">
        <v>67.36</v>
      </c>
      <c r="X63">
        <v>0.72399999999999998</v>
      </c>
      <c r="Y63">
        <v>94.73</v>
      </c>
      <c r="Z63">
        <v>27793.21</v>
      </c>
      <c r="AA63">
        <v>467038</v>
      </c>
    </row>
    <row r="64" spans="1:27" x14ac:dyDescent="0.35">
      <c r="A64" t="s">
        <v>66</v>
      </c>
      <c r="B64" t="s">
        <v>659</v>
      </c>
      <c r="C64" t="s">
        <v>79</v>
      </c>
      <c r="D64" t="str">
        <f t="shared" si="0"/>
        <v>13</v>
      </c>
      <c r="E64" t="s">
        <v>592</v>
      </c>
      <c r="F64">
        <v>9.14</v>
      </c>
      <c r="G64">
        <v>9.6999999999999993</v>
      </c>
      <c r="H64">
        <v>9.57</v>
      </c>
      <c r="I64">
        <v>14.14</v>
      </c>
      <c r="J64">
        <v>14.92</v>
      </c>
      <c r="K64">
        <v>14.26</v>
      </c>
      <c r="L64">
        <v>77.760000000000005</v>
      </c>
      <c r="M64">
        <v>76.03</v>
      </c>
      <c r="N64">
        <v>76.040000000000006</v>
      </c>
      <c r="O64">
        <v>5.05</v>
      </c>
      <c r="P64">
        <v>4.24</v>
      </c>
      <c r="Q64">
        <v>4.71</v>
      </c>
      <c r="R64">
        <v>72.069999999999993</v>
      </c>
      <c r="S64">
        <v>77.319999999999993</v>
      </c>
      <c r="T64">
        <v>74.63</v>
      </c>
      <c r="U64">
        <v>80.91</v>
      </c>
      <c r="V64">
        <v>58.08</v>
      </c>
      <c r="W64">
        <v>69.5</v>
      </c>
      <c r="X64">
        <v>0.14599999999999999</v>
      </c>
      <c r="Y64">
        <v>97.78</v>
      </c>
      <c r="Z64">
        <v>29599.64</v>
      </c>
      <c r="AA64">
        <v>566764</v>
      </c>
    </row>
    <row r="65" spans="1:27" x14ac:dyDescent="0.35">
      <c r="A65" t="s">
        <v>67</v>
      </c>
      <c r="B65" t="s">
        <v>660</v>
      </c>
      <c r="C65" t="s">
        <v>79</v>
      </c>
      <c r="D65" t="str">
        <f t="shared" si="0"/>
        <v>13</v>
      </c>
      <c r="E65" t="s">
        <v>592</v>
      </c>
      <c r="F65">
        <v>8.77</v>
      </c>
      <c r="G65">
        <v>8.48</v>
      </c>
      <c r="H65">
        <v>8.49</v>
      </c>
      <c r="I65">
        <v>13.25</v>
      </c>
      <c r="J65">
        <v>14.02</v>
      </c>
      <c r="K65">
        <v>13.53</v>
      </c>
      <c r="L65">
        <v>76.7</v>
      </c>
      <c r="M65">
        <v>73.239999999999995</v>
      </c>
      <c r="N65">
        <v>73.430000000000007</v>
      </c>
      <c r="O65">
        <v>3.44</v>
      </c>
      <c r="P65">
        <v>4.2300000000000004</v>
      </c>
      <c r="Q65">
        <v>3.78</v>
      </c>
      <c r="R65">
        <v>71.42</v>
      </c>
      <c r="S65">
        <v>75.97</v>
      </c>
      <c r="T65">
        <v>73.64</v>
      </c>
      <c r="U65">
        <v>85.1</v>
      </c>
      <c r="V65">
        <v>63.31</v>
      </c>
      <c r="W65">
        <v>74.209999999999994</v>
      </c>
      <c r="X65">
        <v>0.40100000000000002</v>
      </c>
      <c r="Y65">
        <v>95.49</v>
      </c>
      <c r="Z65">
        <v>22486.38</v>
      </c>
      <c r="AA65">
        <v>405714</v>
      </c>
    </row>
    <row r="66" spans="1:27" x14ac:dyDescent="0.35">
      <c r="A66" t="s">
        <v>68</v>
      </c>
      <c r="B66" t="s">
        <v>661</v>
      </c>
      <c r="C66" t="s">
        <v>79</v>
      </c>
      <c r="D66" t="str">
        <f t="shared" si="0"/>
        <v>13</v>
      </c>
      <c r="E66" t="s">
        <v>592</v>
      </c>
      <c r="F66">
        <v>8.5399999999999991</v>
      </c>
      <c r="G66">
        <v>8.4700000000000006</v>
      </c>
      <c r="H66">
        <v>8.49</v>
      </c>
      <c r="I66">
        <v>13.43</v>
      </c>
      <c r="J66">
        <v>14.34</v>
      </c>
      <c r="K66">
        <v>13.65</v>
      </c>
      <c r="L66">
        <v>75.22</v>
      </c>
      <c r="M66">
        <v>70.16</v>
      </c>
      <c r="N66">
        <v>71.599999999999994</v>
      </c>
      <c r="O66">
        <v>4.3</v>
      </c>
      <c r="P66">
        <v>6.71</v>
      </c>
      <c r="Q66">
        <v>5.29</v>
      </c>
      <c r="R66">
        <v>70.8</v>
      </c>
      <c r="S66">
        <v>74.83</v>
      </c>
      <c r="T66">
        <v>72.760000000000005</v>
      </c>
      <c r="U66">
        <v>85.08</v>
      </c>
      <c r="V66">
        <v>60.13</v>
      </c>
      <c r="W66">
        <v>72.61</v>
      </c>
      <c r="X66">
        <v>0.49299999999999999</v>
      </c>
      <c r="Y66">
        <v>93.27</v>
      </c>
      <c r="Z66">
        <v>12909.78</v>
      </c>
      <c r="AA66">
        <v>322934</v>
      </c>
    </row>
    <row r="67" spans="1:27" x14ac:dyDescent="0.35">
      <c r="A67" t="s">
        <v>69</v>
      </c>
      <c r="B67" t="s">
        <v>662</v>
      </c>
      <c r="C67" t="s">
        <v>79</v>
      </c>
      <c r="D67" t="str">
        <f t="shared" ref="D67:D130" si="1">LEFT(B67,2)</f>
        <v>13</v>
      </c>
      <c r="E67" t="s">
        <v>592</v>
      </c>
      <c r="F67">
        <v>9.01</v>
      </c>
      <c r="G67">
        <v>9.3000000000000007</v>
      </c>
      <c r="H67">
        <v>9.1999999999999993</v>
      </c>
      <c r="I67">
        <v>12.93</v>
      </c>
      <c r="J67">
        <v>13.72</v>
      </c>
      <c r="K67">
        <v>13.08</v>
      </c>
      <c r="L67">
        <v>76.59</v>
      </c>
      <c r="M67">
        <v>73.36</v>
      </c>
      <c r="N67">
        <v>74.010000000000005</v>
      </c>
      <c r="O67">
        <v>1.9</v>
      </c>
      <c r="P67">
        <v>2.44</v>
      </c>
      <c r="Q67">
        <v>2.13</v>
      </c>
      <c r="R67">
        <v>70.8</v>
      </c>
      <c r="S67">
        <v>74.83</v>
      </c>
      <c r="T67">
        <v>72.77</v>
      </c>
      <c r="U67">
        <v>88.84</v>
      </c>
      <c r="V67">
        <v>66.790000000000006</v>
      </c>
      <c r="W67">
        <v>77.819999999999993</v>
      </c>
      <c r="X67">
        <v>0.79200000000000004</v>
      </c>
      <c r="Y67">
        <v>95.78</v>
      </c>
      <c r="Z67">
        <v>8157.2</v>
      </c>
      <c r="AA67">
        <v>198514</v>
      </c>
    </row>
    <row r="68" spans="1:27" x14ac:dyDescent="0.35">
      <c r="A68" t="s">
        <v>70</v>
      </c>
      <c r="B68" t="s">
        <v>663</v>
      </c>
      <c r="C68" t="s">
        <v>79</v>
      </c>
      <c r="D68" t="str">
        <f t="shared" si="1"/>
        <v>13</v>
      </c>
      <c r="E68" t="s">
        <v>592</v>
      </c>
      <c r="F68">
        <v>9.2799999999999994</v>
      </c>
      <c r="G68">
        <v>9.31</v>
      </c>
      <c r="H68">
        <v>9.31</v>
      </c>
      <c r="I68">
        <v>12.59</v>
      </c>
      <c r="J68">
        <v>13.45</v>
      </c>
      <c r="K68">
        <v>13.02</v>
      </c>
      <c r="L68">
        <v>79.3</v>
      </c>
      <c r="M68">
        <v>71.87</v>
      </c>
      <c r="N68">
        <v>75.7</v>
      </c>
      <c r="O68">
        <v>5.0999999999999996</v>
      </c>
      <c r="P68">
        <v>6.13</v>
      </c>
      <c r="Q68">
        <v>5.51</v>
      </c>
      <c r="R68">
        <v>71.87</v>
      </c>
      <c r="S68">
        <v>76.92</v>
      </c>
      <c r="T68">
        <v>74.34</v>
      </c>
      <c r="U68">
        <v>89.35</v>
      </c>
      <c r="V68">
        <v>59.4</v>
      </c>
      <c r="W68">
        <v>74.38</v>
      </c>
      <c r="X68">
        <v>0.41499999999999998</v>
      </c>
      <c r="Y68">
        <v>90.63</v>
      </c>
      <c r="Z68">
        <v>15399.82</v>
      </c>
      <c r="AA68">
        <v>248105</v>
      </c>
    </row>
    <row r="69" spans="1:27" x14ac:dyDescent="0.35">
      <c r="A69" t="s">
        <v>71</v>
      </c>
      <c r="B69" t="s">
        <v>664</v>
      </c>
      <c r="C69" t="s">
        <v>79</v>
      </c>
      <c r="D69" t="str">
        <f t="shared" si="1"/>
        <v>13</v>
      </c>
      <c r="E69" t="s">
        <v>592</v>
      </c>
      <c r="F69">
        <v>9.3000000000000007</v>
      </c>
      <c r="G69">
        <v>9.1999999999999993</v>
      </c>
      <c r="H69">
        <v>9.2799999999999994</v>
      </c>
      <c r="I69">
        <v>13.26</v>
      </c>
      <c r="J69">
        <v>14.33</v>
      </c>
      <c r="K69">
        <v>13.73</v>
      </c>
      <c r="L69">
        <v>77.33</v>
      </c>
      <c r="M69">
        <v>70.2</v>
      </c>
      <c r="N69">
        <v>73.69</v>
      </c>
      <c r="O69">
        <v>5.71</v>
      </c>
      <c r="P69">
        <v>6.3</v>
      </c>
      <c r="Q69">
        <v>5.95</v>
      </c>
      <c r="R69">
        <v>71.12</v>
      </c>
      <c r="S69">
        <v>75.33</v>
      </c>
      <c r="T69">
        <v>73.17</v>
      </c>
      <c r="U69">
        <v>80.3</v>
      </c>
      <c r="V69">
        <v>55.61</v>
      </c>
      <c r="W69">
        <v>67.959999999999994</v>
      </c>
      <c r="X69">
        <v>0.42799999999999999</v>
      </c>
      <c r="Y69">
        <v>90.78</v>
      </c>
      <c r="Z69">
        <v>23014.44</v>
      </c>
      <c r="AA69">
        <v>462786</v>
      </c>
    </row>
    <row r="70" spans="1:27" x14ac:dyDescent="0.35">
      <c r="A70" t="s">
        <v>72</v>
      </c>
      <c r="B70" t="s">
        <v>665</v>
      </c>
      <c r="C70" t="s">
        <v>79</v>
      </c>
      <c r="D70" t="str">
        <f t="shared" si="1"/>
        <v>13</v>
      </c>
      <c r="E70" t="s">
        <v>592</v>
      </c>
      <c r="F70">
        <v>11.73</v>
      </c>
      <c r="G70">
        <v>11.63</v>
      </c>
      <c r="H70">
        <v>11.64</v>
      </c>
      <c r="I70">
        <v>16.38</v>
      </c>
      <c r="J70">
        <v>16.920000000000002</v>
      </c>
      <c r="K70">
        <v>16.579999999999998</v>
      </c>
      <c r="L70">
        <v>88.54</v>
      </c>
      <c r="M70">
        <v>83.94</v>
      </c>
      <c r="N70">
        <v>84.93</v>
      </c>
      <c r="O70">
        <v>8.31</v>
      </c>
      <c r="P70">
        <v>11.6</v>
      </c>
      <c r="Q70">
        <v>9.6999999999999993</v>
      </c>
      <c r="R70">
        <v>72.83</v>
      </c>
      <c r="S70">
        <v>77.75</v>
      </c>
      <c r="T70">
        <v>75.59</v>
      </c>
      <c r="U70">
        <v>78.17</v>
      </c>
      <c r="V70">
        <v>56.45</v>
      </c>
      <c r="W70">
        <v>67.31</v>
      </c>
      <c r="X70">
        <v>0.19900000000000001</v>
      </c>
      <c r="Y70">
        <v>94.8</v>
      </c>
      <c r="Z70">
        <v>88987.41</v>
      </c>
      <c r="AA70">
        <v>965052</v>
      </c>
    </row>
    <row r="71" spans="1:27" x14ac:dyDescent="0.35">
      <c r="A71" t="s">
        <v>73</v>
      </c>
      <c r="B71" t="s">
        <v>666</v>
      </c>
      <c r="C71" t="s">
        <v>79</v>
      </c>
      <c r="D71" t="str">
        <f t="shared" si="1"/>
        <v>13</v>
      </c>
      <c r="E71" t="s">
        <v>592</v>
      </c>
      <c r="F71">
        <v>11.26</v>
      </c>
      <c r="G71">
        <v>11.54</v>
      </c>
      <c r="H71">
        <v>11.38</v>
      </c>
      <c r="I71">
        <v>14.34</v>
      </c>
      <c r="J71">
        <v>15.02</v>
      </c>
      <c r="K71">
        <v>14.59</v>
      </c>
      <c r="L71">
        <v>83.03</v>
      </c>
      <c r="M71">
        <v>80.61</v>
      </c>
      <c r="N71">
        <v>80.900000000000006</v>
      </c>
      <c r="O71">
        <v>3.94</v>
      </c>
      <c r="P71">
        <v>3.76</v>
      </c>
      <c r="Q71">
        <v>3.87</v>
      </c>
      <c r="R71">
        <v>73.349999999999994</v>
      </c>
      <c r="S71">
        <v>77.56</v>
      </c>
      <c r="T71">
        <v>75.3</v>
      </c>
      <c r="U71">
        <v>81.89</v>
      </c>
      <c r="V71">
        <v>58.72</v>
      </c>
      <c r="W71">
        <v>70.31</v>
      </c>
      <c r="X71">
        <v>0.17399999999999999</v>
      </c>
      <c r="Y71">
        <v>97.09</v>
      </c>
      <c r="Z71">
        <v>5879.31</v>
      </c>
      <c r="AA71">
        <v>81059</v>
      </c>
    </row>
    <row r="72" spans="1:27" x14ac:dyDescent="0.35">
      <c r="A72" t="s">
        <v>74</v>
      </c>
      <c r="B72" t="s">
        <v>1100</v>
      </c>
      <c r="C72" t="s">
        <v>79</v>
      </c>
      <c r="D72" t="str">
        <f t="shared" si="1"/>
        <v>13</v>
      </c>
      <c r="E72" t="s">
        <v>592</v>
      </c>
      <c r="F72">
        <v>10.42</v>
      </c>
      <c r="G72">
        <v>10.69</v>
      </c>
      <c r="H72">
        <v>10.54</v>
      </c>
      <c r="I72">
        <v>13.8</v>
      </c>
      <c r="J72">
        <v>14.43</v>
      </c>
      <c r="K72">
        <v>13.89</v>
      </c>
      <c r="L72">
        <v>79.959999999999994</v>
      </c>
      <c r="M72">
        <v>77.040000000000006</v>
      </c>
      <c r="N72">
        <v>77.05</v>
      </c>
      <c r="O72">
        <v>4.57</v>
      </c>
      <c r="P72">
        <v>4.7300000000000004</v>
      </c>
      <c r="Q72">
        <v>4.6399999999999997</v>
      </c>
      <c r="R72">
        <v>71.790000000000006</v>
      </c>
      <c r="S72">
        <v>76.75</v>
      </c>
      <c r="T72">
        <v>74.209999999999994</v>
      </c>
      <c r="U72">
        <v>83.1</v>
      </c>
      <c r="V72">
        <v>64.900000000000006</v>
      </c>
      <c r="W72">
        <v>74</v>
      </c>
      <c r="X72">
        <v>0.13800000000000001</v>
      </c>
      <c r="Y72">
        <v>96.35</v>
      </c>
      <c r="Z72">
        <v>5441.23</v>
      </c>
      <c r="AA72">
        <v>69695</v>
      </c>
    </row>
    <row r="73" spans="1:27" x14ac:dyDescent="0.35">
      <c r="A73" t="s">
        <v>75</v>
      </c>
      <c r="B73" t="s">
        <v>667</v>
      </c>
      <c r="C73" t="s">
        <v>79</v>
      </c>
      <c r="D73" t="str">
        <f t="shared" si="1"/>
        <v>13</v>
      </c>
      <c r="E73" t="s">
        <v>592</v>
      </c>
      <c r="F73">
        <v>11.71</v>
      </c>
      <c r="G73">
        <v>12.24</v>
      </c>
      <c r="H73">
        <v>12.01</v>
      </c>
      <c r="I73">
        <v>15.36</v>
      </c>
      <c r="J73">
        <v>16.36</v>
      </c>
      <c r="K73">
        <v>15.74</v>
      </c>
      <c r="L73">
        <v>81.319999999999993</v>
      </c>
      <c r="M73">
        <v>80.06</v>
      </c>
      <c r="N73">
        <v>81.319999999999993</v>
      </c>
      <c r="O73">
        <v>5.01</v>
      </c>
      <c r="P73">
        <v>5.15</v>
      </c>
      <c r="Q73">
        <v>5.07</v>
      </c>
      <c r="R73">
        <v>72.27</v>
      </c>
      <c r="S73">
        <v>77.16</v>
      </c>
      <c r="T73">
        <v>74.86</v>
      </c>
      <c r="U73">
        <v>77.84</v>
      </c>
      <c r="V73">
        <v>60.59</v>
      </c>
      <c r="W73">
        <v>69.22</v>
      </c>
      <c r="X73">
        <v>0.109</v>
      </c>
      <c r="Y73">
        <v>98.45</v>
      </c>
      <c r="Z73">
        <v>5067.66</v>
      </c>
      <c r="AA73">
        <v>60264</v>
      </c>
    </row>
    <row r="74" spans="1:27" x14ac:dyDescent="0.35">
      <c r="A74" t="s">
        <v>76</v>
      </c>
      <c r="B74" t="s">
        <v>668</v>
      </c>
      <c r="C74" t="s">
        <v>79</v>
      </c>
      <c r="D74" t="str">
        <f t="shared" si="1"/>
        <v>13</v>
      </c>
      <c r="E74" t="s">
        <v>592</v>
      </c>
      <c r="F74">
        <v>11.48</v>
      </c>
      <c r="G74">
        <v>11.82</v>
      </c>
      <c r="H74">
        <v>11.66</v>
      </c>
      <c r="I74">
        <v>14.8</v>
      </c>
      <c r="J74">
        <v>15.54</v>
      </c>
      <c r="K74">
        <v>15.29</v>
      </c>
      <c r="L74">
        <v>83.38</v>
      </c>
      <c r="M74">
        <v>83.04</v>
      </c>
      <c r="N74">
        <v>83.05</v>
      </c>
      <c r="O74">
        <v>4.5999999999999996</v>
      </c>
      <c r="P74">
        <v>4.1500000000000004</v>
      </c>
      <c r="Q74">
        <v>4.41</v>
      </c>
      <c r="R74">
        <v>74.19</v>
      </c>
      <c r="S74">
        <v>79.05</v>
      </c>
      <c r="T74">
        <v>76.06</v>
      </c>
      <c r="U74">
        <v>81.99</v>
      </c>
      <c r="V74">
        <v>58.85</v>
      </c>
      <c r="W74">
        <v>70.42</v>
      </c>
      <c r="X74">
        <v>0.107</v>
      </c>
      <c r="Y74">
        <v>99.59</v>
      </c>
      <c r="Z74">
        <v>12420.04</v>
      </c>
      <c r="AA74">
        <v>125920</v>
      </c>
    </row>
    <row r="75" spans="1:27" x14ac:dyDescent="0.35">
      <c r="A75" t="s">
        <v>77</v>
      </c>
      <c r="B75" t="s">
        <v>669</v>
      </c>
      <c r="C75" t="s">
        <v>79</v>
      </c>
      <c r="D75" t="str">
        <f t="shared" si="1"/>
        <v>13</v>
      </c>
      <c r="E75" t="s">
        <v>592</v>
      </c>
      <c r="F75">
        <v>10.85</v>
      </c>
      <c r="G75">
        <v>11.23</v>
      </c>
      <c r="H75">
        <v>11.08</v>
      </c>
      <c r="I75">
        <v>14.46</v>
      </c>
      <c r="J75">
        <v>15.15</v>
      </c>
      <c r="K75">
        <v>14.79</v>
      </c>
      <c r="L75">
        <v>82.45</v>
      </c>
      <c r="M75">
        <v>81.62</v>
      </c>
      <c r="N75">
        <v>81.62</v>
      </c>
      <c r="O75">
        <v>4.9800000000000004</v>
      </c>
      <c r="P75">
        <v>4.9400000000000004</v>
      </c>
      <c r="Q75">
        <v>4.96</v>
      </c>
      <c r="R75">
        <v>73.61</v>
      </c>
      <c r="S75">
        <v>77.7</v>
      </c>
      <c r="T75">
        <v>75.540000000000006</v>
      </c>
      <c r="U75">
        <v>81.38</v>
      </c>
      <c r="V75">
        <v>62.51</v>
      </c>
      <c r="W75">
        <v>71.95</v>
      </c>
      <c r="X75">
        <v>0.14899999999999999</v>
      </c>
      <c r="Y75">
        <v>98.99</v>
      </c>
      <c r="Z75">
        <v>9812.9699999999993</v>
      </c>
      <c r="AA75">
        <v>148597</v>
      </c>
    </row>
    <row r="76" spans="1:27" x14ac:dyDescent="0.35">
      <c r="A76" t="s">
        <v>78</v>
      </c>
      <c r="B76" t="s">
        <v>670</v>
      </c>
      <c r="C76" t="s">
        <v>79</v>
      </c>
      <c r="D76" t="str">
        <f t="shared" si="1"/>
        <v>13</v>
      </c>
      <c r="E76" t="s">
        <v>592</v>
      </c>
      <c r="F76">
        <v>11.17</v>
      </c>
      <c r="G76">
        <v>11.41</v>
      </c>
      <c r="H76">
        <v>11.32</v>
      </c>
      <c r="I76">
        <v>14.76</v>
      </c>
      <c r="J76">
        <v>15.55</v>
      </c>
      <c r="K76">
        <v>14.81</v>
      </c>
      <c r="L76">
        <v>82.17</v>
      </c>
      <c r="M76">
        <v>81.27</v>
      </c>
      <c r="N76">
        <v>81.27</v>
      </c>
      <c r="O76">
        <v>5.23</v>
      </c>
      <c r="P76">
        <v>5.07</v>
      </c>
      <c r="Q76">
        <v>5.16</v>
      </c>
      <c r="R76">
        <v>72.06</v>
      </c>
      <c r="S76">
        <v>77.319999999999993</v>
      </c>
      <c r="T76">
        <v>74.62</v>
      </c>
      <c r="U76">
        <v>82.54</v>
      </c>
      <c r="V76">
        <v>63.28</v>
      </c>
      <c r="W76">
        <v>72.91</v>
      </c>
      <c r="X76">
        <v>0.1</v>
      </c>
      <c r="Y76">
        <v>98.9</v>
      </c>
      <c r="Z76">
        <v>7284.82</v>
      </c>
      <c r="AA76">
        <v>99444</v>
      </c>
    </row>
    <row r="77" spans="1:27" x14ac:dyDescent="0.35">
      <c r="A77" t="s">
        <v>80</v>
      </c>
      <c r="B77" t="s">
        <v>671</v>
      </c>
      <c r="C77" t="s">
        <v>92</v>
      </c>
      <c r="D77" t="str">
        <f t="shared" si="1"/>
        <v>14</v>
      </c>
      <c r="E77" t="s">
        <v>592</v>
      </c>
      <c r="F77">
        <v>9.61</v>
      </c>
      <c r="G77">
        <v>9.15</v>
      </c>
      <c r="H77">
        <v>9.33</v>
      </c>
      <c r="I77">
        <v>13.17</v>
      </c>
      <c r="J77">
        <v>13.73</v>
      </c>
      <c r="K77">
        <v>13.39</v>
      </c>
      <c r="L77">
        <v>78.7</v>
      </c>
      <c r="M77">
        <v>71.680000000000007</v>
      </c>
      <c r="N77">
        <v>74.62</v>
      </c>
      <c r="O77">
        <v>2.72</v>
      </c>
      <c r="P77">
        <v>3.06</v>
      </c>
      <c r="Q77">
        <v>2.84</v>
      </c>
      <c r="R77">
        <v>71.23</v>
      </c>
      <c r="S77">
        <v>75.56</v>
      </c>
      <c r="T77">
        <v>73.34</v>
      </c>
      <c r="U77">
        <v>84.77</v>
      </c>
      <c r="V77">
        <v>47.33</v>
      </c>
      <c r="W77">
        <v>66.05</v>
      </c>
      <c r="X77">
        <v>0.41599999999999998</v>
      </c>
      <c r="Y77">
        <v>91.08</v>
      </c>
      <c r="Z77">
        <v>58465.42</v>
      </c>
      <c r="AA77">
        <v>352777</v>
      </c>
    </row>
    <row r="78" spans="1:27" x14ac:dyDescent="0.35">
      <c r="A78" t="s">
        <v>81</v>
      </c>
      <c r="B78" t="s">
        <v>672</v>
      </c>
      <c r="C78" t="s">
        <v>92</v>
      </c>
      <c r="D78" t="str">
        <f t="shared" si="1"/>
        <v>14</v>
      </c>
      <c r="E78" t="s">
        <v>592</v>
      </c>
      <c r="F78">
        <v>8.89</v>
      </c>
      <c r="G78">
        <v>8.5500000000000007</v>
      </c>
      <c r="H78">
        <v>8.6199999999999992</v>
      </c>
      <c r="I78">
        <v>12.54</v>
      </c>
      <c r="J78">
        <v>13.14</v>
      </c>
      <c r="K78">
        <v>12.78</v>
      </c>
      <c r="L78">
        <v>77.81</v>
      </c>
      <c r="M78">
        <v>68.56</v>
      </c>
      <c r="N78">
        <v>73.48</v>
      </c>
      <c r="O78">
        <v>2.14</v>
      </c>
      <c r="P78">
        <v>3.47</v>
      </c>
      <c r="Q78">
        <v>2.59</v>
      </c>
      <c r="R78">
        <v>71.64</v>
      </c>
      <c r="S78">
        <v>76.42</v>
      </c>
      <c r="T78">
        <v>73.97</v>
      </c>
      <c r="U78">
        <v>87.12</v>
      </c>
      <c r="V78">
        <v>46.23</v>
      </c>
      <c r="W78">
        <v>66.680000000000007</v>
      </c>
      <c r="X78">
        <v>0.55000000000000004</v>
      </c>
      <c r="Y78">
        <v>88.11</v>
      </c>
      <c r="Z78">
        <v>65628.37</v>
      </c>
      <c r="AA78">
        <v>474398</v>
      </c>
    </row>
    <row r="79" spans="1:27" x14ac:dyDescent="0.35">
      <c r="A79" t="s">
        <v>82</v>
      </c>
      <c r="B79" t="s">
        <v>673</v>
      </c>
      <c r="C79" t="s">
        <v>92</v>
      </c>
      <c r="D79" t="str">
        <f t="shared" si="1"/>
        <v>14</v>
      </c>
      <c r="E79" t="s">
        <v>592</v>
      </c>
      <c r="F79">
        <v>7.57</v>
      </c>
      <c r="G79">
        <v>7.49</v>
      </c>
      <c r="H79">
        <v>7.49</v>
      </c>
      <c r="I79">
        <v>12.23</v>
      </c>
      <c r="J79">
        <v>12.88</v>
      </c>
      <c r="K79">
        <v>12.39</v>
      </c>
      <c r="L79">
        <v>75.33</v>
      </c>
      <c r="M79">
        <v>63.8</v>
      </c>
      <c r="N79">
        <v>70.739999999999995</v>
      </c>
      <c r="O79">
        <v>2.36</v>
      </c>
      <c r="P79">
        <v>4.3499999999999996</v>
      </c>
      <c r="Q79">
        <v>3</v>
      </c>
      <c r="R79">
        <v>70.59</v>
      </c>
      <c r="S79">
        <v>74.61</v>
      </c>
      <c r="T79">
        <v>72.55</v>
      </c>
      <c r="U79">
        <v>84.8</v>
      </c>
      <c r="V79">
        <v>43.41</v>
      </c>
      <c r="W79">
        <v>64.11</v>
      </c>
      <c r="X79">
        <v>0.55300000000000005</v>
      </c>
      <c r="Y79">
        <v>84.69</v>
      </c>
      <c r="Z79">
        <v>104690.77</v>
      </c>
      <c r="AA79">
        <v>692189</v>
      </c>
    </row>
    <row r="80" spans="1:27" x14ac:dyDescent="0.35">
      <c r="A80" t="s">
        <v>83</v>
      </c>
      <c r="B80" t="s">
        <v>674</v>
      </c>
      <c r="C80" t="s">
        <v>92</v>
      </c>
      <c r="D80" t="str">
        <f t="shared" si="1"/>
        <v>14</v>
      </c>
      <c r="E80" t="s">
        <v>592</v>
      </c>
      <c r="F80">
        <v>9.18</v>
      </c>
      <c r="G80">
        <v>8.8699999999999992</v>
      </c>
      <c r="H80">
        <v>8.9700000000000006</v>
      </c>
      <c r="I80">
        <v>12.58</v>
      </c>
      <c r="J80">
        <v>13.08</v>
      </c>
      <c r="K80">
        <v>12.92</v>
      </c>
      <c r="L80">
        <v>79.930000000000007</v>
      </c>
      <c r="M80">
        <v>72.34</v>
      </c>
      <c r="N80">
        <v>75.8</v>
      </c>
      <c r="O80">
        <v>2.0099999999999998</v>
      </c>
      <c r="P80">
        <v>3.15</v>
      </c>
      <c r="Q80">
        <v>2.42</v>
      </c>
      <c r="R80">
        <v>72.33</v>
      </c>
      <c r="S80">
        <v>77.760000000000005</v>
      </c>
      <c r="T80">
        <v>74.98</v>
      </c>
      <c r="U80">
        <v>88.39</v>
      </c>
      <c r="V80">
        <v>51.11</v>
      </c>
      <c r="W80">
        <v>69.75</v>
      </c>
      <c r="X80">
        <v>0.58299999999999996</v>
      </c>
      <c r="Y80">
        <v>90.5</v>
      </c>
      <c r="Z80">
        <v>85023.15</v>
      </c>
      <c r="AA80">
        <v>421237</v>
      </c>
    </row>
    <row r="81" spans="1:27" x14ac:dyDescent="0.35">
      <c r="A81" t="s">
        <v>84</v>
      </c>
      <c r="B81" t="s">
        <v>675</v>
      </c>
      <c r="C81" t="s">
        <v>92</v>
      </c>
      <c r="D81" t="str">
        <f t="shared" si="1"/>
        <v>14</v>
      </c>
      <c r="E81" t="s">
        <v>592</v>
      </c>
      <c r="F81">
        <v>10.11</v>
      </c>
      <c r="G81">
        <v>9.9</v>
      </c>
      <c r="H81">
        <v>9.93</v>
      </c>
      <c r="I81">
        <v>13.27</v>
      </c>
      <c r="J81">
        <v>13.02</v>
      </c>
      <c r="K81">
        <v>13.02</v>
      </c>
      <c r="L81">
        <v>81.69</v>
      </c>
      <c r="M81">
        <v>73.53</v>
      </c>
      <c r="N81">
        <v>77.19</v>
      </c>
      <c r="O81">
        <v>3.87</v>
      </c>
      <c r="P81">
        <v>8.24</v>
      </c>
      <c r="Q81">
        <v>5.3</v>
      </c>
      <c r="R81">
        <v>71.88</v>
      </c>
      <c r="S81">
        <v>76.92</v>
      </c>
      <c r="T81">
        <v>74.34</v>
      </c>
      <c r="U81">
        <v>85.44</v>
      </c>
      <c r="V81">
        <v>43.93</v>
      </c>
      <c r="W81">
        <v>64.69</v>
      </c>
      <c r="X81">
        <v>0.51</v>
      </c>
      <c r="Y81">
        <v>90.01</v>
      </c>
      <c r="Z81">
        <v>131784.01</v>
      </c>
      <c r="AA81">
        <v>490376</v>
      </c>
    </row>
    <row r="82" spans="1:27" x14ac:dyDescent="0.35">
      <c r="A82" t="s">
        <v>85</v>
      </c>
      <c r="B82" t="s">
        <v>676</v>
      </c>
      <c r="C82" t="s">
        <v>92</v>
      </c>
      <c r="D82" t="str">
        <f t="shared" si="1"/>
        <v>14</v>
      </c>
      <c r="E82" t="s">
        <v>592</v>
      </c>
      <c r="F82">
        <v>9.89</v>
      </c>
      <c r="G82">
        <v>9.6199999999999992</v>
      </c>
      <c r="H82">
        <v>9.7799999999999994</v>
      </c>
      <c r="I82">
        <v>13.57</v>
      </c>
      <c r="J82">
        <v>14.12</v>
      </c>
      <c r="K82">
        <v>13.7</v>
      </c>
      <c r="L82">
        <v>80.790000000000006</v>
      </c>
      <c r="M82">
        <v>74.05</v>
      </c>
      <c r="N82">
        <v>76.97</v>
      </c>
      <c r="O82">
        <v>4.1900000000000004</v>
      </c>
      <c r="P82">
        <v>5.33</v>
      </c>
      <c r="Q82">
        <v>4.57</v>
      </c>
      <c r="R82">
        <v>72.39</v>
      </c>
      <c r="S82">
        <v>77.849999999999994</v>
      </c>
      <c r="T82">
        <v>75.05</v>
      </c>
      <c r="U82">
        <v>84.08</v>
      </c>
      <c r="V82">
        <v>43.73</v>
      </c>
      <c r="W82">
        <v>63.91</v>
      </c>
      <c r="X82">
        <v>0.436</v>
      </c>
      <c r="Y82">
        <v>91.66</v>
      </c>
      <c r="Z82">
        <v>126481.81</v>
      </c>
      <c r="AA82">
        <v>908385</v>
      </c>
    </row>
    <row r="83" spans="1:27" x14ac:dyDescent="0.35">
      <c r="A83" t="s">
        <v>86</v>
      </c>
      <c r="B83" t="s">
        <v>677</v>
      </c>
      <c r="C83" t="s">
        <v>92</v>
      </c>
      <c r="D83" t="str">
        <f t="shared" si="1"/>
        <v>14</v>
      </c>
      <c r="E83" t="s">
        <v>592</v>
      </c>
      <c r="F83">
        <v>9.1199999999999992</v>
      </c>
      <c r="G83">
        <v>9</v>
      </c>
      <c r="H83">
        <v>9.11</v>
      </c>
      <c r="I83">
        <v>13.43</v>
      </c>
      <c r="J83">
        <v>13.03</v>
      </c>
      <c r="K83">
        <v>13.03</v>
      </c>
      <c r="L83">
        <v>79.58</v>
      </c>
      <c r="M83">
        <v>66.8</v>
      </c>
      <c r="N83">
        <v>73.61</v>
      </c>
      <c r="O83">
        <v>2.89</v>
      </c>
      <c r="P83">
        <v>3.71</v>
      </c>
      <c r="Q83">
        <v>3.17</v>
      </c>
      <c r="R83">
        <v>71.52</v>
      </c>
      <c r="S83">
        <v>76.17</v>
      </c>
      <c r="T83">
        <v>73.790000000000006</v>
      </c>
      <c r="U83">
        <v>85.27</v>
      </c>
      <c r="V83">
        <v>45.67</v>
      </c>
      <c r="W83">
        <v>65.47</v>
      </c>
      <c r="X83">
        <v>0.43</v>
      </c>
      <c r="Y83">
        <v>83.94</v>
      </c>
      <c r="Z83">
        <v>65285.04</v>
      </c>
      <c r="AA83">
        <v>601632</v>
      </c>
    </row>
    <row r="84" spans="1:27" x14ac:dyDescent="0.35">
      <c r="A84" t="s">
        <v>87</v>
      </c>
      <c r="B84" t="s">
        <v>678</v>
      </c>
      <c r="C84" t="s">
        <v>92</v>
      </c>
      <c r="D84" t="str">
        <f t="shared" si="1"/>
        <v>14</v>
      </c>
      <c r="E84" t="s">
        <v>592</v>
      </c>
      <c r="F84">
        <v>10.130000000000001</v>
      </c>
      <c r="G84">
        <v>9.67</v>
      </c>
      <c r="H84">
        <v>9.93</v>
      </c>
      <c r="I84">
        <v>13.47</v>
      </c>
      <c r="J84">
        <v>13.99</v>
      </c>
      <c r="K84">
        <v>13.47</v>
      </c>
      <c r="L84">
        <v>81.16</v>
      </c>
      <c r="M84">
        <v>73.83</v>
      </c>
      <c r="N84">
        <v>77.02</v>
      </c>
      <c r="O84">
        <v>4.84</v>
      </c>
      <c r="P84">
        <v>6.18</v>
      </c>
      <c r="Q84">
        <v>5.32</v>
      </c>
      <c r="R84">
        <v>72.099999999999994</v>
      </c>
      <c r="S84">
        <v>77.39</v>
      </c>
      <c r="T84">
        <v>74.680000000000007</v>
      </c>
      <c r="U84">
        <v>84.68</v>
      </c>
      <c r="V84">
        <v>50.12</v>
      </c>
      <c r="W84">
        <v>67.400000000000006</v>
      </c>
      <c r="X84">
        <v>0.39600000000000002</v>
      </c>
      <c r="Y84">
        <v>90.97</v>
      </c>
      <c r="Z84">
        <v>174750.27</v>
      </c>
      <c r="AA84">
        <v>598331</v>
      </c>
    </row>
    <row r="85" spans="1:27" x14ac:dyDescent="0.35">
      <c r="A85" t="s">
        <v>88</v>
      </c>
      <c r="B85" t="s">
        <v>679</v>
      </c>
      <c r="C85" t="s">
        <v>92</v>
      </c>
      <c r="D85" t="str">
        <f t="shared" si="1"/>
        <v>14</v>
      </c>
      <c r="E85" t="s">
        <v>592</v>
      </c>
      <c r="F85">
        <v>8.89</v>
      </c>
      <c r="G85">
        <v>8.36</v>
      </c>
      <c r="H85">
        <v>8.5500000000000007</v>
      </c>
      <c r="I85">
        <v>12.75</v>
      </c>
      <c r="J85">
        <v>13.43</v>
      </c>
      <c r="K85">
        <v>12.9</v>
      </c>
      <c r="L85">
        <v>77.73</v>
      </c>
      <c r="M85">
        <v>67.56</v>
      </c>
      <c r="N85">
        <v>73.069999999999993</v>
      </c>
      <c r="O85">
        <v>4.18</v>
      </c>
      <c r="P85">
        <v>4.8899999999999997</v>
      </c>
      <c r="Q85">
        <v>4.41</v>
      </c>
      <c r="R85">
        <v>71.77</v>
      </c>
      <c r="S85">
        <v>76.7</v>
      </c>
      <c r="T85">
        <v>74.180000000000007</v>
      </c>
      <c r="U85">
        <v>85.58</v>
      </c>
      <c r="V85">
        <v>41.64</v>
      </c>
      <c r="W85">
        <v>63.61</v>
      </c>
      <c r="X85">
        <v>0.47399999999999998</v>
      </c>
      <c r="Y85">
        <v>86.92</v>
      </c>
      <c r="Z85">
        <v>108128.34</v>
      </c>
      <c r="AA85">
        <v>682617</v>
      </c>
    </row>
    <row r="86" spans="1:27" x14ac:dyDescent="0.35">
      <c r="A86" t="s">
        <v>89</v>
      </c>
      <c r="B86" t="s">
        <v>680</v>
      </c>
      <c r="C86" t="s">
        <v>92</v>
      </c>
      <c r="D86" t="str">
        <f t="shared" si="1"/>
        <v>14</v>
      </c>
      <c r="E86" t="s">
        <v>592</v>
      </c>
      <c r="F86">
        <v>8.33</v>
      </c>
      <c r="G86">
        <v>7.93</v>
      </c>
      <c r="H86">
        <v>8.1300000000000008</v>
      </c>
      <c r="I86">
        <v>12.9</v>
      </c>
      <c r="J86">
        <v>13.03</v>
      </c>
      <c r="K86">
        <v>12.9</v>
      </c>
      <c r="L86">
        <v>74.84</v>
      </c>
      <c r="M86">
        <v>65.61</v>
      </c>
      <c r="N86">
        <v>70.2</v>
      </c>
      <c r="O86">
        <v>5.83</v>
      </c>
      <c r="P86">
        <v>4.78</v>
      </c>
      <c r="Q86">
        <v>5.43</v>
      </c>
      <c r="R86">
        <v>70.44</v>
      </c>
      <c r="S86">
        <v>74.459999999999994</v>
      </c>
      <c r="T86">
        <v>72.400000000000006</v>
      </c>
      <c r="U86">
        <v>82.32</v>
      </c>
      <c r="V86">
        <v>55.69</v>
      </c>
      <c r="W86">
        <v>69.010000000000005</v>
      </c>
      <c r="X86">
        <v>0.42799999999999999</v>
      </c>
      <c r="Y86">
        <v>87.67</v>
      </c>
      <c r="Z86">
        <v>29591.83</v>
      </c>
      <c r="AA86">
        <v>215586</v>
      </c>
    </row>
    <row r="87" spans="1:27" x14ac:dyDescent="0.35">
      <c r="A87" t="s">
        <v>90</v>
      </c>
      <c r="B87" t="s">
        <v>681</v>
      </c>
      <c r="C87" t="s">
        <v>92</v>
      </c>
      <c r="D87" t="str">
        <f t="shared" si="1"/>
        <v>14</v>
      </c>
      <c r="E87" t="s">
        <v>592</v>
      </c>
      <c r="F87">
        <v>12.16</v>
      </c>
      <c r="G87">
        <v>12</v>
      </c>
      <c r="H87">
        <v>12.08</v>
      </c>
      <c r="I87">
        <v>15.83</v>
      </c>
      <c r="J87">
        <v>15.87</v>
      </c>
      <c r="K87">
        <v>15.85</v>
      </c>
      <c r="L87">
        <v>88.29</v>
      </c>
      <c r="M87">
        <v>83.87</v>
      </c>
      <c r="N87">
        <v>84.91</v>
      </c>
      <c r="O87">
        <v>5.5</v>
      </c>
      <c r="P87">
        <v>4.8600000000000003</v>
      </c>
      <c r="Q87">
        <v>5.24</v>
      </c>
      <c r="R87">
        <v>73.48</v>
      </c>
      <c r="S87">
        <v>79.42</v>
      </c>
      <c r="T87">
        <v>76.37</v>
      </c>
      <c r="U87">
        <v>81.55</v>
      </c>
      <c r="V87">
        <v>55.63</v>
      </c>
      <c r="W87">
        <v>68.59</v>
      </c>
      <c r="X87">
        <v>0.26100000000000001</v>
      </c>
      <c r="Y87">
        <v>94.99</v>
      </c>
      <c r="Z87">
        <v>184531.85</v>
      </c>
      <c r="AA87">
        <v>1036563</v>
      </c>
    </row>
    <row r="88" spans="1:27" x14ac:dyDescent="0.35">
      <c r="A88" t="s">
        <v>91</v>
      </c>
      <c r="B88" t="s">
        <v>682</v>
      </c>
      <c r="C88" t="s">
        <v>92</v>
      </c>
      <c r="D88" t="str">
        <f t="shared" si="1"/>
        <v>14</v>
      </c>
      <c r="E88" t="s">
        <v>592</v>
      </c>
      <c r="F88">
        <v>10.41</v>
      </c>
      <c r="G88">
        <v>10.29</v>
      </c>
      <c r="H88">
        <v>10.3</v>
      </c>
      <c r="I88">
        <v>13.26</v>
      </c>
      <c r="J88">
        <v>13.79</v>
      </c>
      <c r="K88">
        <v>13.36</v>
      </c>
      <c r="L88">
        <v>81.27</v>
      </c>
      <c r="M88">
        <v>74.900000000000006</v>
      </c>
      <c r="N88">
        <v>77.58</v>
      </c>
      <c r="O88">
        <v>4.5199999999999996</v>
      </c>
      <c r="P88">
        <v>4.49</v>
      </c>
      <c r="Q88">
        <v>4.51</v>
      </c>
      <c r="R88">
        <v>71.510000000000005</v>
      </c>
      <c r="S88">
        <v>76.150000000000006</v>
      </c>
      <c r="T88">
        <v>73.77</v>
      </c>
      <c r="U88">
        <v>84.89</v>
      </c>
      <c r="V88">
        <v>52.02</v>
      </c>
      <c r="W88">
        <v>68.459999999999994</v>
      </c>
      <c r="X88">
        <v>0.32500000000000001</v>
      </c>
      <c r="Y88">
        <v>92.16</v>
      </c>
      <c r="Z88">
        <v>57696.15</v>
      </c>
      <c r="AA88">
        <v>337067</v>
      </c>
    </row>
    <row r="89" spans="1:27" x14ac:dyDescent="0.35">
      <c r="A89" t="s">
        <v>93</v>
      </c>
      <c r="B89" t="s">
        <v>683</v>
      </c>
      <c r="C89" t="s">
        <v>104</v>
      </c>
      <c r="D89" t="str">
        <f t="shared" si="1"/>
        <v>15</v>
      </c>
      <c r="E89" t="s">
        <v>592</v>
      </c>
      <c r="F89">
        <v>9.4499999999999993</v>
      </c>
      <c r="G89">
        <v>8.1300000000000008</v>
      </c>
      <c r="H89">
        <v>8.76</v>
      </c>
      <c r="I89">
        <v>14.4</v>
      </c>
      <c r="J89">
        <v>14.05</v>
      </c>
      <c r="K89">
        <v>14.18</v>
      </c>
      <c r="L89">
        <v>80.33</v>
      </c>
      <c r="M89">
        <v>70.61</v>
      </c>
      <c r="N89">
        <v>75.099999999999994</v>
      </c>
      <c r="O89">
        <v>2.0499999999999998</v>
      </c>
      <c r="P89">
        <v>2.82</v>
      </c>
      <c r="Q89">
        <v>2.39</v>
      </c>
      <c r="R89">
        <v>71.44</v>
      </c>
      <c r="S89">
        <v>76</v>
      </c>
      <c r="T89">
        <v>73.66</v>
      </c>
      <c r="U89">
        <v>83.66</v>
      </c>
      <c r="V89">
        <v>65.84</v>
      </c>
      <c r="W89">
        <v>74.75</v>
      </c>
      <c r="X89">
        <v>0.46500000000000002</v>
      </c>
      <c r="Y89">
        <v>87.9</v>
      </c>
      <c r="Z89">
        <v>15810.23</v>
      </c>
      <c r="AA89">
        <v>258208</v>
      </c>
    </row>
    <row r="90" spans="1:27" x14ac:dyDescent="0.35">
      <c r="A90" t="s">
        <v>94</v>
      </c>
      <c r="B90" t="s">
        <v>684</v>
      </c>
      <c r="C90" t="s">
        <v>104</v>
      </c>
      <c r="D90" t="str">
        <f t="shared" si="1"/>
        <v>15</v>
      </c>
      <c r="E90" t="s">
        <v>592</v>
      </c>
      <c r="F90">
        <v>8.93</v>
      </c>
      <c r="G90">
        <v>7.99</v>
      </c>
      <c r="H90">
        <v>8.41</v>
      </c>
      <c r="I90">
        <v>12.32</v>
      </c>
      <c r="J90">
        <v>12.73</v>
      </c>
      <c r="K90">
        <v>12.5</v>
      </c>
      <c r="L90">
        <v>77.040000000000006</v>
      </c>
      <c r="M90">
        <v>69.290000000000006</v>
      </c>
      <c r="N90">
        <v>73.41</v>
      </c>
      <c r="O90">
        <v>3.5</v>
      </c>
      <c r="P90">
        <v>4.6100000000000003</v>
      </c>
      <c r="Q90">
        <v>3.9</v>
      </c>
      <c r="R90">
        <v>71.92</v>
      </c>
      <c r="S90">
        <v>77.010000000000005</v>
      </c>
      <c r="T90">
        <v>74.400000000000006</v>
      </c>
      <c r="U90">
        <v>86.85</v>
      </c>
      <c r="V90">
        <v>49.91</v>
      </c>
      <c r="W90">
        <v>68.38</v>
      </c>
      <c r="X90">
        <v>0.64300000000000002</v>
      </c>
      <c r="Y90">
        <v>89.94</v>
      </c>
      <c r="Z90">
        <v>27872.46</v>
      </c>
      <c r="AA90">
        <v>378357</v>
      </c>
    </row>
    <row r="91" spans="1:27" x14ac:dyDescent="0.35">
      <c r="A91" t="s">
        <v>95</v>
      </c>
      <c r="B91" t="s">
        <v>685</v>
      </c>
      <c r="C91" t="s">
        <v>104</v>
      </c>
      <c r="D91" t="str">
        <f t="shared" si="1"/>
        <v>15</v>
      </c>
      <c r="E91" t="s">
        <v>592</v>
      </c>
      <c r="F91">
        <v>8.92</v>
      </c>
      <c r="G91">
        <v>8.2899999999999991</v>
      </c>
      <c r="H91">
        <v>8.6</v>
      </c>
      <c r="I91">
        <v>12.72</v>
      </c>
      <c r="J91">
        <v>12.87</v>
      </c>
      <c r="K91">
        <v>12.82</v>
      </c>
      <c r="L91">
        <v>78.52</v>
      </c>
      <c r="M91">
        <v>72.58</v>
      </c>
      <c r="N91">
        <v>74.72</v>
      </c>
      <c r="O91">
        <v>4.2699999999999996</v>
      </c>
      <c r="P91">
        <v>5.5</v>
      </c>
      <c r="Q91">
        <v>4.68</v>
      </c>
      <c r="R91">
        <v>71.62</v>
      </c>
      <c r="S91">
        <v>76.38</v>
      </c>
      <c r="T91">
        <v>73.94</v>
      </c>
      <c r="U91">
        <v>88.51</v>
      </c>
      <c r="V91">
        <v>45.73</v>
      </c>
      <c r="W91">
        <v>67.12</v>
      </c>
      <c r="X91">
        <v>0.55200000000000005</v>
      </c>
      <c r="Y91">
        <v>92.44</v>
      </c>
      <c r="Z91">
        <v>24648.62</v>
      </c>
      <c r="AA91">
        <v>310679</v>
      </c>
    </row>
    <row r="92" spans="1:27" x14ac:dyDescent="0.35">
      <c r="A92" t="s">
        <v>96</v>
      </c>
      <c r="B92" t="s">
        <v>1101</v>
      </c>
      <c r="C92" t="s">
        <v>104</v>
      </c>
      <c r="D92" t="str">
        <f t="shared" si="1"/>
        <v>15</v>
      </c>
      <c r="E92" t="s">
        <v>592</v>
      </c>
      <c r="F92">
        <v>8.77</v>
      </c>
      <c r="G92">
        <v>8.2799999999999994</v>
      </c>
      <c r="H92">
        <v>8.41</v>
      </c>
      <c r="I92">
        <v>13.07</v>
      </c>
      <c r="J92">
        <v>13.73</v>
      </c>
      <c r="K92">
        <v>13.2</v>
      </c>
      <c r="L92">
        <v>78.58</v>
      </c>
      <c r="M92">
        <v>68.400000000000006</v>
      </c>
      <c r="N92">
        <v>73.94</v>
      </c>
      <c r="O92">
        <v>3.49</v>
      </c>
      <c r="P92">
        <v>5.53</v>
      </c>
      <c r="Q92">
        <v>4.21</v>
      </c>
      <c r="R92">
        <v>72.459999999999994</v>
      </c>
      <c r="S92">
        <v>77.95</v>
      </c>
      <c r="T92">
        <v>75.14</v>
      </c>
      <c r="U92">
        <v>84.3</v>
      </c>
      <c r="V92">
        <v>47.94</v>
      </c>
      <c r="W92">
        <v>66.12</v>
      </c>
      <c r="X92">
        <v>0.43099999999999999</v>
      </c>
      <c r="Y92">
        <v>87.05</v>
      </c>
      <c r="Z92">
        <v>28604.400000000001</v>
      </c>
      <c r="AA92">
        <v>320281</v>
      </c>
    </row>
    <row r="93" spans="1:27" x14ac:dyDescent="0.35">
      <c r="A93" t="s">
        <v>97</v>
      </c>
      <c r="B93" t="s">
        <v>686</v>
      </c>
      <c r="C93" t="s">
        <v>104</v>
      </c>
      <c r="D93" t="str">
        <f t="shared" si="1"/>
        <v>15</v>
      </c>
      <c r="E93" t="s">
        <v>592</v>
      </c>
      <c r="F93">
        <v>8.93</v>
      </c>
      <c r="G93">
        <v>8.5299999999999994</v>
      </c>
      <c r="H93">
        <v>8.7200000000000006</v>
      </c>
      <c r="I93">
        <v>12.96</v>
      </c>
      <c r="J93">
        <v>14.03</v>
      </c>
      <c r="K93">
        <v>13.38</v>
      </c>
      <c r="L93">
        <v>78.02</v>
      </c>
      <c r="M93">
        <v>65.319999999999993</v>
      </c>
      <c r="N93">
        <v>73.87</v>
      </c>
      <c r="O93">
        <v>5.05</v>
      </c>
      <c r="P93">
        <v>4.9800000000000004</v>
      </c>
      <c r="Q93">
        <v>5.0199999999999996</v>
      </c>
      <c r="R93">
        <v>72.400000000000006</v>
      </c>
      <c r="S93">
        <v>77.86</v>
      </c>
      <c r="T93">
        <v>75.06</v>
      </c>
      <c r="U93">
        <v>88.99</v>
      </c>
      <c r="V93">
        <v>57.83</v>
      </c>
      <c r="W93">
        <v>73.41</v>
      </c>
      <c r="X93">
        <v>0.51300000000000001</v>
      </c>
      <c r="Y93">
        <v>83.72</v>
      </c>
      <c r="Z93">
        <v>43945.36</v>
      </c>
      <c r="AA93">
        <v>430246</v>
      </c>
    </row>
    <row r="94" spans="1:27" x14ac:dyDescent="0.35">
      <c r="A94" t="s">
        <v>98</v>
      </c>
      <c r="B94" t="s">
        <v>687</v>
      </c>
      <c r="C94" t="s">
        <v>104</v>
      </c>
      <c r="D94" t="str">
        <f t="shared" si="1"/>
        <v>15</v>
      </c>
      <c r="E94" t="s">
        <v>592</v>
      </c>
      <c r="F94">
        <v>8</v>
      </c>
      <c r="G94">
        <v>7.48</v>
      </c>
      <c r="H94">
        <v>7.71</v>
      </c>
      <c r="I94">
        <v>11.89</v>
      </c>
      <c r="J94">
        <v>12.74</v>
      </c>
      <c r="K94">
        <v>12.22</v>
      </c>
      <c r="L94">
        <v>75.77</v>
      </c>
      <c r="M94">
        <v>67.569999999999993</v>
      </c>
      <c r="N94">
        <v>71.28</v>
      </c>
      <c r="O94">
        <v>2.11</v>
      </c>
      <c r="P94">
        <v>1.81</v>
      </c>
      <c r="Q94">
        <v>2</v>
      </c>
      <c r="R94">
        <v>72.2</v>
      </c>
      <c r="S94">
        <v>77.569999999999993</v>
      </c>
      <c r="T94">
        <v>74.819999999999993</v>
      </c>
      <c r="U94">
        <v>85.29</v>
      </c>
      <c r="V94">
        <v>51.91</v>
      </c>
      <c r="W94">
        <v>68.599999999999994</v>
      </c>
      <c r="X94">
        <v>0.51</v>
      </c>
      <c r="Y94">
        <v>89.18</v>
      </c>
      <c r="Z94">
        <v>30804.34</v>
      </c>
      <c r="AA94">
        <v>241154</v>
      </c>
    </row>
    <row r="95" spans="1:27" x14ac:dyDescent="0.35">
      <c r="A95" t="s">
        <v>99</v>
      </c>
      <c r="B95" t="s">
        <v>688</v>
      </c>
      <c r="C95" t="s">
        <v>104</v>
      </c>
      <c r="D95" t="str">
        <f t="shared" si="1"/>
        <v>15</v>
      </c>
      <c r="E95" t="s">
        <v>592</v>
      </c>
      <c r="F95">
        <v>8.7200000000000006</v>
      </c>
      <c r="G95">
        <v>8.26</v>
      </c>
      <c r="H95">
        <v>8.5399999999999991</v>
      </c>
      <c r="I95">
        <v>12.71</v>
      </c>
      <c r="J95">
        <v>13.07</v>
      </c>
      <c r="K95">
        <v>12.71</v>
      </c>
      <c r="L95">
        <v>76.98</v>
      </c>
      <c r="M95">
        <v>67.02</v>
      </c>
      <c r="N95">
        <v>73</v>
      </c>
      <c r="O95">
        <v>3.38</v>
      </c>
      <c r="P95">
        <v>2.48</v>
      </c>
      <c r="Q95">
        <v>3.12</v>
      </c>
      <c r="R95">
        <v>71.489999999999995</v>
      </c>
      <c r="S95">
        <v>76.12</v>
      </c>
      <c r="T95">
        <v>73.75</v>
      </c>
      <c r="U95">
        <v>87.12</v>
      </c>
      <c r="V95">
        <v>37.75</v>
      </c>
      <c r="W95">
        <v>62.44</v>
      </c>
      <c r="X95">
        <v>0.54600000000000004</v>
      </c>
      <c r="Y95">
        <v>87.06</v>
      </c>
      <c r="Z95">
        <v>61822.99</v>
      </c>
      <c r="AA95">
        <v>339625</v>
      </c>
    </row>
    <row r="96" spans="1:27" x14ac:dyDescent="0.35">
      <c r="A96" t="s">
        <v>100</v>
      </c>
      <c r="B96" t="s">
        <v>689</v>
      </c>
      <c r="C96" t="s">
        <v>104</v>
      </c>
      <c r="D96" t="str">
        <f t="shared" si="1"/>
        <v>15</v>
      </c>
      <c r="E96" t="s">
        <v>592</v>
      </c>
      <c r="F96">
        <v>8.36</v>
      </c>
      <c r="G96">
        <v>7.88</v>
      </c>
      <c r="H96">
        <v>8.0500000000000007</v>
      </c>
      <c r="I96">
        <v>12.98</v>
      </c>
      <c r="J96">
        <v>13.34</v>
      </c>
      <c r="K96">
        <v>13.2</v>
      </c>
      <c r="L96">
        <v>77.17</v>
      </c>
      <c r="M96">
        <v>71.33</v>
      </c>
      <c r="N96">
        <v>73.41</v>
      </c>
      <c r="O96">
        <v>1.59</v>
      </c>
      <c r="P96">
        <v>3.54</v>
      </c>
      <c r="Q96">
        <v>2.21</v>
      </c>
      <c r="R96">
        <v>71.569999999999993</v>
      </c>
      <c r="S96">
        <v>76.290000000000006</v>
      </c>
      <c r="T96">
        <v>73.88</v>
      </c>
      <c r="U96">
        <v>87.8</v>
      </c>
      <c r="V96">
        <v>43.11</v>
      </c>
      <c r="W96">
        <v>65.459999999999994</v>
      </c>
      <c r="X96">
        <v>0.58099999999999996</v>
      </c>
      <c r="Y96">
        <v>92.43</v>
      </c>
      <c r="Z96">
        <v>24823.83</v>
      </c>
      <c r="AA96">
        <v>359638</v>
      </c>
    </row>
    <row r="97" spans="1:27" x14ac:dyDescent="0.35">
      <c r="A97" t="s">
        <v>101</v>
      </c>
      <c r="B97" t="s">
        <v>690</v>
      </c>
      <c r="C97" t="s">
        <v>104</v>
      </c>
      <c r="D97" t="str">
        <f t="shared" si="1"/>
        <v>15</v>
      </c>
      <c r="E97" t="s">
        <v>592</v>
      </c>
      <c r="F97">
        <v>9.14</v>
      </c>
      <c r="G97">
        <v>8.08</v>
      </c>
      <c r="H97">
        <v>8.61</v>
      </c>
      <c r="I97">
        <v>12.82</v>
      </c>
      <c r="J97">
        <v>13.19</v>
      </c>
      <c r="K97">
        <v>12.92</v>
      </c>
      <c r="L97">
        <v>79.739999999999995</v>
      </c>
      <c r="M97">
        <v>71.73</v>
      </c>
      <c r="N97">
        <v>75.150000000000006</v>
      </c>
      <c r="O97">
        <v>4.03</v>
      </c>
      <c r="P97">
        <v>4.8499999999999996</v>
      </c>
      <c r="Q97">
        <v>4.33</v>
      </c>
      <c r="R97">
        <v>71.88</v>
      </c>
      <c r="S97">
        <v>76.94</v>
      </c>
      <c r="T97">
        <v>74.349999999999994</v>
      </c>
      <c r="U97">
        <v>87.68</v>
      </c>
      <c r="V97">
        <v>51.7</v>
      </c>
      <c r="W97">
        <v>69.69</v>
      </c>
      <c r="X97">
        <v>0.48099999999999998</v>
      </c>
      <c r="Y97">
        <v>89.95</v>
      </c>
      <c r="Z97">
        <v>29288.06</v>
      </c>
      <c r="AA97">
        <v>386114</v>
      </c>
    </row>
    <row r="98" spans="1:27" x14ac:dyDescent="0.35">
      <c r="A98" t="s">
        <v>102</v>
      </c>
      <c r="B98" t="s">
        <v>691</v>
      </c>
      <c r="C98" t="s">
        <v>104</v>
      </c>
      <c r="D98" t="str">
        <f t="shared" si="1"/>
        <v>15</v>
      </c>
      <c r="E98" t="s">
        <v>592</v>
      </c>
      <c r="F98">
        <v>11.74</v>
      </c>
      <c r="G98">
        <v>11.54</v>
      </c>
      <c r="H98">
        <v>11.59</v>
      </c>
      <c r="I98">
        <v>15.47</v>
      </c>
      <c r="J98">
        <v>15.72</v>
      </c>
      <c r="K98">
        <v>15.56</v>
      </c>
      <c r="L98">
        <v>85.1</v>
      </c>
      <c r="M98">
        <v>81.97</v>
      </c>
      <c r="N98">
        <v>82.32</v>
      </c>
      <c r="O98">
        <v>7.16</v>
      </c>
      <c r="P98">
        <v>6.97</v>
      </c>
      <c r="Q98">
        <v>7.08</v>
      </c>
      <c r="R98">
        <v>72.78</v>
      </c>
      <c r="S98">
        <v>78.41</v>
      </c>
      <c r="T98">
        <v>75.53</v>
      </c>
      <c r="U98">
        <v>80.38</v>
      </c>
      <c r="V98">
        <v>51.88</v>
      </c>
      <c r="W98">
        <v>66.13</v>
      </c>
      <c r="X98">
        <v>0.16800000000000001</v>
      </c>
      <c r="Y98">
        <v>96.32</v>
      </c>
      <c r="Z98">
        <v>47102.89</v>
      </c>
      <c r="AA98">
        <v>642264</v>
      </c>
    </row>
    <row r="99" spans="1:27" x14ac:dyDescent="0.35">
      <c r="A99" t="s">
        <v>103</v>
      </c>
      <c r="B99" t="s">
        <v>692</v>
      </c>
      <c r="C99" t="s">
        <v>104</v>
      </c>
      <c r="D99" t="str">
        <f t="shared" si="1"/>
        <v>15</v>
      </c>
      <c r="E99" t="s">
        <v>592</v>
      </c>
      <c r="F99">
        <v>11.28</v>
      </c>
      <c r="G99">
        <v>10.63</v>
      </c>
      <c r="H99">
        <v>10.75</v>
      </c>
      <c r="I99">
        <v>15.19</v>
      </c>
      <c r="J99">
        <v>14.85</v>
      </c>
      <c r="K99">
        <v>14.85</v>
      </c>
      <c r="L99">
        <v>81.93</v>
      </c>
      <c r="M99">
        <v>78.41</v>
      </c>
      <c r="N99">
        <v>78.89</v>
      </c>
      <c r="O99">
        <v>4.71</v>
      </c>
      <c r="P99">
        <v>3.21</v>
      </c>
      <c r="Q99">
        <v>4.09</v>
      </c>
      <c r="R99">
        <v>72.11</v>
      </c>
      <c r="S99">
        <v>77.41</v>
      </c>
      <c r="T99">
        <v>74.7</v>
      </c>
      <c r="U99">
        <v>80.55</v>
      </c>
      <c r="V99">
        <v>57.45</v>
      </c>
      <c r="W99">
        <v>69</v>
      </c>
      <c r="X99">
        <v>0.68600000000000005</v>
      </c>
      <c r="Y99">
        <v>95.7</v>
      </c>
      <c r="Z99">
        <v>11078.92</v>
      </c>
      <c r="AA99">
        <v>101916</v>
      </c>
    </row>
    <row r="100" spans="1:27" x14ac:dyDescent="0.35">
      <c r="A100" t="s">
        <v>105</v>
      </c>
      <c r="B100" t="s">
        <v>693</v>
      </c>
      <c r="C100" t="s">
        <v>122</v>
      </c>
      <c r="D100" t="str">
        <f t="shared" si="1"/>
        <v>16</v>
      </c>
      <c r="E100" t="s">
        <v>592</v>
      </c>
      <c r="F100">
        <v>9.2799999999999994</v>
      </c>
      <c r="G100">
        <v>8.85</v>
      </c>
      <c r="H100">
        <v>9.07</v>
      </c>
      <c r="I100">
        <v>12.58</v>
      </c>
      <c r="J100">
        <v>13.2</v>
      </c>
      <c r="K100">
        <v>13.01</v>
      </c>
      <c r="L100">
        <v>78</v>
      </c>
      <c r="M100">
        <v>73.87</v>
      </c>
      <c r="N100">
        <v>74.47</v>
      </c>
      <c r="O100">
        <v>5.21</v>
      </c>
      <c r="P100">
        <v>1.81</v>
      </c>
      <c r="Q100">
        <v>3.85</v>
      </c>
      <c r="R100">
        <v>71.63</v>
      </c>
      <c r="S100">
        <v>76.42</v>
      </c>
      <c r="T100">
        <v>73.97</v>
      </c>
      <c r="U100">
        <v>84.33</v>
      </c>
      <c r="V100">
        <v>58.52</v>
      </c>
      <c r="W100">
        <v>71.430000000000007</v>
      </c>
      <c r="X100">
        <v>0.56100000000000005</v>
      </c>
      <c r="Y100">
        <v>94.71</v>
      </c>
      <c r="Z100">
        <v>22256.880000000001</v>
      </c>
      <c r="AA100">
        <v>386816</v>
      </c>
    </row>
    <row r="101" spans="1:27" x14ac:dyDescent="0.35">
      <c r="A101" t="s">
        <v>106</v>
      </c>
      <c r="B101" t="s">
        <v>694</v>
      </c>
      <c r="C101" t="s">
        <v>122</v>
      </c>
      <c r="D101" t="str">
        <f t="shared" si="1"/>
        <v>16</v>
      </c>
      <c r="E101" t="s">
        <v>592</v>
      </c>
      <c r="F101">
        <v>7.81</v>
      </c>
      <c r="G101">
        <v>7.21</v>
      </c>
      <c r="H101">
        <v>7.49</v>
      </c>
      <c r="I101">
        <v>11.58</v>
      </c>
      <c r="J101">
        <v>12.43</v>
      </c>
      <c r="K101">
        <v>11.99</v>
      </c>
      <c r="L101">
        <v>75.64</v>
      </c>
      <c r="M101">
        <v>70.7</v>
      </c>
      <c r="N101">
        <v>72.2</v>
      </c>
      <c r="O101">
        <v>3.08</v>
      </c>
      <c r="P101">
        <v>3.19</v>
      </c>
      <c r="Q101">
        <v>3.12</v>
      </c>
      <c r="R101">
        <v>71.959999999999994</v>
      </c>
      <c r="S101">
        <v>77.11</v>
      </c>
      <c r="T101">
        <v>74.47</v>
      </c>
      <c r="U101">
        <v>84.24</v>
      </c>
      <c r="V101">
        <v>46.56</v>
      </c>
      <c r="W101">
        <v>65.400000000000006</v>
      </c>
      <c r="X101">
        <v>0.503</v>
      </c>
      <c r="Y101">
        <v>93.47</v>
      </c>
      <c r="Z101">
        <v>50960.56</v>
      </c>
      <c r="AA101">
        <v>816505</v>
      </c>
    </row>
    <row r="102" spans="1:27" x14ac:dyDescent="0.35">
      <c r="A102" t="s">
        <v>107</v>
      </c>
      <c r="B102" t="s">
        <v>695</v>
      </c>
      <c r="C102" t="s">
        <v>122</v>
      </c>
      <c r="D102" t="str">
        <f t="shared" si="1"/>
        <v>16</v>
      </c>
      <c r="E102" t="s">
        <v>592</v>
      </c>
      <c r="F102">
        <v>8.73</v>
      </c>
      <c r="G102">
        <v>8.01</v>
      </c>
      <c r="H102">
        <v>8.4499999999999993</v>
      </c>
      <c r="I102">
        <v>11.82</v>
      </c>
      <c r="J102">
        <v>12.23</v>
      </c>
      <c r="K102">
        <v>12.03</v>
      </c>
      <c r="L102">
        <v>77.19</v>
      </c>
      <c r="M102">
        <v>70.819999999999993</v>
      </c>
      <c r="N102">
        <v>73.77</v>
      </c>
      <c r="O102">
        <v>3.45</v>
      </c>
      <c r="P102">
        <v>5.24</v>
      </c>
      <c r="Q102">
        <v>4.13</v>
      </c>
      <c r="R102">
        <v>72.2</v>
      </c>
      <c r="S102">
        <v>77.569999999999993</v>
      </c>
      <c r="T102">
        <v>74.819999999999993</v>
      </c>
      <c r="U102">
        <v>85.61</v>
      </c>
      <c r="V102">
        <v>54.07</v>
      </c>
      <c r="W102">
        <v>69.84</v>
      </c>
      <c r="X102">
        <v>0.53900000000000003</v>
      </c>
      <c r="Y102">
        <v>91.75</v>
      </c>
      <c r="Z102">
        <v>128196.33</v>
      </c>
      <c r="AA102">
        <v>647936</v>
      </c>
    </row>
    <row r="103" spans="1:27" x14ac:dyDescent="0.35">
      <c r="A103" t="s">
        <v>108</v>
      </c>
      <c r="B103" t="s">
        <v>696</v>
      </c>
      <c r="C103" t="s">
        <v>122</v>
      </c>
      <c r="D103" t="str">
        <f t="shared" si="1"/>
        <v>16</v>
      </c>
      <c r="E103" t="s">
        <v>592</v>
      </c>
      <c r="F103">
        <v>9.27</v>
      </c>
      <c r="G103">
        <v>8.7899999999999991</v>
      </c>
      <c r="H103">
        <v>9.0299999999999994</v>
      </c>
      <c r="I103">
        <v>12.46</v>
      </c>
      <c r="J103">
        <v>13.04</v>
      </c>
      <c r="K103">
        <v>12.46</v>
      </c>
      <c r="L103">
        <v>76.97</v>
      </c>
      <c r="M103">
        <v>73.599999999999994</v>
      </c>
      <c r="N103">
        <v>73.75</v>
      </c>
      <c r="O103">
        <v>2.4</v>
      </c>
      <c r="P103">
        <v>3.57</v>
      </c>
      <c r="Q103">
        <v>2.84</v>
      </c>
      <c r="R103">
        <v>71.61</v>
      </c>
      <c r="S103">
        <v>76.37</v>
      </c>
      <c r="T103">
        <v>73.930000000000007</v>
      </c>
      <c r="U103">
        <v>86.25</v>
      </c>
      <c r="V103">
        <v>54.54</v>
      </c>
      <c r="W103">
        <v>70.400000000000006</v>
      </c>
      <c r="X103">
        <v>0.377</v>
      </c>
      <c r="Y103">
        <v>95.62</v>
      </c>
      <c r="Z103">
        <v>32401.65</v>
      </c>
      <c r="AA103">
        <v>455581</v>
      </c>
    </row>
    <row r="104" spans="1:27" x14ac:dyDescent="0.35">
      <c r="A104" t="s">
        <v>109</v>
      </c>
      <c r="B104" t="s">
        <v>697</v>
      </c>
      <c r="C104" t="s">
        <v>122</v>
      </c>
      <c r="D104" t="str">
        <f t="shared" si="1"/>
        <v>16</v>
      </c>
      <c r="E104" t="s">
        <v>592</v>
      </c>
      <c r="F104">
        <v>7.92</v>
      </c>
      <c r="G104">
        <v>7.46</v>
      </c>
      <c r="H104">
        <v>7.61</v>
      </c>
      <c r="I104">
        <v>12.43</v>
      </c>
      <c r="J104">
        <v>12.6</v>
      </c>
      <c r="K104">
        <v>12.43</v>
      </c>
      <c r="L104">
        <v>76.37</v>
      </c>
      <c r="M104">
        <v>66.72</v>
      </c>
      <c r="N104">
        <v>71.92</v>
      </c>
      <c r="O104">
        <v>1.97</v>
      </c>
      <c r="P104">
        <v>1.38</v>
      </c>
      <c r="Q104">
        <v>1.74</v>
      </c>
      <c r="R104">
        <v>71.95</v>
      </c>
      <c r="S104">
        <v>77.08</v>
      </c>
      <c r="T104">
        <v>74.45</v>
      </c>
      <c r="U104">
        <v>87.39</v>
      </c>
      <c r="V104">
        <v>55.97</v>
      </c>
      <c r="W104">
        <v>71.680000000000007</v>
      </c>
      <c r="X104">
        <v>0.53500000000000003</v>
      </c>
      <c r="Y104">
        <v>87.36</v>
      </c>
      <c r="Z104">
        <v>27232.74</v>
      </c>
      <c r="AA104">
        <v>415744</v>
      </c>
    </row>
    <row r="105" spans="1:27" x14ac:dyDescent="0.35">
      <c r="A105" t="s">
        <v>110</v>
      </c>
      <c r="B105" t="s">
        <v>698</v>
      </c>
      <c r="C105" t="s">
        <v>122</v>
      </c>
      <c r="D105" t="str">
        <f t="shared" si="1"/>
        <v>16</v>
      </c>
      <c r="E105" t="s">
        <v>592</v>
      </c>
      <c r="F105">
        <v>8.5500000000000007</v>
      </c>
      <c r="G105">
        <v>7.96</v>
      </c>
      <c r="H105">
        <v>8.2899999999999991</v>
      </c>
      <c r="I105">
        <v>12.34</v>
      </c>
      <c r="J105">
        <v>12.38</v>
      </c>
      <c r="K105">
        <v>12.34</v>
      </c>
      <c r="L105">
        <v>77.47</v>
      </c>
      <c r="M105">
        <v>65.67</v>
      </c>
      <c r="N105">
        <v>73.17</v>
      </c>
      <c r="O105">
        <v>1.02</v>
      </c>
      <c r="P105">
        <v>3.7</v>
      </c>
      <c r="Q105">
        <v>2.04</v>
      </c>
      <c r="R105">
        <v>72.13</v>
      </c>
      <c r="S105">
        <v>77.45</v>
      </c>
      <c r="T105">
        <v>74.72</v>
      </c>
      <c r="U105">
        <v>86</v>
      </c>
      <c r="V105">
        <v>55.29</v>
      </c>
      <c r="W105">
        <v>70.650000000000006</v>
      </c>
      <c r="X105">
        <v>0.46300000000000002</v>
      </c>
      <c r="Y105">
        <v>84.77</v>
      </c>
      <c r="Z105">
        <v>98937.71</v>
      </c>
      <c r="AA105">
        <v>659302</v>
      </c>
    </row>
    <row r="106" spans="1:27" x14ac:dyDescent="0.35">
      <c r="A106" t="s">
        <v>111</v>
      </c>
      <c r="B106" t="s">
        <v>1102</v>
      </c>
      <c r="C106" t="s">
        <v>122</v>
      </c>
      <c r="D106" t="str">
        <f t="shared" si="1"/>
        <v>16</v>
      </c>
      <c r="E106" t="s">
        <v>592</v>
      </c>
      <c r="F106">
        <v>7.94</v>
      </c>
      <c r="G106">
        <v>7.44</v>
      </c>
      <c r="H106">
        <v>7.65</v>
      </c>
      <c r="I106">
        <v>12.17</v>
      </c>
      <c r="J106">
        <v>12.8</v>
      </c>
      <c r="K106">
        <v>12.54</v>
      </c>
      <c r="L106">
        <v>75.97</v>
      </c>
      <c r="M106">
        <v>69.209999999999994</v>
      </c>
      <c r="N106">
        <v>72.42</v>
      </c>
      <c r="O106">
        <v>1.86</v>
      </c>
      <c r="P106">
        <v>4.3099999999999996</v>
      </c>
      <c r="Q106">
        <v>2.68</v>
      </c>
      <c r="R106">
        <v>72.13</v>
      </c>
      <c r="S106">
        <v>77.459999999999994</v>
      </c>
      <c r="T106">
        <v>74.73</v>
      </c>
      <c r="U106">
        <v>84.97</v>
      </c>
      <c r="V106">
        <v>44.42</v>
      </c>
      <c r="W106">
        <v>64.7</v>
      </c>
      <c r="X106">
        <v>0.53700000000000003</v>
      </c>
      <c r="Y106">
        <v>91.1</v>
      </c>
      <c r="Z106">
        <v>43763.6</v>
      </c>
      <c r="AA106">
        <v>897425</v>
      </c>
    </row>
    <row r="107" spans="1:27" x14ac:dyDescent="0.35">
      <c r="A107" t="s">
        <v>112</v>
      </c>
      <c r="B107" t="s">
        <v>699</v>
      </c>
      <c r="C107" t="s">
        <v>122</v>
      </c>
      <c r="D107" t="str">
        <f t="shared" si="1"/>
        <v>16</v>
      </c>
      <c r="E107" t="s">
        <v>592</v>
      </c>
      <c r="F107">
        <v>8.5299999999999994</v>
      </c>
      <c r="G107">
        <v>8.3000000000000007</v>
      </c>
      <c r="H107">
        <v>8.48</v>
      </c>
      <c r="I107">
        <v>11.93</v>
      </c>
      <c r="J107">
        <v>12.4</v>
      </c>
      <c r="K107">
        <v>12.02</v>
      </c>
      <c r="L107">
        <v>74.31</v>
      </c>
      <c r="M107">
        <v>69.44</v>
      </c>
      <c r="N107">
        <v>70.98</v>
      </c>
      <c r="O107">
        <v>1.08</v>
      </c>
      <c r="P107">
        <v>3.29</v>
      </c>
      <c r="Q107">
        <v>1.92</v>
      </c>
      <c r="R107">
        <v>71.48</v>
      </c>
      <c r="S107">
        <v>76.099999999999994</v>
      </c>
      <c r="T107">
        <v>73.739999999999995</v>
      </c>
      <c r="U107">
        <v>88.86</v>
      </c>
      <c r="V107">
        <v>58.85</v>
      </c>
      <c r="W107">
        <v>73.86</v>
      </c>
      <c r="X107">
        <v>0.56000000000000005</v>
      </c>
      <c r="Y107">
        <v>93.45</v>
      </c>
      <c r="Z107">
        <v>12801.41</v>
      </c>
      <c r="AA107">
        <v>434789</v>
      </c>
    </row>
    <row r="108" spans="1:27" x14ac:dyDescent="0.35">
      <c r="A108" t="s">
        <v>113</v>
      </c>
      <c r="B108" t="s">
        <v>700</v>
      </c>
      <c r="C108" t="s">
        <v>122</v>
      </c>
      <c r="D108" t="str">
        <f t="shared" si="1"/>
        <v>16</v>
      </c>
      <c r="E108" t="s">
        <v>592</v>
      </c>
      <c r="F108">
        <v>8.3800000000000008</v>
      </c>
      <c r="G108">
        <v>7.77</v>
      </c>
      <c r="H108">
        <v>8.1300000000000008</v>
      </c>
      <c r="I108">
        <v>12.62</v>
      </c>
      <c r="J108">
        <v>12.66</v>
      </c>
      <c r="K108">
        <v>12.66</v>
      </c>
      <c r="L108">
        <v>77.180000000000007</v>
      </c>
      <c r="M108">
        <v>73.819999999999993</v>
      </c>
      <c r="N108">
        <v>74.42</v>
      </c>
      <c r="O108">
        <v>1.56</v>
      </c>
      <c r="P108">
        <v>5.32</v>
      </c>
      <c r="Q108">
        <v>3.1</v>
      </c>
      <c r="R108">
        <v>72.19</v>
      </c>
      <c r="S108">
        <v>77.55</v>
      </c>
      <c r="T108">
        <v>74.8</v>
      </c>
      <c r="U108">
        <v>90.1</v>
      </c>
      <c r="V108">
        <v>65.67</v>
      </c>
      <c r="W108">
        <v>77.89</v>
      </c>
      <c r="X108">
        <v>0.38200000000000001</v>
      </c>
      <c r="Y108">
        <v>95.65</v>
      </c>
      <c r="Z108">
        <v>22541.51</v>
      </c>
      <c r="AA108">
        <v>680094</v>
      </c>
    </row>
    <row r="109" spans="1:27" x14ac:dyDescent="0.35">
      <c r="A109" t="s">
        <v>114</v>
      </c>
      <c r="B109" t="s">
        <v>701</v>
      </c>
      <c r="C109" t="s">
        <v>122</v>
      </c>
      <c r="D109" t="str">
        <f t="shared" si="1"/>
        <v>16</v>
      </c>
      <c r="E109" t="s">
        <v>592</v>
      </c>
      <c r="F109">
        <v>8.4499999999999993</v>
      </c>
      <c r="G109">
        <v>7.97</v>
      </c>
      <c r="H109">
        <v>8.16</v>
      </c>
      <c r="I109">
        <v>12.39</v>
      </c>
      <c r="J109">
        <v>12.6</v>
      </c>
      <c r="K109">
        <v>12.43</v>
      </c>
      <c r="L109">
        <v>73.650000000000006</v>
      </c>
      <c r="M109">
        <v>73.209999999999994</v>
      </c>
      <c r="N109">
        <v>73.209999999999994</v>
      </c>
      <c r="O109">
        <v>3.44</v>
      </c>
      <c r="P109">
        <v>2.2000000000000002</v>
      </c>
      <c r="Q109">
        <v>2.93</v>
      </c>
      <c r="R109">
        <v>71.510000000000005</v>
      </c>
      <c r="S109">
        <v>76.16</v>
      </c>
      <c r="T109">
        <v>73.78</v>
      </c>
      <c r="U109">
        <v>89.42</v>
      </c>
      <c r="V109">
        <v>63.06</v>
      </c>
      <c r="W109">
        <v>76.239999999999995</v>
      </c>
      <c r="X109">
        <v>0.51300000000000001</v>
      </c>
      <c r="Y109">
        <v>99.4</v>
      </c>
      <c r="Z109">
        <v>16324.27</v>
      </c>
      <c r="AA109">
        <v>441183</v>
      </c>
    </row>
    <row r="110" spans="1:27" x14ac:dyDescent="0.35">
      <c r="A110" t="s">
        <v>115</v>
      </c>
      <c r="B110" t="s">
        <v>702</v>
      </c>
      <c r="C110" t="s">
        <v>122</v>
      </c>
      <c r="D110" t="str">
        <f t="shared" si="1"/>
        <v>16</v>
      </c>
      <c r="E110" t="s">
        <v>592</v>
      </c>
      <c r="F110">
        <v>8.4700000000000006</v>
      </c>
      <c r="G110">
        <v>7.87</v>
      </c>
      <c r="H110">
        <v>8.02</v>
      </c>
      <c r="I110">
        <v>11.97</v>
      </c>
      <c r="J110">
        <v>12.57</v>
      </c>
      <c r="K110">
        <v>12.12</v>
      </c>
      <c r="L110">
        <v>74.47</v>
      </c>
      <c r="M110">
        <v>69.95</v>
      </c>
      <c r="N110">
        <v>70.56</v>
      </c>
      <c r="O110">
        <v>2.2000000000000002</v>
      </c>
      <c r="P110">
        <v>3.35</v>
      </c>
      <c r="Q110">
        <v>2.68</v>
      </c>
      <c r="R110">
        <v>69.209999999999994</v>
      </c>
      <c r="S110">
        <v>73.17</v>
      </c>
      <c r="T110">
        <v>71.14</v>
      </c>
      <c r="U110">
        <v>87.71</v>
      </c>
      <c r="V110">
        <v>66.72</v>
      </c>
      <c r="W110">
        <v>77.22</v>
      </c>
      <c r="X110">
        <v>0.5</v>
      </c>
      <c r="Y110">
        <v>93.93</v>
      </c>
      <c r="Z110">
        <v>7381.15</v>
      </c>
      <c r="AA110">
        <v>348974</v>
      </c>
    </row>
    <row r="111" spans="1:27" x14ac:dyDescent="0.35">
      <c r="A111" t="s">
        <v>116</v>
      </c>
      <c r="B111" t="s">
        <v>703</v>
      </c>
      <c r="C111" t="s">
        <v>122</v>
      </c>
      <c r="D111" t="str">
        <f t="shared" si="1"/>
        <v>16</v>
      </c>
      <c r="E111" t="s">
        <v>592</v>
      </c>
      <c r="F111">
        <v>7.94</v>
      </c>
      <c r="G111">
        <v>7.02</v>
      </c>
      <c r="H111">
        <v>7.42</v>
      </c>
      <c r="I111">
        <v>11.81</v>
      </c>
      <c r="J111">
        <v>12.69</v>
      </c>
      <c r="K111">
        <v>12.69</v>
      </c>
      <c r="L111">
        <v>73.34</v>
      </c>
      <c r="M111">
        <v>69.28</v>
      </c>
      <c r="N111">
        <v>70.55</v>
      </c>
      <c r="O111">
        <v>4.0199999999999996</v>
      </c>
      <c r="P111">
        <v>3.24</v>
      </c>
      <c r="Q111">
        <v>3.69</v>
      </c>
      <c r="R111">
        <v>71.87</v>
      </c>
      <c r="S111">
        <v>76.91</v>
      </c>
      <c r="T111">
        <v>74.33</v>
      </c>
      <c r="U111">
        <v>88.1</v>
      </c>
      <c r="V111">
        <v>64.290000000000006</v>
      </c>
      <c r="W111">
        <v>76.2</v>
      </c>
      <c r="X111">
        <v>0.84499999999999997</v>
      </c>
      <c r="Y111">
        <v>94.46</v>
      </c>
      <c r="Z111">
        <v>10339.89</v>
      </c>
      <c r="AA111">
        <v>208032</v>
      </c>
    </row>
    <row r="112" spans="1:27" x14ac:dyDescent="0.35">
      <c r="A112" t="s">
        <v>117</v>
      </c>
      <c r="B112" t="s">
        <v>704</v>
      </c>
      <c r="C112" t="s">
        <v>122</v>
      </c>
      <c r="D112" t="str">
        <f t="shared" si="1"/>
        <v>16</v>
      </c>
      <c r="E112" t="s">
        <v>592</v>
      </c>
      <c r="F112">
        <v>8.4</v>
      </c>
      <c r="G112">
        <v>7.32</v>
      </c>
      <c r="H112">
        <v>7.8</v>
      </c>
      <c r="I112">
        <v>12.07</v>
      </c>
      <c r="J112">
        <v>12.45</v>
      </c>
      <c r="K112">
        <v>12.07</v>
      </c>
      <c r="L112">
        <v>75.900000000000006</v>
      </c>
      <c r="M112">
        <v>70.400000000000006</v>
      </c>
      <c r="N112">
        <v>71.39</v>
      </c>
      <c r="O112">
        <v>4.42</v>
      </c>
      <c r="P112">
        <v>5.36</v>
      </c>
      <c r="Q112">
        <v>4.78</v>
      </c>
      <c r="R112">
        <v>71.3</v>
      </c>
      <c r="S112">
        <v>75.72</v>
      </c>
      <c r="T112">
        <v>73.459999999999994</v>
      </c>
      <c r="U112">
        <v>85.1</v>
      </c>
      <c r="V112">
        <v>55.67</v>
      </c>
      <c r="W112">
        <v>70.39</v>
      </c>
      <c r="X112">
        <v>0.84799999999999998</v>
      </c>
      <c r="Y112">
        <v>92.75</v>
      </c>
      <c r="Z112">
        <v>10072.6</v>
      </c>
      <c r="AA112">
        <v>200799</v>
      </c>
    </row>
    <row r="113" spans="1:27" x14ac:dyDescent="0.35">
      <c r="A113" t="s">
        <v>118</v>
      </c>
      <c r="B113" t="s">
        <v>705</v>
      </c>
      <c r="C113" t="s">
        <v>122</v>
      </c>
      <c r="D113" t="str">
        <f t="shared" si="1"/>
        <v>16</v>
      </c>
      <c r="E113" t="s">
        <v>592</v>
      </c>
      <c r="F113">
        <v>11.43</v>
      </c>
      <c r="G113">
        <v>11.01</v>
      </c>
      <c r="H113">
        <v>11.25</v>
      </c>
      <c r="I113">
        <v>14.52</v>
      </c>
      <c r="J113">
        <v>14.35</v>
      </c>
      <c r="K113">
        <v>14.47</v>
      </c>
      <c r="L113">
        <v>84.69</v>
      </c>
      <c r="M113">
        <v>82.78</v>
      </c>
      <c r="N113">
        <v>83.27</v>
      </c>
      <c r="O113">
        <v>7.83</v>
      </c>
      <c r="P113">
        <v>5.18</v>
      </c>
      <c r="Q113">
        <v>6.81</v>
      </c>
      <c r="R113">
        <v>73.39</v>
      </c>
      <c r="S113">
        <v>79.290000000000006</v>
      </c>
      <c r="T113">
        <v>76.260000000000005</v>
      </c>
      <c r="U113">
        <v>78.069999999999993</v>
      </c>
      <c r="V113">
        <v>48.09</v>
      </c>
      <c r="W113">
        <v>63.08</v>
      </c>
      <c r="X113">
        <v>0.35599999999999998</v>
      </c>
      <c r="Y113">
        <v>97.74</v>
      </c>
      <c r="Z113">
        <v>226466.13</v>
      </c>
      <c r="AA113">
        <v>1729843</v>
      </c>
    </row>
    <row r="114" spans="1:27" x14ac:dyDescent="0.35">
      <c r="A114" t="s">
        <v>119</v>
      </c>
      <c r="B114" t="s">
        <v>706</v>
      </c>
      <c r="C114" t="s">
        <v>122</v>
      </c>
      <c r="D114" t="str">
        <f t="shared" si="1"/>
        <v>16</v>
      </c>
      <c r="E114" t="s">
        <v>592</v>
      </c>
      <c r="F114">
        <v>10.66</v>
      </c>
      <c r="G114">
        <v>10.29</v>
      </c>
      <c r="H114">
        <v>10.37</v>
      </c>
      <c r="I114">
        <v>13.2</v>
      </c>
      <c r="J114">
        <v>14</v>
      </c>
      <c r="K114">
        <v>13.42</v>
      </c>
      <c r="L114">
        <v>82.77</v>
      </c>
      <c r="M114">
        <v>79.14</v>
      </c>
      <c r="N114">
        <v>79.17</v>
      </c>
      <c r="O114">
        <v>5.59</v>
      </c>
      <c r="P114">
        <v>3.46</v>
      </c>
      <c r="Q114">
        <v>4.72</v>
      </c>
      <c r="R114">
        <v>72.62</v>
      </c>
      <c r="S114">
        <v>78.17</v>
      </c>
      <c r="T114">
        <v>75.33</v>
      </c>
      <c r="U114">
        <v>82.64</v>
      </c>
      <c r="V114">
        <v>56.72</v>
      </c>
      <c r="W114">
        <v>69.680000000000007</v>
      </c>
      <c r="X114">
        <v>0.38300000000000001</v>
      </c>
      <c r="Y114">
        <v>95.61</v>
      </c>
      <c r="Z114">
        <v>11336.75</v>
      </c>
      <c r="AA114">
        <v>205905</v>
      </c>
    </row>
    <row r="115" spans="1:27" x14ac:dyDescent="0.35">
      <c r="A115" t="s">
        <v>120</v>
      </c>
      <c r="B115" t="s">
        <v>707</v>
      </c>
      <c r="C115" t="s">
        <v>122</v>
      </c>
      <c r="D115" t="str">
        <f t="shared" si="1"/>
        <v>16</v>
      </c>
      <c r="E115" t="s">
        <v>592</v>
      </c>
      <c r="F115">
        <v>9.9</v>
      </c>
      <c r="G115">
        <v>9.73</v>
      </c>
      <c r="H115">
        <v>9.7799999999999994</v>
      </c>
      <c r="I115">
        <v>13.29</v>
      </c>
      <c r="J115">
        <v>14</v>
      </c>
      <c r="K115">
        <v>13.51</v>
      </c>
      <c r="L115">
        <v>77.73</v>
      </c>
      <c r="M115">
        <v>74.510000000000005</v>
      </c>
      <c r="N115">
        <v>74.92</v>
      </c>
      <c r="O115">
        <v>2.17</v>
      </c>
      <c r="P115">
        <v>2.2200000000000002</v>
      </c>
      <c r="Q115">
        <v>2.19</v>
      </c>
      <c r="R115">
        <v>71.77</v>
      </c>
      <c r="S115">
        <v>76.7</v>
      </c>
      <c r="T115">
        <v>74.180000000000007</v>
      </c>
      <c r="U115">
        <v>88.81</v>
      </c>
      <c r="V115">
        <v>68.739999999999995</v>
      </c>
      <c r="W115">
        <v>78.78</v>
      </c>
      <c r="X115">
        <v>0.38400000000000001</v>
      </c>
      <c r="Y115">
        <v>95.86</v>
      </c>
      <c r="Z115">
        <v>4170.93</v>
      </c>
      <c r="AA115">
        <v>150533</v>
      </c>
    </row>
    <row r="116" spans="1:27" x14ac:dyDescent="0.35">
      <c r="A116" t="s">
        <v>121</v>
      </c>
      <c r="B116" t="s">
        <v>708</v>
      </c>
      <c r="C116" t="s">
        <v>122</v>
      </c>
      <c r="D116" t="str">
        <f t="shared" si="1"/>
        <v>16</v>
      </c>
      <c r="E116" t="s">
        <v>592</v>
      </c>
      <c r="F116">
        <v>10.42</v>
      </c>
      <c r="G116">
        <v>9.99</v>
      </c>
      <c r="H116">
        <v>10.15</v>
      </c>
      <c r="I116">
        <v>13.79</v>
      </c>
      <c r="J116">
        <v>14.32</v>
      </c>
      <c r="K116">
        <v>13.88</v>
      </c>
      <c r="L116">
        <v>82.8</v>
      </c>
      <c r="M116">
        <v>79.84</v>
      </c>
      <c r="N116">
        <v>79.94</v>
      </c>
      <c r="O116">
        <v>5.52</v>
      </c>
      <c r="P116">
        <v>4.3099999999999996</v>
      </c>
      <c r="Q116">
        <v>5.01</v>
      </c>
      <c r="R116">
        <v>72.72</v>
      </c>
      <c r="S116">
        <v>78.33</v>
      </c>
      <c r="T116">
        <v>75.459999999999994</v>
      </c>
      <c r="U116">
        <v>82.6</v>
      </c>
      <c r="V116">
        <v>60.69</v>
      </c>
      <c r="W116">
        <v>71.650000000000006</v>
      </c>
      <c r="X116">
        <v>0.157</v>
      </c>
      <c r="Y116">
        <v>96.43</v>
      </c>
      <c r="Z116">
        <v>9386.7999999999993</v>
      </c>
      <c r="AA116">
        <v>249054</v>
      </c>
    </row>
    <row r="117" spans="1:27" x14ac:dyDescent="0.35">
      <c r="A117" t="s">
        <v>124</v>
      </c>
      <c r="B117" t="s">
        <v>709</v>
      </c>
      <c r="C117" t="s">
        <v>123</v>
      </c>
      <c r="D117" t="str">
        <f t="shared" si="1"/>
        <v>17</v>
      </c>
      <c r="E117" t="s">
        <v>592</v>
      </c>
      <c r="F117">
        <v>9.92</v>
      </c>
      <c r="G117">
        <v>9.39</v>
      </c>
      <c r="H117">
        <v>9.6</v>
      </c>
      <c r="I117">
        <v>13.67</v>
      </c>
      <c r="J117">
        <v>14.23</v>
      </c>
      <c r="K117">
        <v>13.67</v>
      </c>
      <c r="L117">
        <v>78.760000000000005</v>
      </c>
      <c r="M117">
        <v>75.09</v>
      </c>
      <c r="N117">
        <v>75.319999999999993</v>
      </c>
      <c r="O117">
        <v>2.3199999999999998</v>
      </c>
      <c r="P117">
        <v>3.59</v>
      </c>
      <c r="Q117">
        <v>2.86</v>
      </c>
      <c r="R117">
        <v>71.209999999999994</v>
      </c>
      <c r="S117">
        <v>75.53</v>
      </c>
      <c r="T117">
        <v>73.319999999999993</v>
      </c>
      <c r="U117">
        <v>82.73</v>
      </c>
      <c r="V117">
        <v>62.93</v>
      </c>
      <c r="W117">
        <v>72.83</v>
      </c>
      <c r="X117">
        <v>0.309</v>
      </c>
      <c r="Y117">
        <v>95.34</v>
      </c>
      <c r="Z117">
        <v>8507.58</v>
      </c>
      <c r="AA117">
        <v>175126</v>
      </c>
    </row>
    <row r="118" spans="1:27" x14ac:dyDescent="0.35">
      <c r="A118" t="s">
        <v>125</v>
      </c>
      <c r="B118" t="s">
        <v>710</v>
      </c>
      <c r="C118" t="s">
        <v>123</v>
      </c>
      <c r="D118" t="str">
        <f t="shared" si="1"/>
        <v>17</v>
      </c>
      <c r="E118" t="s">
        <v>592</v>
      </c>
      <c r="F118">
        <v>9.18</v>
      </c>
      <c r="G118">
        <v>9.0299999999999994</v>
      </c>
      <c r="H118">
        <v>9.0500000000000007</v>
      </c>
      <c r="I118">
        <v>13.88</v>
      </c>
      <c r="J118">
        <v>14.56</v>
      </c>
      <c r="K118">
        <v>14.21</v>
      </c>
      <c r="L118">
        <v>78.94</v>
      </c>
      <c r="M118">
        <v>75.12</v>
      </c>
      <c r="N118">
        <v>75.87</v>
      </c>
      <c r="O118">
        <v>2.52</v>
      </c>
      <c r="P118">
        <v>3.44</v>
      </c>
      <c r="Q118">
        <v>2.91</v>
      </c>
      <c r="R118">
        <v>71.77</v>
      </c>
      <c r="S118">
        <v>76.7</v>
      </c>
      <c r="T118">
        <v>74.17</v>
      </c>
      <c r="U118">
        <v>85.83</v>
      </c>
      <c r="V118">
        <v>66.28</v>
      </c>
      <c r="W118">
        <v>76.06</v>
      </c>
      <c r="X118">
        <v>0.35499999999999998</v>
      </c>
      <c r="Y118">
        <v>95.16</v>
      </c>
      <c r="Z118">
        <v>14026.51</v>
      </c>
      <c r="AA118">
        <v>291897</v>
      </c>
    </row>
    <row r="119" spans="1:27" x14ac:dyDescent="0.35">
      <c r="A119" t="s">
        <v>126</v>
      </c>
      <c r="B119" t="s">
        <v>711</v>
      </c>
      <c r="C119" t="s">
        <v>123</v>
      </c>
      <c r="D119" t="str">
        <f t="shared" si="1"/>
        <v>17</v>
      </c>
      <c r="E119" t="s">
        <v>592</v>
      </c>
      <c r="F119">
        <v>8.75</v>
      </c>
      <c r="G119">
        <v>8.01</v>
      </c>
      <c r="H119">
        <v>8.35</v>
      </c>
      <c r="I119">
        <v>12.66</v>
      </c>
      <c r="J119">
        <v>13.33</v>
      </c>
      <c r="K119">
        <v>12.93</v>
      </c>
      <c r="L119">
        <v>77.37</v>
      </c>
      <c r="M119">
        <v>71.45</v>
      </c>
      <c r="N119">
        <v>73.56</v>
      </c>
      <c r="O119">
        <v>3.37</v>
      </c>
      <c r="P119">
        <v>4.3899999999999997</v>
      </c>
      <c r="Q119">
        <v>3.75</v>
      </c>
      <c r="R119">
        <v>71.34</v>
      </c>
      <c r="S119">
        <v>75.8</v>
      </c>
      <c r="T119">
        <v>73.52</v>
      </c>
      <c r="U119">
        <v>85.29</v>
      </c>
      <c r="V119">
        <v>53.26</v>
      </c>
      <c r="W119">
        <v>69.28</v>
      </c>
      <c r="X119">
        <v>0.56399999999999995</v>
      </c>
      <c r="Y119">
        <v>92.35</v>
      </c>
      <c r="Z119">
        <v>13676.46</v>
      </c>
      <c r="AA119">
        <v>313521</v>
      </c>
    </row>
    <row r="120" spans="1:27" x14ac:dyDescent="0.35">
      <c r="A120" t="s">
        <v>127</v>
      </c>
      <c r="B120" t="s">
        <v>712</v>
      </c>
      <c r="C120" t="s">
        <v>123</v>
      </c>
      <c r="D120" t="str">
        <f t="shared" si="1"/>
        <v>17</v>
      </c>
      <c r="E120" t="s">
        <v>592</v>
      </c>
      <c r="F120">
        <v>9.39</v>
      </c>
      <c r="G120">
        <v>8.4499999999999993</v>
      </c>
      <c r="H120">
        <v>8.7100000000000009</v>
      </c>
      <c r="I120">
        <v>13.36</v>
      </c>
      <c r="J120">
        <v>13.16</v>
      </c>
      <c r="K120">
        <v>13.16</v>
      </c>
      <c r="L120">
        <v>77.22</v>
      </c>
      <c r="M120">
        <v>68.12</v>
      </c>
      <c r="N120">
        <v>72.45</v>
      </c>
      <c r="O120">
        <v>3.52</v>
      </c>
      <c r="P120">
        <v>4.38</v>
      </c>
      <c r="Q120">
        <v>3.88</v>
      </c>
      <c r="R120">
        <v>71.209999999999994</v>
      </c>
      <c r="S120">
        <v>75.52</v>
      </c>
      <c r="T120">
        <v>73.31</v>
      </c>
      <c r="U120">
        <v>83.88</v>
      </c>
      <c r="V120">
        <v>62.84</v>
      </c>
      <c r="W120">
        <v>73.36</v>
      </c>
      <c r="X120">
        <v>0.46800000000000003</v>
      </c>
      <c r="Y120">
        <v>88.22</v>
      </c>
      <c r="Z120">
        <v>5390.27</v>
      </c>
      <c r="AA120">
        <v>134235</v>
      </c>
    </row>
    <row r="121" spans="1:27" x14ac:dyDescent="0.35">
      <c r="A121" t="s">
        <v>128</v>
      </c>
      <c r="B121" t="s">
        <v>713</v>
      </c>
      <c r="C121" t="s">
        <v>123</v>
      </c>
      <c r="D121" t="str">
        <f t="shared" si="1"/>
        <v>17</v>
      </c>
      <c r="E121" t="s">
        <v>592</v>
      </c>
      <c r="F121">
        <v>8.86</v>
      </c>
      <c r="G121">
        <v>7.85</v>
      </c>
      <c r="H121">
        <v>8.34</v>
      </c>
      <c r="I121">
        <v>13.3</v>
      </c>
      <c r="J121">
        <v>13.67</v>
      </c>
      <c r="K121">
        <v>13.34</v>
      </c>
      <c r="L121">
        <v>76.75</v>
      </c>
      <c r="M121">
        <v>66.67</v>
      </c>
      <c r="N121">
        <v>71.849999999999994</v>
      </c>
      <c r="O121">
        <v>1.93</v>
      </c>
      <c r="P121">
        <v>2.2999999999999998</v>
      </c>
      <c r="Q121">
        <v>2.0699999999999998</v>
      </c>
      <c r="R121">
        <v>71.13</v>
      </c>
      <c r="S121">
        <v>75.349999999999994</v>
      </c>
      <c r="T121">
        <v>73.19</v>
      </c>
      <c r="U121">
        <v>88.1</v>
      </c>
      <c r="V121">
        <v>57.88</v>
      </c>
      <c r="W121">
        <v>72.989999999999995</v>
      </c>
      <c r="X121">
        <v>0.51</v>
      </c>
      <c r="Y121">
        <v>86.87</v>
      </c>
      <c r="Z121">
        <v>6851.38</v>
      </c>
      <c r="AA121">
        <v>219877</v>
      </c>
    </row>
    <row r="122" spans="1:27" x14ac:dyDescent="0.35">
      <c r="A122" t="s">
        <v>129</v>
      </c>
      <c r="B122" t="s">
        <v>714</v>
      </c>
      <c r="C122" t="s">
        <v>123</v>
      </c>
      <c r="D122" t="str">
        <f t="shared" si="1"/>
        <v>17</v>
      </c>
      <c r="E122" t="s">
        <v>592</v>
      </c>
      <c r="F122">
        <v>8.9499999999999993</v>
      </c>
      <c r="G122">
        <v>8.41</v>
      </c>
      <c r="H122">
        <v>8.65</v>
      </c>
      <c r="I122">
        <v>13.06</v>
      </c>
      <c r="J122">
        <v>13.22</v>
      </c>
      <c r="K122">
        <v>13.06</v>
      </c>
      <c r="L122">
        <v>79.099999999999994</v>
      </c>
      <c r="M122">
        <v>68.08</v>
      </c>
      <c r="N122">
        <v>74.45</v>
      </c>
      <c r="O122">
        <v>2.9</v>
      </c>
      <c r="P122">
        <v>4.25</v>
      </c>
      <c r="Q122">
        <v>3.33</v>
      </c>
      <c r="R122">
        <v>71.86</v>
      </c>
      <c r="S122">
        <v>76.89</v>
      </c>
      <c r="T122">
        <v>74.31</v>
      </c>
      <c r="U122">
        <v>89.85</v>
      </c>
      <c r="V122">
        <v>44.47</v>
      </c>
      <c r="W122">
        <v>67.16</v>
      </c>
      <c r="X122">
        <v>0.80400000000000005</v>
      </c>
      <c r="Y122">
        <v>86.07</v>
      </c>
      <c r="Z122">
        <v>8306.43</v>
      </c>
      <c r="AA122">
        <v>204560</v>
      </c>
    </row>
    <row r="123" spans="1:27" x14ac:dyDescent="0.35">
      <c r="A123" t="s">
        <v>130</v>
      </c>
      <c r="B123" t="s">
        <v>715</v>
      </c>
      <c r="C123" t="s">
        <v>123</v>
      </c>
      <c r="D123" t="str">
        <f t="shared" si="1"/>
        <v>17</v>
      </c>
      <c r="E123" t="s">
        <v>592</v>
      </c>
      <c r="F123">
        <v>8.8699999999999992</v>
      </c>
      <c r="G123">
        <v>8.3000000000000007</v>
      </c>
      <c r="H123">
        <v>8.48</v>
      </c>
      <c r="I123">
        <v>12.61</v>
      </c>
      <c r="J123">
        <v>13.17</v>
      </c>
      <c r="K123">
        <v>12.92</v>
      </c>
      <c r="L123">
        <v>78.260000000000005</v>
      </c>
      <c r="M123">
        <v>72.510000000000005</v>
      </c>
      <c r="N123">
        <v>74.099999999999994</v>
      </c>
      <c r="O123">
        <v>1.89</v>
      </c>
      <c r="P123">
        <v>2.5499999999999998</v>
      </c>
      <c r="Q123">
        <v>2.16</v>
      </c>
      <c r="R123">
        <v>71.069999999999993</v>
      </c>
      <c r="S123">
        <v>75.23</v>
      </c>
      <c r="T123">
        <v>73.099999999999994</v>
      </c>
      <c r="U123">
        <v>86.41</v>
      </c>
      <c r="V123">
        <v>64.569999999999993</v>
      </c>
      <c r="W123">
        <v>75.489999999999995</v>
      </c>
      <c r="X123">
        <v>0.32700000000000001</v>
      </c>
      <c r="Y123">
        <v>92.65</v>
      </c>
      <c r="Z123">
        <v>4931.1499999999996</v>
      </c>
      <c r="AA123">
        <v>113140</v>
      </c>
    </row>
    <row r="124" spans="1:27" x14ac:dyDescent="0.35">
      <c r="A124" t="s">
        <v>131</v>
      </c>
      <c r="B124" t="s">
        <v>716</v>
      </c>
      <c r="C124" t="s">
        <v>123</v>
      </c>
      <c r="D124" t="str">
        <f t="shared" si="1"/>
        <v>17</v>
      </c>
      <c r="E124" t="s">
        <v>592</v>
      </c>
      <c r="F124">
        <v>8.74</v>
      </c>
      <c r="G124">
        <v>8.4700000000000006</v>
      </c>
      <c r="H124">
        <v>8.61</v>
      </c>
      <c r="I124">
        <v>13.31</v>
      </c>
      <c r="J124">
        <v>14.04</v>
      </c>
      <c r="K124">
        <v>13.31</v>
      </c>
      <c r="L124">
        <v>75.64</v>
      </c>
      <c r="M124">
        <v>72.87</v>
      </c>
      <c r="N124">
        <v>72.959999999999994</v>
      </c>
      <c r="O124">
        <v>2.0299999999999998</v>
      </c>
      <c r="P124">
        <v>3.11</v>
      </c>
      <c r="Q124">
        <v>2.4900000000000002</v>
      </c>
      <c r="R124">
        <v>70.650000000000006</v>
      </c>
      <c r="S124">
        <v>74.67</v>
      </c>
      <c r="T124">
        <v>72.61</v>
      </c>
      <c r="U124">
        <v>88.24</v>
      </c>
      <c r="V124">
        <v>70.48</v>
      </c>
      <c r="W124">
        <v>79.36</v>
      </c>
      <c r="X124">
        <v>0.317</v>
      </c>
      <c r="Y124">
        <v>96.34</v>
      </c>
      <c r="Z124">
        <v>6858.36</v>
      </c>
      <c r="AA124">
        <v>158012</v>
      </c>
    </row>
    <row r="125" spans="1:27" x14ac:dyDescent="0.35">
      <c r="A125" t="s">
        <v>132</v>
      </c>
      <c r="B125" t="s">
        <v>717</v>
      </c>
      <c r="C125" t="s">
        <v>123</v>
      </c>
      <c r="D125" t="str">
        <f t="shared" si="1"/>
        <v>17</v>
      </c>
      <c r="E125" t="s">
        <v>592</v>
      </c>
      <c r="F125">
        <v>8.52</v>
      </c>
      <c r="G125">
        <v>7.36</v>
      </c>
      <c r="H125">
        <v>7.94</v>
      </c>
      <c r="I125">
        <v>13.41</v>
      </c>
      <c r="J125">
        <v>13.75</v>
      </c>
      <c r="K125">
        <v>13.64</v>
      </c>
      <c r="L125">
        <v>76.86</v>
      </c>
      <c r="M125">
        <v>67.78</v>
      </c>
      <c r="N125">
        <v>72.48</v>
      </c>
      <c r="O125">
        <v>3.08</v>
      </c>
      <c r="P125">
        <v>4.03</v>
      </c>
      <c r="Q125">
        <v>3.4</v>
      </c>
      <c r="R125">
        <v>70.75</v>
      </c>
      <c r="S125">
        <v>74.78</v>
      </c>
      <c r="T125">
        <v>72.709999999999994</v>
      </c>
      <c r="U125">
        <v>87.99</v>
      </c>
      <c r="V125">
        <v>47.63</v>
      </c>
      <c r="W125">
        <v>67.81</v>
      </c>
      <c r="X125">
        <v>0.47499999999999998</v>
      </c>
      <c r="Y125">
        <v>88.19</v>
      </c>
      <c r="Z125">
        <v>7175.14</v>
      </c>
      <c r="AA125">
        <v>124191</v>
      </c>
    </row>
    <row r="126" spans="1:27" x14ac:dyDescent="0.35">
      <c r="A126" t="s">
        <v>133</v>
      </c>
      <c r="B126" t="s">
        <v>718</v>
      </c>
      <c r="C126" t="s">
        <v>123</v>
      </c>
      <c r="D126" t="str">
        <f t="shared" si="1"/>
        <v>17</v>
      </c>
      <c r="E126" t="s">
        <v>592</v>
      </c>
      <c r="F126">
        <v>12.14</v>
      </c>
      <c r="G126">
        <v>11.95</v>
      </c>
      <c r="H126">
        <v>11.95</v>
      </c>
      <c r="I126">
        <v>16.059999999999999</v>
      </c>
      <c r="J126">
        <v>16.489999999999998</v>
      </c>
      <c r="K126">
        <v>16.079999999999998</v>
      </c>
      <c r="L126">
        <v>86.71</v>
      </c>
      <c r="M126">
        <v>84.42</v>
      </c>
      <c r="N126">
        <v>84.59</v>
      </c>
      <c r="O126">
        <v>4.78</v>
      </c>
      <c r="P126">
        <v>6.12</v>
      </c>
      <c r="Q126">
        <v>5.34</v>
      </c>
      <c r="R126">
        <v>72.459999999999994</v>
      </c>
      <c r="S126">
        <v>77.95</v>
      </c>
      <c r="T126">
        <v>75.14</v>
      </c>
      <c r="U126">
        <v>77.739999999999995</v>
      </c>
      <c r="V126">
        <v>55.65</v>
      </c>
      <c r="W126">
        <v>66.7</v>
      </c>
      <c r="X126">
        <v>0.217</v>
      </c>
      <c r="Y126">
        <v>97.36</v>
      </c>
      <c r="Z126">
        <v>35724.28</v>
      </c>
      <c r="AA126">
        <v>403485</v>
      </c>
    </row>
    <row r="127" spans="1:27" x14ac:dyDescent="0.35">
      <c r="A127" t="s">
        <v>134</v>
      </c>
      <c r="B127" t="s">
        <v>719</v>
      </c>
      <c r="C127" t="s">
        <v>149</v>
      </c>
      <c r="D127" t="str">
        <f t="shared" si="1"/>
        <v>18</v>
      </c>
      <c r="E127" t="s">
        <v>592</v>
      </c>
      <c r="F127">
        <v>8.74</v>
      </c>
      <c r="G127">
        <v>8.35</v>
      </c>
      <c r="H127">
        <v>8.57</v>
      </c>
      <c r="I127">
        <v>12.22</v>
      </c>
      <c r="J127">
        <v>12.56</v>
      </c>
      <c r="K127">
        <v>12.31</v>
      </c>
      <c r="L127">
        <v>75.84</v>
      </c>
      <c r="M127">
        <v>71.5</v>
      </c>
      <c r="N127">
        <v>73.14</v>
      </c>
      <c r="O127">
        <v>1.52</v>
      </c>
      <c r="P127">
        <v>2.94</v>
      </c>
      <c r="Q127">
        <v>2.11</v>
      </c>
      <c r="R127">
        <v>71.81</v>
      </c>
      <c r="S127">
        <v>76.790000000000006</v>
      </c>
      <c r="T127">
        <v>74.239999999999995</v>
      </c>
      <c r="U127">
        <v>90.99</v>
      </c>
      <c r="V127">
        <v>68.260000000000005</v>
      </c>
      <c r="W127">
        <v>79.63</v>
      </c>
      <c r="X127">
        <v>0.34499999999999997</v>
      </c>
      <c r="Y127">
        <v>94.28</v>
      </c>
      <c r="Z127">
        <v>10773.02</v>
      </c>
      <c r="AA127">
        <v>319301</v>
      </c>
    </row>
    <row r="128" spans="1:27" x14ac:dyDescent="0.35">
      <c r="A128" t="s">
        <v>135</v>
      </c>
      <c r="B128" t="s">
        <v>720</v>
      </c>
      <c r="C128" t="s">
        <v>149</v>
      </c>
      <c r="D128" t="str">
        <f t="shared" si="1"/>
        <v>18</v>
      </c>
      <c r="E128" t="s">
        <v>592</v>
      </c>
      <c r="F128">
        <v>7.82</v>
      </c>
      <c r="G128">
        <v>7.3</v>
      </c>
      <c r="H128">
        <v>7.63</v>
      </c>
      <c r="I128">
        <v>11.89</v>
      </c>
      <c r="J128">
        <v>12.85</v>
      </c>
      <c r="K128">
        <v>12.34</v>
      </c>
      <c r="L128">
        <v>74.61</v>
      </c>
      <c r="M128">
        <v>69.25</v>
      </c>
      <c r="N128">
        <v>71.36</v>
      </c>
      <c r="O128">
        <v>3.8</v>
      </c>
      <c r="P128">
        <v>2.83</v>
      </c>
      <c r="Q128">
        <v>3.44</v>
      </c>
      <c r="R128">
        <v>71.91</v>
      </c>
      <c r="S128">
        <v>76.989999999999995</v>
      </c>
      <c r="T128">
        <v>74.39</v>
      </c>
      <c r="U128">
        <v>85.71</v>
      </c>
      <c r="V128">
        <v>52.93</v>
      </c>
      <c r="W128">
        <v>69.319999999999993</v>
      </c>
      <c r="X128">
        <v>0.36299999999999999</v>
      </c>
      <c r="Y128">
        <v>92.82</v>
      </c>
      <c r="Z128">
        <v>22724.73</v>
      </c>
      <c r="AA128">
        <v>678021</v>
      </c>
    </row>
    <row r="129" spans="1:27" x14ac:dyDescent="0.35">
      <c r="A129" t="s">
        <v>136</v>
      </c>
      <c r="B129" t="s">
        <v>721</v>
      </c>
      <c r="C129" t="s">
        <v>149</v>
      </c>
      <c r="D129" t="str">
        <f t="shared" si="1"/>
        <v>18</v>
      </c>
      <c r="E129" t="s">
        <v>592</v>
      </c>
      <c r="F129">
        <v>8.34</v>
      </c>
      <c r="G129">
        <v>7.7</v>
      </c>
      <c r="H129">
        <v>7.98</v>
      </c>
      <c r="I129">
        <v>12.35</v>
      </c>
      <c r="J129">
        <v>13.05</v>
      </c>
      <c r="K129">
        <v>12.79</v>
      </c>
      <c r="L129">
        <v>76.44</v>
      </c>
      <c r="M129">
        <v>69.7</v>
      </c>
      <c r="N129">
        <v>73.099999999999994</v>
      </c>
      <c r="O129">
        <v>3.34</v>
      </c>
      <c r="P129">
        <v>7.15</v>
      </c>
      <c r="Q129">
        <v>4.67</v>
      </c>
      <c r="R129">
        <v>72.22</v>
      </c>
      <c r="S129">
        <v>77.599999999999994</v>
      </c>
      <c r="T129">
        <v>74.84</v>
      </c>
      <c r="U129">
        <v>87.55</v>
      </c>
      <c r="V129">
        <v>48.78</v>
      </c>
      <c r="W129">
        <v>68.17</v>
      </c>
      <c r="X129">
        <v>0.375</v>
      </c>
      <c r="Y129">
        <v>91.18</v>
      </c>
      <c r="Z129">
        <v>65658.66</v>
      </c>
      <c r="AA129">
        <v>1133387</v>
      </c>
    </row>
    <row r="130" spans="1:27" x14ac:dyDescent="0.35">
      <c r="A130" t="s">
        <v>137</v>
      </c>
      <c r="B130" t="s">
        <v>722</v>
      </c>
      <c r="C130" t="s">
        <v>149</v>
      </c>
      <c r="D130" t="str">
        <f t="shared" si="1"/>
        <v>18</v>
      </c>
      <c r="E130" t="s">
        <v>592</v>
      </c>
      <c r="F130">
        <v>8.81</v>
      </c>
      <c r="G130">
        <v>8.2200000000000006</v>
      </c>
      <c r="H130">
        <v>8.4600000000000009</v>
      </c>
      <c r="I130">
        <v>13.21</v>
      </c>
      <c r="J130">
        <v>13</v>
      </c>
      <c r="K130">
        <v>13</v>
      </c>
      <c r="L130">
        <v>78.209999999999994</v>
      </c>
      <c r="M130">
        <v>70.72</v>
      </c>
      <c r="N130">
        <v>73.92</v>
      </c>
      <c r="O130">
        <v>3.39</v>
      </c>
      <c r="P130">
        <v>2.82</v>
      </c>
      <c r="Q130">
        <v>3.18</v>
      </c>
      <c r="R130">
        <v>72.010000000000005</v>
      </c>
      <c r="S130">
        <v>77.2</v>
      </c>
      <c r="T130">
        <v>74.540000000000006</v>
      </c>
      <c r="U130">
        <v>84.12</v>
      </c>
      <c r="V130">
        <v>50.78</v>
      </c>
      <c r="W130">
        <v>67.45</v>
      </c>
      <c r="X130">
        <v>0.29399999999999998</v>
      </c>
      <c r="Y130">
        <v>90.42</v>
      </c>
      <c r="Z130">
        <v>60936.45</v>
      </c>
      <c r="AA130">
        <v>1164703</v>
      </c>
    </row>
    <row r="131" spans="1:27" x14ac:dyDescent="0.35">
      <c r="A131" t="s">
        <v>138</v>
      </c>
      <c r="B131" t="s">
        <v>723</v>
      </c>
      <c r="C131" t="s">
        <v>149</v>
      </c>
      <c r="D131" t="str">
        <f t="shared" ref="D131:D194" si="2">LEFT(B131,2)</f>
        <v>18</v>
      </c>
      <c r="E131" t="s">
        <v>592</v>
      </c>
      <c r="F131">
        <v>8.52</v>
      </c>
      <c r="G131">
        <v>7.81</v>
      </c>
      <c r="H131">
        <v>8.17</v>
      </c>
      <c r="I131">
        <v>13.06</v>
      </c>
      <c r="J131">
        <v>13.29</v>
      </c>
      <c r="K131">
        <v>13.18</v>
      </c>
      <c r="L131">
        <v>78.38</v>
      </c>
      <c r="M131">
        <v>71.62</v>
      </c>
      <c r="N131">
        <v>74.86</v>
      </c>
      <c r="O131">
        <v>2.58</v>
      </c>
      <c r="P131">
        <v>4.32</v>
      </c>
      <c r="Q131">
        <v>3.27</v>
      </c>
      <c r="R131">
        <v>72.11</v>
      </c>
      <c r="S131">
        <v>77.42</v>
      </c>
      <c r="T131">
        <v>74.7</v>
      </c>
      <c r="U131">
        <v>89.63</v>
      </c>
      <c r="V131">
        <v>61.26</v>
      </c>
      <c r="W131">
        <v>75.45</v>
      </c>
      <c r="X131">
        <v>0.29699999999999999</v>
      </c>
      <c r="Y131">
        <v>91.38</v>
      </c>
      <c r="Z131">
        <v>105453.48</v>
      </c>
      <c r="AA131">
        <v>1541429</v>
      </c>
    </row>
    <row r="132" spans="1:27" x14ac:dyDescent="0.35">
      <c r="A132" t="s">
        <v>139</v>
      </c>
      <c r="B132" t="s">
        <v>724</v>
      </c>
      <c r="C132" t="s">
        <v>149</v>
      </c>
      <c r="D132" t="str">
        <f t="shared" si="2"/>
        <v>18</v>
      </c>
      <c r="E132" t="s">
        <v>592</v>
      </c>
      <c r="F132">
        <v>8.8800000000000008</v>
      </c>
      <c r="G132">
        <v>8.39</v>
      </c>
      <c r="H132">
        <v>8.6300000000000008</v>
      </c>
      <c r="I132">
        <v>12.57</v>
      </c>
      <c r="J132">
        <v>13.2</v>
      </c>
      <c r="K132">
        <v>12.64</v>
      </c>
      <c r="L132">
        <v>76.13</v>
      </c>
      <c r="M132">
        <v>69.17</v>
      </c>
      <c r="N132">
        <v>72.28</v>
      </c>
      <c r="O132">
        <v>5.1100000000000003</v>
      </c>
      <c r="P132">
        <v>6.92</v>
      </c>
      <c r="Q132">
        <v>5.78</v>
      </c>
      <c r="R132">
        <v>71.92</v>
      </c>
      <c r="S132">
        <v>77.03</v>
      </c>
      <c r="T132">
        <v>74.41</v>
      </c>
      <c r="U132">
        <v>83.97</v>
      </c>
      <c r="V132">
        <v>50.27</v>
      </c>
      <c r="W132">
        <v>67.12</v>
      </c>
      <c r="X132">
        <v>0.435</v>
      </c>
      <c r="Y132">
        <v>90.86</v>
      </c>
      <c r="Z132">
        <v>34459.78</v>
      </c>
      <c r="AA132">
        <v>665763</v>
      </c>
    </row>
    <row r="133" spans="1:27" x14ac:dyDescent="0.35">
      <c r="A133" t="s">
        <v>140</v>
      </c>
      <c r="B133" t="s">
        <v>725</v>
      </c>
      <c r="C133" t="s">
        <v>149</v>
      </c>
      <c r="D133" t="str">
        <f t="shared" si="2"/>
        <v>18</v>
      </c>
      <c r="E133" t="s">
        <v>592</v>
      </c>
      <c r="F133">
        <v>8.1300000000000008</v>
      </c>
      <c r="G133">
        <v>7.6</v>
      </c>
      <c r="H133">
        <v>7.91</v>
      </c>
      <c r="I133">
        <v>12.35</v>
      </c>
      <c r="J133">
        <v>12.82</v>
      </c>
      <c r="K133">
        <v>12.53</v>
      </c>
      <c r="L133">
        <v>75.849999999999994</v>
      </c>
      <c r="M133">
        <v>68.33</v>
      </c>
      <c r="N133">
        <v>71.98</v>
      </c>
      <c r="O133">
        <v>2.52</v>
      </c>
      <c r="P133">
        <v>5.21</v>
      </c>
      <c r="Q133">
        <v>3.51</v>
      </c>
      <c r="R133">
        <v>72.05</v>
      </c>
      <c r="S133">
        <v>77.290000000000006</v>
      </c>
      <c r="T133">
        <v>74.61</v>
      </c>
      <c r="U133">
        <v>89.69</v>
      </c>
      <c r="V133">
        <v>54.21</v>
      </c>
      <c r="W133">
        <v>71.95</v>
      </c>
      <c r="X133">
        <v>0.44700000000000001</v>
      </c>
      <c r="Y133">
        <v>90.09</v>
      </c>
      <c r="Z133">
        <v>21004.54</v>
      </c>
      <c r="AA133">
        <v>503313</v>
      </c>
    </row>
    <row r="134" spans="1:27" x14ac:dyDescent="0.35">
      <c r="A134" t="s">
        <v>141</v>
      </c>
      <c r="B134" t="s">
        <v>1103</v>
      </c>
      <c r="C134" t="s">
        <v>149</v>
      </c>
      <c r="D134" t="str">
        <f t="shared" si="2"/>
        <v>18</v>
      </c>
      <c r="E134" t="s">
        <v>592</v>
      </c>
      <c r="F134">
        <v>8.36</v>
      </c>
      <c r="G134">
        <v>7.83</v>
      </c>
      <c r="H134">
        <v>7.9</v>
      </c>
      <c r="I134">
        <v>12.16</v>
      </c>
      <c r="J134">
        <v>12.8</v>
      </c>
      <c r="K134">
        <v>12.39</v>
      </c>
      <c r="L134">
        <v>77.16</v>
      </c>
      <c r="M134">
        <v>70.37</v>
      </c>
      <c r="N134">
        <v>73.11</v>
      </c>
      <c r="O134">
        <v>2.2599999999999998</v>
      </c>
      <c r="P134">
        <v>5.0199999999999996</v>
      </c>
      <c r="Q134">
        <v>3.19</v>
      </c>
      <c r="R134">
        <v>71.86</v>
      </c>
      <c r="S134">
        <v>76.900000000000006</v>
      </c>
      <c r="T134">
        <v>74.319999999999993</v>
      </c>
      <c r="U134">
        <v>88.58</v>
      </c>
      <c r="V134">
        <v>48.35</v>
      </c>
      <c r="W134">
        <v>68.47</v>
      </c>
      <c r="X134">
        <v>0.38800000000000001</v>
      </c>
      <c r="Y134">
        <v>91.2</v>
      </c>
      <c r="Z134">
        <v>33239.21</v>
      </c>
      <c r="AA134">
        <v>455403</v>
      </c>
    </row>
    <row r="135" spans="1:27" x14ac:dyDescent="0.35">
      <c r="A135" t="s">
        <v>142</v>
      </c>
      <c r="B135" t="s">
        <v>726</v>
      </c>
      <c r="C135" t="s">
        <v>149</v>
      </c>
      <c r="D135" t="str">
        <f t="shared" si="2"/>
        <v>18</v>
      </c>
      <c r="E135" t="s">
        <v>592</v>
      </c>
      <c r="F135">
        <v>8.39</v>
      </c>
      <c r="G135">
        <v>7.76</v>
      </c>
      <c r="H135">
        <v>8.01</v>
      </c>
      <c r="I135">
        <v>12.52</v>
      </c>
      <c r="J135">
        <v>12.98</v>
      </c>
      <c r="K135">
        <v>12.64</v>
      </c>
      <c r="L135">
        <v>75.72</v>
      </c>
      <c r="M135">
        <v>67.5</v>
      </c>
      <c r="N135">
        <v>70.900000000000006</v>
      </c>
      <c r="O135">
        <v>4.16</v>
      </c>
      <c r="P135">
        <v>4.17</v>
      </c>
      <c r="Q135">
        <v>4.17</v>
      </c>
      <c r="R135">
        <v>71.849999999999994</v>
      </c>
      <c r="S135">
        <v>76.87</v>
      </c>
      <c r="T135">
        <v>74.3</v>
      </c>
      <c r="U135">
        <v>85.95</v>
      </c>
      <c r="V135">
        <v>50.04</v>
      </c>
      <c r="W135">
        <v>68</v>
      </c>
      <c r="X135">
        <v>0.434</v>
      </c>
      <c r="Y135">
        <v>89.14</v>
      </c>
      <c r="Z135">
        <v>23446.54</v>
      </c>
      <c r="AA135">
        <v>506261</v>
      </c>
    </row>
    <row r="136" spans="1:27" x14ac:dyDescent="0.35">
      <c r="A136" t="s">
        <v>143</v>
      </c>
      <c r="B136" t="s">
        <v>727</v>
      </c>
      <c r="C136" t="s">
        <v>149</v>
      </c>
      <c r="D136" t="str">
        <f t="shared" si="2"/>
        <v>18</v>
      </c>
      <c r="E136" t="s">
        <v>592</v>
      </c>
      <c r="F136">
        <v>8.9499999999999993</v>
      </c>
      <c r="G136">
        <v>8.34</v>
      </c>
      <c r="H136">
        <v>8.7200000000000006</v>
      </c>
      <c r="I136">
        <v>12.93</v>
      </c>
      <c r="J136">
        <v>13.6</v>
      </c>
      <c r="K136">
        <v>13.09</v>
      </c>
      <c r="L136">
        <v>78.790000000000006</v>
      </c>
      <c r="M136">
        <v>74.069999999999993</v>
      </c>
      <c r="N136">
        <v>74.760000000000005</v>
      </c>
      <c r="O136">
        <v>5.94</v>
      </c>
      <c r="P136">
        <v>2.52</v>
      </c>
      <c r="Q136">
        <v>4.6500000000000004</v>
      </c>
      <c r="R136">
        <v>72.28</v>
      </c>
      <c r="S136">
        <v>77.69</v>
      </c>
      <c r="T136">
        <v>74.92</v>
      </c>
      <c r="U136">
        <v>87.24</v>
      </c>
      <c r="V136">
        <v>55.37</v>
      </c>
      <c r="W136">
        <v>71.31</v>
      </c>
      <c r="X136">
        <v>0.30099999999999999</v>
      </c>
      <c r="Y136">
        <v>94.01</v>
      </c>
      <c r="Z136">
        <v>16414.57</v>
      </c>
      <c r="AA136">
        <v>429736</v>
      </c>
    </row>
    <row r="137" spans="1:27" x14ac:dyDescent="0.35">
      <c r="A137" t="s">
        <v>144</v>
      </c>
      <c r="B137" t="s">
        <v>728</v>
      </c>
      <c r="C137" t="s">
        <v>149</v>
      </c>
      <c r="D137" t="str">
        <f t="shared" si="2"/>
        <v>18</v>
      </c>
      <c r="E137" t="s">
        <v>592</v>
      </c>
      <c r="F137">
        <v>7.58</v>
      </c>
      <c r="G137">
        <v>7</v>
      </c>
      <c r="H137">
        <v>7.3</v>
      </c>
      <c r="I137">
        <v>11.88</v>
      </c>
      <c r="J137">
        <v>12.14</v>
      </c>
      <c r="K137">
        <v>11.97</v>
      </c>
      <c r="L137">
        <v>73.53</v>
      </c>
      <c r="M137">
        <v>63.15</v>
      </c>
      <c r="N137">
        <v>69.400000000000006</v>
      </c>
      <c r="O137">
        <v>1.08</v>
      </c>
      <c r="P137">
        <v>5.74</v>
      </c>
      <c r="Q137">
        <v>2.68</v>
      </c>
      <c r="R137">
        <v>71.760000000000005</v>
      </c>
      <c r="S137">
        <v>76.680000000000007</v>
      </c>
      <c r="T137">
        <v>74.16</v>
      </c>
      <c r="U137">
        <v>89.88</v>
      </c>
      <c r="V137">
        <v>49.84</v>
      </c>
      <c r="W137">
        <v>69.86</v>
      </c>
      <c r="X137">
        <v>0.47599999999999998</v>
      </c>
      <c r="Y137">
        <v>85.88</v>
      </c>
      <c r="Z137">
        <v>15436.94</v>
      </c>
      <c r="AA137">
        <v>245211</v>
      </c>
    </row>
    <row r="138" spans="1:27" x14ac:dyDescent="0.35">
      <c r="A138" t="s">
        <v>145</v>
      </c>
      <c r="B138" t="s">
        <v>729</v>
      </c>
      <c r="C138" t="s">
        <v>149</v>
      </c>
      <c r="D138" t="str">
        <f t="shared" si="2"/>
        <v>18</v>
      </c>
      <c r="E138" t="s">
        <v>592</v>
      </c>
      <c r="F138">
        <v>8.1300000000000008</v>
      </c>
      <c r="G138">
        <v>7.48</v>
      </c>
      <c r="H138">
        <v>7.81</v>
      </c>
      <c r="I138">
        <v>11.99</v>
      </c>
      <c r="J138">
        <v>12.6</v>
      </c>
      <c r="K138">
        <v>12.13</v>
      </c>
      <c r="L138">
        <v>74.2</v>
      </c>
      <c r="M138">
        <v>66.78</v>
      </c>
      <c r="N138">
        <v>70.61</v>
      </c>
      <c r="O138">
        <v>2.82</v>
      </c>
      <c r="P138">
        <v>5.24</v>
      </c>
      <c r="Q138">
        <v>3.71</v>
      </c>
      <c r="R138">
        <v>72.02</v>
      </c>
      <c r="S138">
        <v>77.22</v>
      </c>
      <c r="T138">
        <v>74.55</v>
      </c>
      <c r="U138">
        <v>89.66</v>
      </c>
      <c r="V138">
        <v>53.68</v>
      </c>
      <c r="W138">
        <v>71.67</v>
      </c>
      <c r="X138">
        <v>0.28499999999999998</v>
      </c>
      <c r="Y138">
        <v>90</v>
      </c>
      <c r="Z138">
        <v>16862.32</v>
      </c>
      <c r="AA138">
        <v>301790</v>
      </c>
    </row>
    <row r="139" spans="1:27" x14ac:dyDescent="0.35">
      <c r="A139" t="s">
        <v>146</v>
      </c>
      <c r="B139" t="s">
        <v>730</v>
      </c>
      <c r="C139" t="s">
        <v>149</v>
      </c>
      <c r="D139" t="str">
        <f t="shared" si="2"/>
        <v>18</v>
      </c>
      <c r="E139" t="s">
        <v>592</v>
      </c>
      <c r="F139">
        <v>8.9700000000000006</v>
      </c>
      <c r="G139">
        <v>8.69</v>
      </c>
      <c r="H139">
        <v>8.76</v>
      </c>
      <c r="I139">
        <v>12.24</v>
      </c>
      <c r="J139">
        <v>12.5</v>
      </c>
      <c r="K139">
        <v>12.31</v>
      </c>
      <c r="L139">
        <v>74.180000000000007</v>
      </c>
      <c r="M139">
        <v>70.709999999999994</v>
      </c>
      <c r="N139">
        <v>71.72</v>
      </c>
      <c r="O139">
        <v>2.2799999999999998</v>
      </c>
      <c r="P139">
        <v>4.7</v>
      </c>
      <c r="Q139">
        <v>3.27</v>
      </c>
      <c r="R139">
        <v>71.790000000000006</v>
      </c>
      <c r="S139">
        <v>76.75</v>
      </c>
      <c r="T139">
        <v>74.209999999999994</v>
      </c>
      <c r="U139">
        <v>84.34</v>
      </c>
      <c r="V139">
        <v>63.28</v>
      </c>
      <c r="W139">
        <v>73.81</v>
      </c>
      <c r="X139">
        <v>0.45700000000000002</v>
      </c>
      <c r="Y139">
        <v>95.32</v>
      </c>
      <c r="Z139">
        <v>6679.74</v>
      </c>
      <c r="AA139">
        <v>174861</v>
      </c>
    </row>
    <row r="140" spans="1:27" x14ac:dyDescent="0.35">
      <c r="A140" t="s">
        <v>147</v>
      </c>
      <c r="B140" t="s">
        <v>731</v>
      </c>
      <c r="C140" t="s">
        <v>149</v>
      </c>
      <c r="D140" t="str">
        <f t="shared" si="2"/>
        <v>18</v>
      </c>
      <c r="E140" t="s">
        <v>592</v>
      </c>
      <c r="F140">
        <v>11.46</v>
      </c>
      <c r="G140">
        <v>10.99</v>
      </c>
      <c r="H140">
        <v>11.11</v>
      </c>
      <c r="I140">
        <v>14.56</v>
      </c>
      <c r="J140">
        <v>14.94</v>
      </c>
      <c r="K140">
        <v>14.74</v>
      </c>
      <c r="L140">
        <v>84.51</v>
      </c>
      <c r="M140">
        <v>80.61</v>
      </c>
      <c r="N140">
        <v>81.260000000000005</v>
      </c>
      <c r="O140">
        <v>6.91</v>
      </c>
      <c r="P140">
        <v>8.51</v>
      </c>
      <c r="Q140">
        <v>7.53</v>
      </c>
      <c r="R140">
        <v>72.52</v>
      </c>
      <c r="S140">
        <v>78.03</v>
      </c>
      <c r="T140">
        <v>75.209999999999994</v>
      </c>
      <c r="U140">
        <v>81.010000000000005</v>
      </c>
      <c r="V140">
        <v>52.8</v>
      </c>
      <c r="W140">
        <v>66.91</v>
      </c>
      <c r="X140">
        <v>0.31</v>
      </c>
      <c r="Y140">
        <v>95.39</v>
      </c>
      <c r="Z140">
        <v>85979.57</v>
      </c>
      <c r="AA140">
        <v>1226211</v>
      </c>
    </row>
    <row r="141" spans="1:27" x14ac:dyDescent="0.35">
      <c r="A141" t="s">
        <v>148</v>
      </c>
      <c r="B141" t="s">
        <v>732</v>
      </c>
      <c r="C141" t="s">
        <v>149</v>
      </c>
      <c r="D141" t="str">
        <f t="shared" si="2"/>
        <v>18</v>
      </c>
      <c r="E141" t="s">
        <v>592</v>
      </c>
      <c r="F141">
        <v>11.42</v>
      </c>
      <c r="G141">
        <v>11.12</v>
      </c>
      <c r="H141">
        <v>11.19</v>
      </c>
      <c r="I141">
        <v>14.91</v>
      </c>
      <c r="J141">
        <v>15.18</v>
      </c>
      <c r="K141">
        <v>14.97</v>
      </c>
      <c r="L141">
        <v>83.48</v>
      </c>
      <c r="M141">
        <v>80.930000000000007</v>
      </c>
      <c r="N141">
        <v>81.22</v>
      </c>
      <c r="O141">
        <v>3.75</v>
      </c>
      <c r="P141">
        <v>3.23</v>
      </c>
      <c r="Q141">
        <v>3.54</v>
      </c>
      <c r="R141">
        <v>73.06</v>
      </c>
      <c r="S141">
        <v>78.81</v>
      </c>
      <c r="T141">
        <v>75.86</v>
      </c>
      <c r="U141">
        <v>82.85</v>
      </c>
      <c r="V141">
        <v>56.79</v>
      </c>
      <c r="W141">
        <v>69.819999999999993</v>
      </c>
      <c r="X141">
        <v>0.14399999999999999</v>
      </c>
      <c r="Y141">
        <v>96.95</v>
      </c>
      <c r="Z141">
        <v>9185.2000000000007</v>
      </c>
      <c r="AA141">
        <v>177523</v>
      </c>
    </row>
    <row r="142" spans="1:27" x14ac:dyDescent="0.35">
      <c r="A142" t="s">
        <v>150</v>
      </c>
      <c r="B142" t="s">
        <v>733</v>
      </c>
      <c r="C142" t="s">
        <v>157</v>
      </c>
      <c r="D142" t="str">
        <f t="shared" si="2"/>
        <v>19</v>
      </c>
      <c r="E142" t="s">
        <v>592</v>
      </c>
      <c r="F142">
        <v>9.18</v>
      </c>
      <c r="G142">
        <v>8.5</v>
      </c>
      <c r="H142">
        <v>8.77</v>
      </c>
      <c r="I142">
        <v>13.13</v>
      </c>
      <c r="J142">
        <v>13.47</v>
      </c>
      <c r="K142">
        <v>13.13</v>
      </c>
      <c r="L142">
        <v>79.62</v>
      </c>
      <c r="M142">
        <v>71.150000000000006</v>
      </c>
      <c r="N142">
        <v>75.38</v>
      </c>
      <c r="O142">
        <v>3.79</v>
      </c>
      <c r="P142">
        <v>6.46</v>
      </c>
      <c r="Q142">
        <v>4.75</v>
      </c>
      <c r="R142">
        <v>71.37</v>
      </c>
      <c r="S142">
        <v>75.86</v>
      </c>
      <c r="T142">
        <v>73.56</v>
      </c>
      <c r="U142">
        <v>84.59</v>
      </c>
      <c r="V142">
        <v>50.29</v>
      </c>
      <c r="W142">
        <v>67.44</v>
      </c>
      <c r="X142">
        <v>0.34</v>
      </c>
      <c r="Y142">
        <v>89.36</v>
      </c>
      <c r="Z142">
        <v>21896.44</v>
      </c>
      <c r="AA142">
        <v>346069</v>
      </c>
    </row>
    <row r="143" spans="1:27" x14ac:dyDescent="0.35">
      <c r="A143" t="s">
        <v>151</v>
      </c>
      <c r="B143" t="s">
        <v>734</v>
      </c>
      <c r="C143" t="s">
        <v>157</v>
      </c>
      <c r="D143" t="str">
        <f t="shared" si="2"/>
        <v>19</v>
      </c>
      <c r="E143" t="s">
        <v>592</v>
      </c>
      <c r="F143">
        <v>9.16</v>
      </c>
      <c r="G143">
        <v>9.0299999999999994</v>
      </c>
      <c r="H143">
        <v>9.11</v>
      </c>
      <c r="I143">
        <v>11.92</v>
      </c>
      <c r="J143">
        <v>12.31</v>
      </c>
      <c r="K143">
        <v>12.1</v>
      </c>
      <c r="L143">
        <v>78.849999999999994</v>
      </c>
      <c r="M143">
        <v>71.06</v>
      </c>
      <c r="N143">
        <v>75.290000000000006</v>
      </c>
      <c r="O143">
        <v>2.75</v>
      </c>
      <c r="P143">
        <v>5.12</v>
      </c>
      <c r="Q143">
        <v>3.64</v>
      </c>
      <c r="R143">
        <v>71.09</v>
      </c>
      <c r="S143">
        <v>75.27</v>
      </c>
      <c r="T143">
        <v>73.13</v>
      </c>
      <c r="U143">
        <v>85.09</v>
      </c>
      <c r="V143">
        <v>52.76</v>
      </c>
      <c r="W143">
        <v>68.930000000000007</v>
      </c>
      <c r="X143">
        <v>0.35499999999999998</v>
      </c>
      <c r="Y143">
        <v>90.12</v>
      </c>
      <c r="Z143">
        <v>15243.01</v>
      </c>
      <c r="AA143">
        <v>193559</v>
      </c>
    </row>
    <row r="144" spans="1:27" x14ac:dyDescent="0.35">
      <c r="A144" t="s">
        <v>152</v>
      </c>
      <c r="B144" t="s">
        <v>735</v>
      </c>
      <c r="C144" t="s">
        <v>157</v>
      </c>
      <c r="D144" t="str">
        <f t="shared" si="2"/>
        <v>19</v>
      </c>
      <c r="E144" t="s">
        <v>592</v>
      </c>
      <c r="F144">
        <v>8.23</v>
      </c>
      <c r="G144">
        <v>7.8</v>
      </c>
      <c r="H144">
        <v>7.8</v>
      </c>
      <c r="I144">
        <v>11.78</v>
      </c>
      <c r="J144">
        <v>12.21</v>
      </c>
      <c r="K144">
        <v>11.95</v>
      </c>
      <c r="L144">
        <v>76.319999999999993</v>
      </c>
      <c r="M144">
        <v>69.5</v>
      </c>
      <c r="N144">
        <v>72.23</v>
      </c>
      <c r="O144">
        <v>3.68</v>
      </c>
      <c r="P144">
        <v>5.86</v>
      </c>
      <c r="Q144">
        <v>4.49</v>
      </c>
      <c r="R144">
        <v>70.39</v>
      </c>
      <c r="S144">
        <v>74.400000000000006</v>
      </c>
      <c r="T144">
        <v>72.349999999999994</v>
      </c>
      <c r="U144">
        <v>87.07</v>
      </c>
      <c r="V144">
        <v>54.38</v>
      </c>
      <c r="W144">
        <v>70.73</v>
      </c>
      <c r="X144">
        <v>0.23599999999999999</v>
      </c>
      <c r="Y144">
        <v>91.06</v>
      </c>
      <c r="Z144">
        <v>21406.32</v>
      </c>
      <c r="AA144">
        <v>218748</v>
      </c>
    </row>
    <row r="145" spans="1:27" x14ac:dyDescent="0.35">
      <c r="A145" t="s">
        <v>153</v>
      </c>
      <c r="B145" t="s">
        <v>736</v>
      </c>
      <c r="C145" t="s">
        <v>157</v>
      </c>
      <c r="D145" t="str">
        <f t="shared" si="2"/>
        <v>19</v>
      </c>
      <c r="E145" t="s">
        <v>592</v>
      </c>
      <c r="F145">
        <v>7.68</v>
      </c>
      <c r="G145">
        <v>7.09</v>
      </c>
      <c r="H145">
        <v>7.33</v>
      </c>
      <c r="I145">
        <v>12.23</v>
      </c>
      <c r="J145">
        <v>13.05</v>
      </c>
      <c r="K145">
        <v>12.34</v>
      </c>
      <c r="L145">
        <v>76.84</v>
      </c>
      <c r="M145">
        <v>71.33</v>
      </c>
      <c r="N145">
        <v>73.099999999999994</v>
      </c>
      <c r="O145">
        <v>2.54</v>
      </c>
      <c r="P145">
        <v>7.22</v>
      </c>
      <c r="Q145">
        <v>4.21</v>
      </c>
      <c r="R145">
        <v>71.73</v>
      </c>
      <c r="S145">
        <v>76.61</v>
      </c>
      <c r="T145">
        <v>74.11</v>
      </c>
      <c r="U145">
        <v>87.43</v>
      </c>
      <c r="V145">
        <v>51.9</v>
      </c>
      <c r="W145">
        <v>69.67</v>
      </c>
      <c r="X145">
        <v>0.39600000000000002</v>
      </c>
      <c r="Y145">
        <v>92.83</v>
      </c>
      <c r="Z145">
        <v>12935.8</v>
      </c>
      <c r="AA145">
        <v>213494</v>
      </c>
    </row>
    <row r="146" spans="1:27" x14ac:dyDescent="0.35">
      <c r="A146" t="s">
        <v>154</v>
      </c>
      <c r="B146" t="s">
        <v>737</v>
      </c>
      <c r="C146" t="s">
        <v>157</v>
      </c>
      <c r="D146" t="str">
        <f t="shared" si="2"/>
        <v>19</v>
      </c>
      <c r="E146" t="s">
        <v>592</v>
      </c>
      <c r="F146">
        <v>7.41</v>
      </c>
      <c r="G146">
        <v>7.06</v>
      </c>
      <c r="H146">
        <v>7.25</v>
      </c>
      <c r="I146">
        <v>11.7</v>
      </c>
      <c r="J146">
        <v>12.25</v>
      </c>
      <c r="K146">
        <v>11.78</v>
      </c>
      <c r="L146">
        <v>75.06</v>
      </c>
      <c r="M146">
        <v>64.540000000000006</v>
      </c>
      <c r="N146">
        <v>70.83</v>
      </c>
      <c r="O146">
        <v>3.98</v>
      </c>
      <c r="P146">
        <v>5.43</v>
      </c>
      <c r="Q146">
        <v>4.4800000000000004</v>
      </c>
      <c r="R146">
        <v>70.12</v>
      </c>
      <c r="S146">
        <v>74.12</v>
      </c>
      <c r="T146">
        <v>72.069999999999993</v>
      </c>
      <c r="U146">
        <v>91.02</v>
      </c>
      <c r="V146">
        <v>51.33</v>
      </c>
      <c r="W146">
        <v>71.180000000000007</v>
      </c>
      <c r="X146">
        <v>0.38500000000000001</v>
      </c>
      <c r="Y146">
        <v>85.98</v>
      </c>
      <c r="Z146">
        <v>13087.97</v>
      </c>
      <c r="AA146">
        <v>211114</v>
      </c>
    </row>
    <row r="147" spans="1:27" x14ac:dyDescent="0.35">
      <c r="A147" t="s">
        <v>155</v>
      </c>
      <c r="B147" t="s">
        <v>738</v>
      </c>
      <c r="C147" t="s">
        <v>157</v>
      </c>
      <c r="D147" t="str">
        <f t="shared" si="2"/>
        <v>19</v>
      </c>
      <c r="E147" t="s">
        <v>592</v>
      </c>
      <c r="F147">
        <v>9.0399999999999991</v>
      </c>
      <c r="G147">
        <v>9.02</v>
      </c>
      <c r="H147">
        <v>9.0299999999999994</v>
      </c>
      <c r="I147">
        <v>11.67</v>
      </c>
      <c r="J147">
        <v>12.23</v>
      </c>
      <c r="K147">
        <v>11.78</v>
      </c>
      <c r="L147">
        <v>77.88</v>
      </c>
      <c r="M147">
        <v>68.97</v>
      </c>
      <c r="N147">
        <v>73.989999999999995</v>
      </c>
      <c r="O147">
        <v>2.71</v>
      </c>
      <c r="P147">
        <v>3.67</v>
      </c>
      <c r="Q147">
        <v>3.05</v>
      </c>
      <c r="R147">
        <v>71.73</v>
      </c>
      <c r="S147">
        <v>76.62</v>
      </c>
      <c r="T147">
        <v>74.12</v>
      </c>
      <c r="U147">
        <v>86.98</v>
      </c>
      <c r="V147">
        <v>49.97</v>
      </c>
      <c r="W147">
        <v>68.48</v>
      </c>
      <c r="X147">
        <v>0.70199999999999996</v>
      </c>
      <c r="Y147">
        <v>88.56</v>
      </c>
      <c r="Z147">
        <v>11978.07</v>
      </c>
      <c r="AA147">
        <v>134371</v>
      </c>
    </row>
    <row r="148" spans="1:27" x14ac:dyDescent="0.35">
      <c r="A148" t="s">
        <v>156</v>
      </c>
      <c r="B148" t="s">
        <v>1104</v>
      </c>
      <c r="C148" t="s">
        <v>157</v>
      </c>
      <c r="D148" t="str">
        <f t="shared" si="2"/>
        <v>19</v>
      </c>
      <c r="E148" t="s">
        <v>592</v>
      </c>
      <c r="F148">
        <v>11.05</v>
      </c>
      <c r="G148">
        <v>10.75</v>
      </c>
      <c r="H148">
        <v>10.9</v>
      </c>
      <c r="I148">
        <v>13.49</v>
      </c>
      <c r="J148">
        <v>13.53</v>
      </c>
      <c r="K148">
        <v>13.5</v>
      </c>
      <c r="L148">
        <v>84.7</v>
      </c>
      <c r="M148">
        <v>80.709999999999994</v>
      </c>
      <c r="N148">
        <v>81.64</v>
      </c>
      <c r="O148">
        <v>6.31</v>
      </c>
      <c r="P148">
        <v>4.8600000000000003</v>
      </c>
      <c r="Q148">
        <v>5.73</v>
      </c>
      <c r="R148">
        <v>72.88</v>
      </c>
      <c r="S148">
        <v>78.55</v>
      </c>
      <c r="T148">
        <v>75.64</v>
      </c>
      <c r="U148">
        <v>80.290000000000006</v>
      </c>
      <c r="V148">
        <v>53.71</v>
      </c>
      <c r="W148">
        <v>67</v>
      </c>
      <c r="X148">
        <v>0.22900000000000001</v>
      </c>
      <c r="Y148">
        <v>95.29</v>
      </c>
      <c r="Z148">
        <v>20361.259999999998</v>
      </c>
      <c r="AA148">
        <v>233466</v>
      </c>
    </row>
    <row r="149" spans="1:27" x14ac:dyDescent="0.35">
      <c r="A149" t="s">
        <v>158</v>
      </c>
      <c r="B149" t="s">
        <v>739</v>
      </c>
      <c r="C149" t="s">
        <v>165</v>
      </c>
      <c r="D149" t="str">
        <f t="shared" si="2"/>
        <v>21</v>
      </c>
      <c r="E149" t="s">
        <v>592</v>
      </c>
      <c r="F149">
        <v>9.1</v>
      </c>
      <c r="G149">
        <v>8.9700000000000006</v>
      </c>
      <c r="H149">
        <v>9.06</v>
      </c>
      <c r="I149">
        <v>12.57</v>
      </c>
      <c r="J149">
        <v>13.11</v>
      </c>
      <c r="K149">
        <v>12.63</v>
      </c>
      <c r="L149">
        <v>79.900000000000006</v>
      </c>
      <c r="M149">
        <v>74.37</v>
      </c>
      <c r="N149">
        <v>76.08</v>
      </c>
      <c r="O149">
        <v>7.54</v>
      </c>
      <c r="P149">
        <v>4.18</v>
      </c>
      <c r="Q149">
        <v>6.31</v>
      </c>
      <c r="R149">
        <v>72.39</v>
      </c>
      <c r="S149">
        <v>77.849999999999994</v>
      </c>
      <c r="T149">
        <v>75.05</v>
      </c>
      <c r="U149">
        <v>82.54</v>
      </c>
      <c r="V149">
        <v>50.26</v>
      </c>
      <c r="W149">
        <v>66.400000000000006</v>
      </c>
      <c r="X149">
        <v>0.21199999999999999</v>
      </c>
      <c r="Y149">
        <v>93.08</v>
      </c>
      <c r="Z149">
        <v>19945.96</v>
      </c>
      <c r="AA149">
        <v>266009</v>
      </c>
    </row>
    <row r="150" spans="1:27" x14ac:dyDescent="0.35">
      <c r="A150" t="s">
        <v>159</v>
      </c>
      <c r="B150" t="s">
        <v>740</v>
      </c>
      <c r="C150" t="s">
        <v>165</v>
      </c>
      <c r="D150" t="str">
        <f t="shared" si="2"/>
        <v>21</v>
      </c>
      <c r="E150" t="s">
        <v>592</v>
      </c>
      <c r="F150">
        <v>9.5500000000000007</v>
      </c>
      <c r="G150">
        <v>9.44</v>
      </c>
      <c r="H150">
        <v>9.4499999999999993</v>
      </c>
      <c r="I150">
        <v>13.35</v>
      </c>
      <c r="J150">
        <v>14.2</v>
      </c>
      <c r="K150">
        <v>13.46</v>
      </c>
      <c r="L150">
        <v>82.17</v>
      </c>
      <c r="M150">
        <v>77.989999999999995</v>
      </c>
      <c r="N150">
        <v>78.650000000000006</v>
      </c>
      <c r="O150">
        <v>5.41</v>
      </c>
      <c r="P150">
        <v>3.75</v>
      </c>
      <c r="Q150">
        <v>4.8099999999999996</v>
      </c>
      <c r="R150">
        <v>72.52</v>
      </c>
      <c r="S150">
        <v>78.03</v>
      </c>
      <c r="T150">
        <v>75.209999999999994</v>
      </c>
      <c r="U150">
        <v>84.01</v>
      </c>
      <c r="V150">
        <v>50.62</v>
      </c>
      <c r="W150">
        <v>67.319999999999993</v>
      </c>
      <c r="X150">
        <v>0.26700000000000002</v>
      </c>
      <c r="Y150">
        <v>94.91</v>
      </c>
      <c r="Z150">
        <v>33013.279999999999</v>
      </c>
      <c r="AA150">
        <v>170455</v>
      </c>
    </row>
    <row r="151" spans="1:27" x14ac:dyDescent="0.35">
      <c r="A151" t="s">
        <v>160</v>
      </c>
      <c r="B151" t="s">
        <v>741</v>
      </c>
      <c r="C151" t="s">
        <v>165</v>
      </c>
      <c r="D151" t="str">
        <f t="shared" si="2"/>
        <v>21</v>
      </c>
      <c r="E151" t="s">
        <v>592</v>
      </c>
      <c r="F151">
        <v>9.6999999999999993</v>
      </c>
      <c r="G151">
        <v>9.25</v>
      </c>
      <c r="H151">
        <v>9.25</v>
      </c>
      <c r="I151">
        <v>13.81</v>
      </c>
      <c r="J151">
        <v>14.19</v>
      </c>
      <c r="K151">
        <v>13.95</v>
      </c>
      <c r="L151">
        <v>82.51</v>
      </c>
      <c r="M151">
        <v>76.83</v>
      </c>
      <c r="N151">
        <v>78.94</v>
      </c>
      <c r="O151">
        <v>4.88</v>
      </c>
      <c r="P151">
        <v>2.72</v>
      </c>
      <c r="Q151">
        <v>3.98</v>
      </c>
      <c r="R151">
        <v>72.150000000000006</v>
      </c>
      <c r="S151">
        <v>77.510000000000005</v>
      </c>
      <c r="T151">
        <v>74.77</v>
      </c>
      <c r="U151">
        <v>80.16</v>
      </c>
      <c r="V151">
        <v>61.02</v>
      </c>
      <c r="W151">
        <v>70.59</v>
      </c>
      <c r="X151">
        <v>0.76300000000000001</v>
      </c>
      <c r="Y151">
        <v>93.12</v>
      </c>
      <c r="Z151">
        <v>24416.560000000001</v>
      </c>
      <c r="AA151">
        <v>86757</v>
      </c>
    </row>
    <row r="152" spans="1:27" x14ac:dyDescent="0.35">
      <c r="A152" t="s">
        <v>161</v>
      </c>
      <c r="B152" t="s">
        <v>742</v>
      </c>
      <c r="C152" t="s">
        <v>165</v>
      </c>
      <c r="D152" t="str">
        <f t="shared" si="2"/>
        <v>21</v>
      </c>
      <c r="E152" t="s">
        <v>592</v>
      </c>
      <c r="F152">
        <v>7.95</v>
      </c>
      <c r="G152">
        <v>7.66</v>
      </c>
      <c r="H152">
        <v>7.87</v>
      </c>
      <c r="I152">
        <v>12.93</v>
      </c>
      <c r="J152">
        <v>12.76</v>
      </c>
      <c r="K152">
        <v>12.77</v>
      </c>
      <c r="L152">
        <v>77.78</v>
      </c>
      <c r="M152">
        <v>71.58</v>
      </c>
      <c r="N152">
        <v>73.819999999999993</v>
      </c>
      <c r="O152">
        <v>4.9800000000000004</v>
      </c>
      <c r="P152">
        <v>0.79</v>
      </c>
      <c r="Q152">
        <v>3.52</v>
      </c>
      <c r="R152">
        <v>71.680000000000007</v>
      </c>
      <c r="S152">
        <v>76.510000000000005</v>
      </c>
      <c r="T152">
        <v>74.040000000000006</v>
      </c>
      <c r="U152">
        <v>83.03</v>
      </c>
      <c r="V152">
        <v>47.85</v>
      </c>
      <c r="W152">
        <v>65.44</v>
      </c>
      <c r="X152">
        <v>0.46500000000000002</v>
      </c>
      <c r="Y152">
        <v>92.03</v>
      </c>
      <c r="Z152">
        <v>5953.28</v>
      </c>
      <c r="AA152">
        <v>102949</v>
      </c>
    </row>
    <row r="153" spans="1:27" x14ac:dyDescent="0.35">
      <c r="A153" t="s">
        <v>162</v>
      </c>
      <c r="B153" t="s">
        <v>743</v>
      </c>
      <c r="C153" t="s">
        <v>165</v>
      </c>
      <c r="D153" t="str">
        <f t="shared" si="2"/>
        <v>21</v>
      </c>
      <c r="E153" t="s">
        <v>592</v>
      </c>
      <c r="F153">
        <v>8.09</v>
      </c>
      <c r="G153">
        <v>7.71</v>
      </c>
      <c r="H153">
        <v>7.79</v>
      </c>
      <c r="I153">
        <v>13.02</v>
      </c>
      <c r="J153">
        <v>13.33</v>
      </c>
      <c r="K153">
        <v>13.07</v>
      </c>
      <c r="L153">
        <v>77.760000000000005</v>
      </c>
      <c r="M153">
        <v>71.66</v>
      </c>
      <c r="N153">
        <v>74.069999999999993</v>
      </c>
      <c r="O153">
        <v>2.33</v>
      </c>
      <c r="P153">
        <v>2.91</v>
      </c>
      <c r="Q153">
        <v>2.56</v>
      </c>
      <c r="R153">
        <v>71.69</v>
      </c>
      <c r="S153">
        <v>76.53</v>
      </c>
      <c r="T153">
        <v>74.05</v>
      </c>
      <c r="U153">
        <v>79.900000000000006</v>
      </c>
      <c r="V153">
        <v>55.41</v>
      </c>
      <c r="W153">
        <v>67.66</v>
      </c>
      <c r="X153">
        <v>0.43</v>
      </c>
      <c r="Y153">
        <v>92.16</v>
      </c>
      <c r="Z153">
        <v>20123.5</v>
      </c>
      <c r="AA153">
        <v>50362</v>
      </c>
    </row>
    <row r="154" spans="1:27" x14ac:dyDescent="0.35">
      <c r="A154" t="s">
        <v>163</v>
      </c>
      <c r="B154" t="s">
        <v>744</v>
      </c>
      <c r="C154" t="s">
        <v>165</v>
      </c>
      <c r="D154" t="str">
        <f t="shared" si="2"/>
        <v>21</v>
      </c>
      <c r="E154" t="s">
        <v>592</v>
      </c>
      <c r="F154">
        <v>11.52</v>
      </c>
      <c r="G154">
        <v>11.21</v>
      </c>
      <c r="H154">
        <v>11.34</v>
      </c>
      <c r="I154">
        <v>13.3</v>
      </c>
      <c r="J154">
        <v>13.71</v>
      </c>
      <c r="K154">
        <v>13.57</v>
      </c>
      <c r="L154">
        <v>86.22</v>
      </c>
      <c r="M154">
        <v>83.6</v>
      </c>
      <c r="N154">
        <v>83.8</v>
      </c>
      <c r="O154">
        <v>6.79</v>
      </c>
      <c r="P154">
        <v>8.86</v>
      </c>
      <c r="Q154">
        <v>7.57</v>
      </c>
      <c r="R154">
        <v>72.790000000000006</v>
      </c>
      <c r="S154">
        <v>78.430000000000007</v>
      </c>
      <c r="T154">
        <v>75.540000000000006</v>
      </c>
      <c r="U154">
        <v>85.35</v>
      </c>
      <c r="V154">
        <v>51.93</v>
      </c>
      <c r="W154">
        <v>68.64</v>
      </c>
      <c r="X154">
        <v>0.28000000000000003</v>
      </c>
      <c r="Y154">
        <v>96.96</v>
      </c>
      <c r="Z154">
        <v>253639.82</v>
      </c>
      <c r="AA154">
        <v>1296962</v>
      </c>
    </row>
    <row r="155" spans="1:27" x14ac:dyDescent="0.35">
      <c r="A155" t="s">
        <v>164</v>
      </c>
      <c r="B155" t="s">
        <v>1105</v>
      </c>
      <c r="C155" t="s">
        <v>165</v>
      </c>
      <c r="D155" t="str">
        <f t="shared" si="2"/>
        <v>21</v>
      </c>
      <c r="E155" t="s">
        <v>592</v>
      </c>
      <c r="F155">
        <v>10.98</v>
      </c>
      <c r="G155">
        <v>10.78</v>
      </c>
      <c r="H155">
        <v>10.8</v>
      </c>
      <c r="I155">
        <v>14.19</v>
      </c>
      <c r="J155">
        <v>14.64</v>
      </c>
      <c r="K155">
        <v>14.19</v>
      </c>
      <c r="L155">
        <v>83.98</v>
      </c>
      <c r="M155">
        <v>82.02</v>
      </c>
      <c r="N155">
        <v>82.02</v>
      </c>
      <c r="O155">
        <v>5.7</v>
      </c>
      <c r="P155">
        <v>3.25</v>
      </c>
      <c r="Q155">
        <v>4.72</v>
      </c>
      <c r="R155">
        <v>72.569999999999993</v>
      </c>
      <c r="S155">
        <v>78.099999999999994</v>
      </c>
      <c r="T155">
        <v>75.27</v>
      </c>
      <c r="U155">
        <v>80.67</v>
      </c>
      <c r="V155">
        <v>54.26</v>
      </c>
      <c r="W155">
        <v>67.47</v>
      </c>
      <c r="X155">
        <v>0.248</v>
      </c>
      <c r="Y155">
        <v>97.67</v>
      </c>
      <c r="Z155">
        <v>26638.82</v>
      </c>
      <c r="AA155">
        <v>239962</v>
      </c>
    </row>
    <row r="156" spans="1:27" x14ac:dyDescent="0.35">
      <c r="A156" t="s">
        <v>166</v>
      </c>
      <c r="B156" t="s">
        <v>1106</v>
      </c>
      <c r="C156" t="s">
        <v>172</v>
      </c>
      <c r="D156" t="str">
        <f t="shared" si="2"/>
        <v>31</v>
      </c>
      <c r="E156" t="s">
        <v>586</v>
      </c>
      <c r="F156">
        <v>9.58</v>
      </c>
      <c r="G156">
        <v>9.08</v>
      </c>
      <c r="H156">
        <v>9.27</v>
      </c>
      <c r="I156">
        <v>13.52</v>
      </c>
      <c r="J156">
        <v>12.76</v>
      </c>
      <c r="K156">
        <v>12.97</v>
      </c>
      <c r="L156">
        <v>81.11</v>
      </c>
      <c r="M156">
        <v>76.94</v>
      </c>
      <c r="N156">
        <v>77.52</v>
      </c>
      <c r="O156">
        <v>6.9</v>
      </c>
      <c r="P156">
        <v>8.82</v>
      </c>
      <c r="Q156">
        <v>7.71</v>
      </c>
      <c r="R156">
        <v>72.55</v>
      </c>
      <c r="S156">
        <v>78.069999999999993</v>
      </c>
      <c r="T156">
        <v>75.239999999999995</v>
      </c>
      <c r="U156">
        <v>84.25</v>
      </c>
      <c r="V156">
        <v>59.94</v>
      </c>
      <c r="W156">
        <v>72.099999999999994</v>
      </c>
      <c r="X156">
        <v>0.19900000000000001</v>
      </c>
      <c r="Y156">
        <v>94.86</v>
      </c>
      <c r="Z156">
        <v>7451.41</v>
      </c>
      <c r="AA156">
        <v>29088</v>
      </c>
    </row>
    <row r="157" spans="1:27" x14ac:dyDescent="0.35">
      <c r="A157" t="s">
        <v>167</v>
      </c>
      <c r="B157" t="s">
        <v>1107</v>
      </c>
      <c r="C157" t="s">
        <v>172</v>
      </c>
      <c r="D157" t="str">
        <f t="shared" si="2"/>
        <v>31</v>
      </c>
      <c r="E157" t="s">
        <v>586</v>
      </c>
      <c r="F157">
        <v>12.39</v>
      </c>
      <c r="G157">
        <v>11.83</v>
      </c>
      <c r="H157">
        <v>12.06</v>
      </c>
      <c r="I157">
        <v>14.32</v>
      </c>
      <c r="J157">
        <v>14.2</v>
      </c>
      <c r="K157">
        <v>14.28</v>
      </c>
      <c r="L157">
        <v>88.79</v>
      </c>
      <c r="M157">
        <v>88.13</v>
      </c>
      <c r="N157">
        <v>88.51</v>
      </c>
      <c r="O157">
        <v>6.66</v>
      </c>
      <c r="P157">
        <v>2.65</v>
      </c>
      <c r="Q157">
        <v>5.09</v>
      </c>
      <c r="R157">
        <v>73.62</v>
      </c>
      <c r="S157">
        <v>79.62</v>
      </c>
      <c r="T157">
        <v>76.55</v>
      </c>
      <c r="U157">
        <v>78.91</v>
      </c>
      <c r="V157">
        <v>50.38</v>
      </c>
      <c r="W157">
        <v>64.650000000000006</v>
      </c>
      <c r="X157">
        <v>0.124</v>
      </c>
      <c r="Y157">
        <v>99.26</v>
      </c>
      <c r="Z157">
        <v>907809.26</v>
      </c>
      <c r="AA157">
        <v>2219225</v>
      </c>
    </row>
    <row r="158" spans="1:27" x14ac:dyDescent="0.35">
      <c r="A158" t="s">
        <v>168</v>
      </c>
      <c r="B158" t="s">
        <v>1108</v>
      </c>
      <c r="C158" t="s">
        <v>172</v>
      </c>
      <c r="D158" t="str">
        <f t="shared" si="2"/>
        <v>31</v>
      </c>
      <c r="E158" t="s">
        <v>586</v>
      </c>
      <c r="F158">
        <v>12.32</v>
      </c>
      <c r="G158">
        <v>11.85</v>
      </c>
      <c r="H158">
        <v>12.01</v>
      </c>
      <c r="I158">
        <v>13.98</v>
      </c>
      <c r="J158">
        <v>14.47</v>
      </c>
      <c r="K158">
        <v>14.32</v>
      </c>
      <c r="L158">
        <v>88.01</v>
      </c>
      <c r="M158">
        <v>85.47</v>
      </c>
      <c r="N158">
        <v>85.51</v>
      </c>
      <c r="O158">
        <v>6.27</v>
      </c>
      <c r="P158">
        <v>7.56</v>
      </c>
      <c r="Q158">
        <v>6.78</v>
      </c>
      <c r="R158">
        <v>74.12</v>
      </c>
      <c r="S158">
        <v>78.88</v>
      </c>
      <c r="T158">
        <v>75.930000000000007</v>
      </c>
      <c r="U158">
        <v>78.91</v>
      </c>
      <c r="V158">
        <v>49.48</v>
      </c>
      <c r="W158">
        <v>64.2</v>
      </c>
      <c r="X158">
        <v>0.13</v>
      </c>
      <c r="Y158">
        <v>97.11</v>
      </c>
      <c r="Z158">
        <v>674156.6</v>
      </c>
      <c r="AA158">
        <v>3085058</v>
      </c>
    </row>
    <row r="159" spans="1:27" x14ac:dyDescent="0.35">
      <c r="A159" t="s">
        <v>169</v>
      </c>
      <c r="B159" t="s">
        <v>1109</v>
      </c>
      <c r="C159" t="s">
        <v>172</v>
      </c>
      <c r="D159" t="str">
        <f t="shared" si="2"/>
        <v>31</v>
      </c>
      <c r="E159" t="s">
        <v>586</v>
      </c>
      <c r="F159">
        <v>11.88</v>
      </c>
      <c r="G159">
        <v>11.41</v>
      </c>
      <c r="H159">
        <v>11.62</v>
      </c>
      <c r="I159">
        <v>13.53</v>
      </c>
      <c r="J159">
        <v>13.5</v>
      </c>
      <c r="K159">
        <v>13.5</v>
      </c>
      <c r="L159">
        <v>85.75</v>
      </c>
      <c r="M159">
        <v>84.12</v>
      </c>
      <c r="N159">
        <v>84.45</v>
      </c>
      <c r="O159">
        <v>6.39</v>
      </c>
      <c r="P159">
        <v>5.61</v>
      </c>
      <c r="Q159">
        <v>6.09</v>
      </c>
      <c r="R159">
        <v>73.92</v>
      </c>
      <c r="S159">
        <v>80.05</v>
      </c>
      <c r="T159">
        <v>76.91</v>
      </c>
      <c r="U159">
        <v>79.650000000000006</v>
      </c>
      <c r="V159">
        <v>50.65</v>
      </c>
      <c r="W159">
        <v>65.150000000000006</v>
      </c>
      <c r="X159">
        <v>0.14199999999999999</v>
      </c>
      <c r="Y159">
        <v>98.1</v>
      </c>
      <c r="Z159">
        <v>985621.24</v>
      </c>
      <c r="AA159">
        <v>1038396</v>
      </c>
    </row>
    <row r="160" spans="1:27" x14ac:dyDescent="0.35">
      <c r="A160" t="s">
        <v>170</v>
      </c>
      <c r="B160" t="s">
        <v>1110</v>
      </c>
      <c r="C160" t="s">
        <v>172</v>
      </c>
      <c r="D160" t="str">
        <f t="shared" si="2"/>
        <v>31</v>
      </c>
      <c r="E160" t="s">
        <v>586</v>
      </c>
      <c r="F160">
        <v>11.66</v>
      </c>
      <c r="G160">
        <v>10.84</v>
      </c>
      <c r="H160">
        <v>11.25</v>
      </c>
      <c r="I160">
        <v>13.52</v>
      </c>
      <c r="J160">
        <v>13.47</v>
      </c>
      <c r="K160">
        <v>13.47</v>
      </c>
      <c r="L160">
        <v>86.92</v>
      </c>
      <c r="M160">
        <v>84.4</v>
      </c>
      <c r="N160">
        <v>85.18</v>
      </c>
      <c r="O160">
        <v>6</v>
      </c>
      <c r="P160">
        <v>6.06</v>
      </c>
      <c r="Q160">
        <v>6.02</v>
      </c>
      <c r="R160">
        <v>73.36</v>
      </c>
      <c r="S160">
        <v>79.25</v>
      </c>
      <c r="T160">
        <v>76.23</v>
      </c>
      <c r="U160">
        <v>79.239999999999995</v>
      </c>
      <c r="V160">
        <v>48.2</v>
      </c>
      <c r="W160">
        <v>63.72</v>
      </c>
      <c r="X160">
        <v>0.14699999999999999</v>
      </c>
      <c r="Y160">
        <v>97.1</v>
      </c>
      <c r="Z160">
        <v>670134.93999999994</v>
      </c>
      <c r="AA160">
        <v>2487199</v>
      </c>
    </row>
    <row r="161" spans="1:27" x14ac:dyDescent="0.35">
      <c r="A161" t="s">
        <v>171</v>
      </c>
      <c r="B161" t="s">
        <v>1111</v>
      </c>
      <c r="C161" t="s">
        <v>172</v>
      </c>
      <c r="D161" t="str">
        <f t="shared" si="2"/>
        <v>31</v>
      </c>
      <c r="E161" t="s">
        <v>586</v>
      </c>
      <c r="F161">
        <v>11.4</v>
      </c>
      <c r="G161">
        <v>10.67</v>
      </c>
      <c r="H161">
        <v>11.08</v>
      </c>
      <c r="I161">
        <v>13.35</v>
      </c>
      <c r="J161">
        <v>12.99</v>
      </c>
      <c r="K161">
        <v>13.05</v>
      </c>
      <c r="L161">
        <v>86.02</v>
      </c>
      <c r="M161">
        <v>82.45</v>
      </c>
      <c r="N161">
        <v>83.12</v>
      </c>
      <c r="O161">
        <v>5.77</v>
      </c>
      <c r="P161">
        <v>6.42</v>
      </c>
      <c r="Q161">
        <v>6.02</v>
      </c>
      <c r="R161">
        <v>72.61</v>
      </c>
      <c r="S161">
        <v>78.16</v>
      </c>
      <c r="T161">
        <v>75.319999999999993</v>
      </c>
      <c r="U161">
        <v>82.39</v>
      </c>
      <c r="V161">
        <v>52.05</v>
      </c>
      <c r="W161">
        <v>67.22</v>
      </c>
      <c r="X161">
        <v>0.17499999999999999</v>
      </c>
      <c r="Y161">
        <v>95.85</v>
      </c>
      <c r="Z161">
        <v>713972.45</v>
      </c>
      <c r="AA161">
        <v>1819009</v>
      </c>
    </row>
    <row r="162" spans="1:27" x14ac:dyDescent="0.35">
      <c r="A162" t="s">
        <v>173</v>
      </c>
      <c r="B162" t="s">
        <v>745</v>
      </c>
      <c r="C162" t="s">
        <v>200</v>
      </c>
      <c r="D162" t="str">
        <f t="shared" si="2"/>
        <v>32</v>
      </c>
      <c r="E162" t="s">
        <v>586</v>
      </c>
      <c r="F162">
        <v>9.36</v>
      </c>
      <c r="G162">
        <v>8.2799999999999994</v>
      </c>
      <c r="H162">
        <v>8.7200000000000006</v>
      </c>
      <c r="I162">
        <v>12.96</v>
      </c>
      <c r="J162">
        <v>12.68</v>
      </c>
      <c r="K162">
        <v>12.76</v>
      </c>
      <c r="L162">
        <v>79.02</v>
      </c>
      <c r="M162">
        <v>71.86</v>
      </c>
      <c r="N162">
        <v>74.53</v>
      </c>
      <c r="O162">
        <v>7.92</v>
      </c>
      <c r="P162">
        <v>7.21</v>
      </c>
      <c r="Q162">
        <v>7.69</v>
      </c>
      <c r="R162">
        <v>72.540000000000006</v>
      </c>
      <c r="S162">
        <v>78.06</v>
      </c>
      <c r="T162">
        <v>75.23</v>
      </c>
      <c r="U162">
        <v>86.12</v>
      </c>
      <c r="V162">
        <v>42.13</v>
      </c>
      <c r="W162">
        <v>64.13</v>
      </c>
      <c r="X162">
        <v>0.54700000000000004</v>
      </c>
      <c r="Y162">
        <v>90.94</v>
      </c>
      <c r="Z162">
        <v>336363.58</v>
      </c>
      <c r="AA162">
        <v>5721618</v>
      </c>
    </row>
    <row r="163" spans="1:27" x14ac:dyDescent="0.35">
      <c r="A163" t="s">
        <v>174</v>
      </c>
      <c r="B163" t="s">
        <v>746</v>
      </c>
      <c r="C163" t="s">
        <v>200</v>
      </c>
      <c r="D163" t="str">
        <f t="shared" si="2"/>
        <v>32</v>
      </c>
      <c r="E163" t="s">
        <v>586</v>
      </c>
      <c r="F163">
        <v>8.19</v>
      </c>
      <c r="G163">
        <v>7.36</v>
      </c>
      <c r="H163">
        <v>7.63</v>
      </c>
      <c r="I163">
        <v>12.67</v>
      </c>
      <c r="J163">
        <v>12.36</v>
      </c>
      <c r="K163">
        <v>12.4</v>
      </c>
      <c r="L163">
        <v>75.819999999999993</v>
      </c>
      <c r="M163">
        <v>67.849999999999994</v>
      </c>
      <c r="N163">
        <v>71.13</v>
      </c>
      <c r="O163">
        <v>6.43</v>
      </c>
      <c r="P163">
        <v>8.59</v>
      </c>
      <c r="Q163">
        <v>7.23</v>
      </c>
      <c r="R163">
        <v>72.45</v>
      </c>
      <c r="S163">
        <v>77.930000000000007</v>
      </c>
      <c r="T163">
        <v>75.12</v>
      </c>
      <c r="U163">
        <v>87.29</v>
      </c>
      <c r="V163">
        <v>51.81</v>
      </c>
      <c r="W163">
        <v>69.55</v>
      </c>
      <c r="X163">
        <v>0.47599999999999998</v>
      </c>
      <c r="Y163">
        <v>89.49</v>
      </c>
      <c r="Z163">
        <v>95380.66</v>
      </c>
      <c r="AA163">
        <v>2852107</v>
      </c>
    </row>
    <row r="164" spans="1:27" x14ac:dyDescent="0.35">
      <c r="A164" t="s">
        <v>175</v>
      </c>
      <c r="B164" t="s">
        <v>747</v>
      </c>
      <c r="C164" t="s">
        <v>200</v>
      </c>
      <c r="D164" t="str">
        <f t="shared" si="2"/>
        <v>32</v>
      </c>
      <c r="E164" t="s">
        <v>586</v>
      </c>
      <c r="F164">
        <v>7.85</v>
      </c>
      <c r="G164">
        <v>7.19</v>
      </c>
      <c r="H164">
        <v>7.62</v>
      </c>
      <c r="I164">
        <v>12.6</v>
      </c>
      <c r="J164">
        <v>12.22</v>
      </c>
      <c r="K164">
        <v>12.31</v>
      </c>
      <c r="L164">
        <v>73.959999999999994</v>
      </c>
      <c r="M164">
        <v>63.96</v>
      </c>
      <c r="N164">
        <v>69.84</v>
      </c>
      <c r="O164">
        <v>6.52</v>
      </c>
      <c r="P164">
        <v>5.56</v>
      </c>
      <c r="Q164">
        <v>6.17</v>
      </c>
      <c r="R164">
        <v>72.39</v>
      </c>
      <c r="S164">
        <v>77.84</v>
      </c>
      <c r="T164">
        <v>75.05</v>
      </c>
      <c r="U164">
        <v>86.16</v>
      </c>
      <c r="V164">
        <v>50.8</v>
      </c>
      <c r="W164">
        <v>68.48</v>
      </c>
      <c r="X164">
        <v>0.55500000000000005</v>
      </c>
      <c r="Y164">
        <v>86.48</v>
      </c>
      <c r="Z164">
        <v>69317.960000000006</v>
      </c>
      <c r="AA164">
        <v>2610316</v>
      </c>
    </row>
    <row r="165" spans="1:27" x14ac:dyDescent="0.35">
      <c r="A165" t="s">
        <v>176</v>
      </c>
      <c r="B165" t="s">
        <v>748</v>
      </c>
      <c r="C165" t="s">
        <v>200</v>
      </c>
      <c r="D165" t="str">
        <f t="shared" si="2"/>
        <v>32</v>
      </c>
      <c r="E165" t="s">
        <v>586</v>
      </c>
      <c r="F165">
        <v>9.66</v>
      </c>
      <c r="G165">
        <v>9.16</v>
      </c>
      <c r="H165">
        <v>9.4</v>
      </c>
      <c r="I165">
        <v>12.59</v>
      </c>
      <c r="J165">
        <v>13.13</v>
      </c>
      <c r="K165">
        <v>12.99</v>
      </c>
      <c r="L165">
        <v>78.14</v>
      </c>
      <c r="M165">
        <v>74.44</v>
      </c>
      <c r="N165">
        <v>75.58</v>
      </c>
      <c r="O165">
        <v>6.72</v>
      </c>
      <c r="P165">
        <v>6.6</v>
      </c>
      <c r="Q165">
        <v>6.68</v>
      </c>
      <c r="R165">
        <v>72.92</v>
      </c>
      <c r="S165">
        <v>78.61</v>
      </c>
      <c r="T165">
        <v>75.7</v>
      </c>
      <c r="U165">
        <v>83.07</v>
      </c>
      <c r="V165">
        <v>50.44</v>
      </c>
      <c r="W165">
        <v>66.760000000000005</v>
      </c>
      <c r="X165">
        <v>0.42799999999999999</v>
      </c>
      <c r="Y165">
        <v>95.26</v>
      </c>
      <c r="Z165">
        <v>179920.82</v>
      </c>
      <c r="AA165">
        <v>3783213</v>
      </c>
    </row>
    <row r="166" spans="1:27" x14ac:dyDescent="0.35">
      <c r="A166" t="s">
        <v>177</v>
      </c>
      <c r="B166" t="s">
        <v>749</v>
      </c>
      <c r="C166" t="s">
        <v>200</v>
      </c>
      <c r="D166" t="str">
        <f t="shared" si="2"/>
        <v>32</v>
      </c>
      <c r="E166" t="s">
        <v>586</v>
      </c>
      <c r="F166">
        <v>8.1999999999999993</v>
      </c>
      <c r="G166">
        <v>7.51</v>
      </c>
      <c r="H166">
        <v>7.86</v>
      </c>
      <c r="I166">
        <v>12.63</v>
      </c>
      <c r="J166">
        <v>12.41</v>
      </c>
      <c r="K166">
        <v>12.43</v>
      </c>
      <c r="L166">
        <v>74.75</v>
      </c>
      <c r="M166">
        <v>63.25</v>
      </c>
      <c r="N166">
        <v>70.67</v>
      </c>
      <c r="O166">
        <v>6.03</v>
      </c>
      <c r="P166">
        <v>7.43</v>
      </c>
      <c r="Q166">
        <v>6.54</v>
      </c>
      <c r="R166">
        <v>72.459999999999994</v>
      </c>
      <c r="S166">
        <v>77.95</v>
      </c>
      <c r="T166">
        <v>75.14</v>
      </c>
      <c r="U166">
        <v>84.78</v>
      </c>
      <c r="V166">
        <v>51.07</v>
      </c>
      <c r="W166">
        <v>67.930000000000007</v>
      </c>
      <c r="X166">
        <v>0.52300000000000002</v>
      </c>
      <c r="Y166">
        <v>84.62</v>
      </c>
      <c r="Z166">
        <v>85999.21</v>
      </c>
      <c r="AA166">
        <v>2748699</v>
      </c>
    </row>
    <row r="167" spans="1:27" x14ac:dyDescent="0.35">
      <c r="A167" t="s">
        <v>178</v>
      </c>
      <c r="B167" t="s">
        <v>750</v>
      </c>
      <c r="C167" t="s">
        <v>200</v>
      </c>
      <c r="D167" t="str">
        <f t="shared" si="2"/>
        <v>32</v>
      </c>
      <c r="E167" t="s">
        <v>586</v>
      </c>
      <c r="F167">
        <v>8.1199999999999992</v>
      </c>
      <c r="G167">
        <v>7.85</v>
      </c>
      <c r="H167">
        <v>7.98</v>
      </c>
      <c r="I167">
        <v>13.02</v>
      </c>
      <c r="J167">
        <v>12.92</v>
      </c>
      <c r="K167">
        <v>12.92</v>
      </c>
      <c r="L167">
        <v>75.14</v>
      </c>
      <c r="M167">
        <v>66.05</v>
      </c>
      <c r="N167">
        <v>70.760000000000005</v>
      </c>
      <c r="O167">
        <v>3.29</v>
      </c>
      <c r="P167">
        <v>4.29</v>
      </c>
      <c r="Q167">
        <v>3.69</v>
      </c>
      <c r="R167">
        <v>71.900000000000006</v>
      </c>
      <c r="S167">
        <v>76.97</v>
      </c>
      <c r="T167">
        <v>74.37</v>
      </c>
      <c r="U167">
        <v>83.08</v>
      </c>
      <c r="V167">
        <v>55.13</v>
      </c>
      <c r="W167">
        <v>69.11</v>
      </c>
      <c r="X167">
        <v>0.51900000000000002</v>
      </c>
      <c r="Y167">
        <v>87.9</v>
      </c>
      <c r="Z167">
        <v>54303.99</v>
      </c>
      <c r="AA167">
        <v>1933814</v>
      </c>
    </row>
    <row r="168" spans="1:27" x14ac:dyDescent="0.35">
      <c r="A168" t="s">
        <v>179</v>
      </c>
      <c r="B168" t="s">
        <v>751</v>
      </c>
      <c r="C168" t="s">
        <v>200</v>
      </c>
      <c r="D168" t="str">
        <f t="shared" si="2"/>
        <v>32</v>
      </c>
      <c r="E168" t="s">
        <v>586</v>
      </c>
      <c r="F168">
        <v>8.33</v>
      </c>
      <c r="G168">
        <v>8.17</v>
      </c>
      <c r="H168">
        <v>8.23</v>
      </c>
      <c r="I168">
        <v>14.7</v>
      </c>
      <c r="J168">
        <v>14.31</v>
      </c>
      <c r="K168">
        <v>14.31</v>
      </c>
      <c r="L168">
        <v>78.98</v>
      </c>
      <c r="M168">
        <v>70.38</v>
      </c>
      <c r="N168">
        <v>74.33</v>
      </c>
      <c r="O168">
        <v>3.84</v>
      </c>
      <c r="P168">
        <v>4.47</v>
      </c>
      <c r="Q168">
        <v>4.08</v>
      </c>
      <c r="R168">
        <v>72.91</v>
      </c>
      <c r="S168">
        <v>78.599999999999994</v>
      </c>
      <c r="T168">
        <v>75.69</v>
      </c>
      <c r="U168">
        <v>83.31</v>
      </c>
      <c r="V168">
        <v>49.24</v>
      </c>
      <c r="W168">
        <v>66.28</v>
      </c>
      <c r="X168">
        <v>0.46400000000000002</v>
      </c>
      <c r="Y168">
        <v>89.11</v>
      </c>
      <c r="Z168">
        <v>46592.84</v>
      </c>
      <c r="AA168">
        <v>1266331</v>
      </c>
    </row>
    <row r="169" spans="1:27" x14ac:dyDescent="0.35">
      <c r="A169" t="s">
        <v>180</v>
      </c>
      <c r="B169" t="s">
        <v>752</v>
      </c>
      <c r="C169" t="s">
        <v>200</v>
      </c>
      <c r="D169" t="str">
        <f t="shared" si="2"/>
        <v>32</v>
      </c>
      <c r="E169" t="s">
        <v>586</v>
      </c>
      <c r="F169">
        <v>8.18</v>
      </c>
      <c r="G169">
        <v>7.65</v>
      </c>
      <c r="H169">
        <v>7.91</v>
      </c>
      <c r="I169">
        <v>13.08</v>
      </c>
      <c r="J169">
        <v>12.52</v>
      </c>
      <c r="K169">
        <v>12.52</v>
      </c>
      <c r="L169">
        <v>77.25</v>
      </c>
      <c r="M169">
        <v>68.52</v>
      </c>
      <c r="N169">
        <v>72.31</v>
      </c>
      <c r="O169">
        <v>8.0299999999999994</v>
      </c>
      <c r="P169">
        <v>6.84</v>
      </c>
      <c r="Q169">
        <v>7.59</v>
      </c>
      <c r="R169">
        <v>73.650000000000006</v>
      </c>
      <c r="S169">
        <v>78.44</v>
      </c>
      <c r="T169">
        <v>75.64</v>
      </c>
      <c r="U169">
        <v>86.65</v>
      </c>
      <c r="V169">
        <v>51.73</v>
      </c>
      <c r="W169">
        <v>69.19</v>
      </c>
      <c r="X169">
        <v>0.36099999999999999</v>
      </c>
      <c r="Y169">
        <v>88.7</v>
      </c>
      <c r="Z169">
        <v>41955.26</v>
      </c>
      <c r="AA169">
        <v>1225493</v>
      </c>
    </row>
    <row r="170" spans="1:27" x14ac:dyDescent="0.35">
      <c r="A170" t="s">
        <v>181</v>
      </c>
      <c r="B170" t="s">
        <v>753</v>
      </c>
      <c r="C170" t="s">
        <v>200</v>
      </c>
      <c r="D170" t="str">
        <f t="shared" si="2"/>
        <v>32</v>
      </c>
      <c r="E170" t="s">
        <v>586</v>
      </c>
      <c r="F170">
        <v>8.34</v>
      </c>
      <c r="G170">
        <v>7.41</v>
      </c>
      <c r="H170">
        <v>7.88</v>
      </c>
      <c r="I170">
        <v>12.43</v>
      </c>
      <c r="J170">
        <v>13.02</v>
      </c>
      <c r="K170">
        <v>12.67</v>
      </c>
      <c r="L170">
        <v>77.37</v>
      </c>
      <c r="M170">
        <v>66.47</v>
      </c>
      <c r="N170">
        <v>73.27</v>
      </c>
      <c r="O170">
        <v>7.6</v>
      </c>
      <c r="P170">
        <v>4.5999999999999996</v>
      </c>
      <c r="Q170">
        <v>6.42</v>
      </c>
      <c r="R170">
        <v>72.67</v>
      </c>
      <c r="S170">
        <v>78.239999999999995</v>
      </c>
      <c r="T170">
        <v>75.39</v>
      </c>
      <c r="U170">
        <v>83.44</v>
      </c>
      <c r="V170">
        <v>54.9</v>
      </c>
      <c r="W170">
        <v>69.17</v>
      </c>
      <c r="X170">
        <v>0.35299999999999998</v>
      </c>
      <c r="Y170">
        <v>85.91</v>
      </c>
      <c r="Z170">
        <v>73956.62</v>
      </c>
      <c r="AA170">
        <v>2413814</v>
      </c>
    </row>
    <row r="171" spans="1:27" x14ac:dyDescent="0.35">
      <c r="A171" t="s">
        <v>182</v>
      </c>
      <c r="B171" t="s">
        <v>754</v>
      </c>
      <c r="C171" t="s">
        <v>200</v>
      </c>
      <c r="D171" t="str">
        <f t="shared" si="2"/>
        <v>32</v>
      </c>
      <c r="E171" t="s">
        <v>586</v>
      </c>
      <c r="F171">
        <v>8.1199999999999992</v>
      </c>
      <c r="G171">
        <v>7.51</v>
      </c>
      <c r="H171">
        <v>7.81</v>
      </c>
      <c r="I171">
        <v>12.5</v>
      </c>
      <c r="J171">
        <v>12.5</v>
      </c>
      <c r="K171">
        <v>12.5</v>
      </c>
      <c r="L171">
        <v>76.209999999999994</v>
      </c>
      <c r="M171">
        <v>67.459999999999994</v>
      </c>
      <c r="N171">
        <v>72.37</v>
      </c>
      <c r="O171">
        <v>3.96</v>
      </c>
      <c r="P171">
        <v>3.13</v>
      </c>
      <c r="Q171">
        <v>3.62</v>
      </c>
      <c r="R171">
        <v>72.61</v>
      </c>
      <c r="S171">
        <v>78.16</v>
      </c>
      <c r="T171">
        <v>75.319999999999993</v>
      </c>
      <c r="U171">
        <v>85.96</v>
      </c>
      <c r="V171">
        <v>59.23</v>
      </c>
      <c r="W171">
        <v>72.599999999999994</v>
      </c>
      <c r="X171">
        <v>0.441</v>
      </c>
      <c r="Y171">
        <v>88.52</v>
      </c>
      <c r="Z171">
        <v>50566.15</v>
      </c>
      <c r="AA171">
        <v>1363755</v>
      </c>
    </row>
    <row r="172" spans="1:27" x14ac:dyDescent="0.35">
      <c r="A172" t="s">
        <v>183</v>
      </c>
      <c r="B172" t="s">
        <v>755</v>
      </c>
      <c r="C172" t="s">
        <v>200</v>
      </c>
      <c r="D172" t="str">
        <f t="shared" si="2"/>
        <v>32</v>
      </c>
      <c r="E172" t="s">
        <v>586</v>
      </c>
      <c r="F172">
        <v>9.08</v>
      </c>
      <c r="G172">
        <v>8.76</v>
      </c>
      <c r="H172">
        <v>8.92</v>
      </c>
      <c r="I172">
        <v>13.21</v>
      </c>
      <c r="J172">
        <v>13.69</v>
      </c>
      <c r="K172">
        <v>13.21</v>
      </c>
      <c r="L172">
        <v>78.47</v>
      </c>
      <c r="M172">
        <v>75.48</v>
      </c>
      <c r="N172">
        <v>75.5</v>
      </c>
      <c r="O172">
        <v>6.43</v>
      </c>
      <c r="P172">
        <v>5.42</v>
      </c>
      <c r="Q172">
        <v>6.08</v>
      </c>
      <c r="R172">
        <v>72.92</v>
      </c>
      <c r="S172">
        <v>78.62</v>
      </c>
      <c r="T172">
        <v>75.7</v>
      </c>
      <c r="U172">
        <v>84.93</v>
      </c>
      <c r="V172">
        <v>45.72</v>
      </c>
      <c r="W172">
        <v>65.33</v>
      </c>
      <c r="X172">
        <v>0.39100000000000001</v>
      </c>
      <c r="Y172">
        <v>96.19</v>
      </c>
      <c r="Z172">
        <v>50991.94</v>
      </c>
      <c r="AA172">
        <v>1195531</v>
      </c>
    </row>
    <row r="173" spans="1:27" x14ac:dyDescent="0.35">
      <c r="A173" t="s">
        <v>184</v>
      </c>
      <c r="B173" t="s">
        <v>756</v>
      </c>
      <c r="C173" t="s">
        <v>200</v>
      </c>
      <c r="D173" t="str">
        <f t="shared" si="2"/>
        <v>32</v>
      </c>
      <c r="E173" t="s">
        <v>586</v>
      </c>
      <c r="F173">
        <v>7.52</v>
      </c>
      <c r="G173">
        <v>6.58</v>
      </c>
      <c r="H173">
        <v>7.06</v>
      </c>
      <c r="I173">
        <v>12.3</v>
      </c>
      <c r="J173">
        <v>12.61</v>
      </c>
      <c r="K173">
        <v>12.58</v>
      </c>
      <c r="L173">
        <v>75.400000000000006</v>
      </c>
      <c r="M173">
        <v>67.97</v>
      </c>
      <c r="N173">
        <v>71.58</v>
      </c>
      <c r="O173">
        <v>6.28</v>
      </c>
      <c r="P173">
        <v>6.84</v>
      </c>
      <c r="Q173">
        <v>6.47</v>
      </c>
      <c r="R173">
        <v>72.48</v>
      </c>
      <c r="S173">
        <v>77.98</v>
      </c>
      <c r="T173">
        <v>75.16</v>
      </c>
      <c r="U173">
        <v>85.09</v>
      </c>
      <c r="V173">
        <v>45.14</v>
      </c>
      <c r="W173">
        <v>65.12</v>
      </c>
      <c r="X173">
        <v>0.28599999999999998</v>
      </c>
      <c r="Y173">
        <v>90.15</v>
      </c>
      <c r="Z173">
        <v>114662.65</v>
      </c>
      <c r="AA173">
        <v>1932522</v>
      </c>
    </row>
    <row r="174" spans="1:27" x14ac:dyDescent="0.35">
      <c r="A174" t="s">
        <v>185</v>
      </c>
      <c r="B174" t="s">
        <v>757</v>
      </c>
      <c r="C174" t="s">
        <v>200</v>
      </c>
      <c r="D174" t="str">
        <f t="shared" si="2"/>
        <v>32</v>
      </c>
      <c r="E174" t="s">
        <v>586</v>
      </c>
      <c r="F174">
        <v>8.1300000000000008</v>
      </c>
      <c r="G174">
        <v>7.3</v>
      </c>
      <c r="H174">
        <v>7.68</v>
      </c>
      <c r="I174">
        <v>12.37</v>
      </c>
      <c r="J174">
        <v>12.48</v>
      </c>
      <c r="K174">
        <v>12.38</v>
      </c>
      <c r="L174">
        <v>76.459999999999994</v>
      </c>
      <c r="M174">
        <v>70.45</v>
      </c>
      <c r="N174">
        <v>73</v>
      </c>
      <c r="O174">
        <v>8</v>
      </c>
      <c r="P174">
        <v>4.87</v>
      </c>
      <c r="Q174">
        <v>6.8</v>
      </c>
      <c r="R174">
        <v>72.680000000000007</v>
      </c>
      <c r="S174">
        <v>78.27</v>
      </c>
      <c r="T174">
        <v>75.41</v>
      </c>
      <c r="U174">
        <v>85.59</v>
      </c>
      <c r="V174">
        <v>52.44</v>
      </c>
      <c r="W174">
        <v>69.02</v>
      </c>
      <c r="X174">
        <v>0.49099999999999999</v>
      </c>
      <c r="Y174">
        <v>92.14</v>
      </c>
      <c r="Z174">
        <v>58570.13</v>
      </c>
      <c r="AA174">
        <v>1675519</v>
      </c>
    </row>
    <row r="175" spans="1:27" x14ac:dyDescent="0.35">
      <c r="A175" t="s">
        <v>186</v>
      </c>
      <c r="B175" t="s">
        <v>758</v>
      </c>
      <c r="C175" t="s">
        <v>200</v>
      </c>
      <c r="D175" t="str">
        <f t="shared" si="2"/>
        <v>32</v>
      </c>
      <c r="E175" t="s">
        <v>586</v>
      </c>
      <c r="F175">
        <v>8.82</v>
      </c>
      <c r="G175">
        <v>7.96</v>
      </c>
      <c r="H175">
        <v>8.3699999999999992</v>
      </c>
      <c r="I175">
        <v>12.5</v>
      </c>
      <c r="J175">
        <v>12.56</v>
      </c>
      <c r="K175">
        <v>12.51</v>
      </c>
      <c r="L175">
        <v>79.27</v>
      </c>
      <c r="M175">
        <v>70.16</v>
      </c>
      <c r="N175">
        <v>74.97</v>
      </c>
      <c r="O175">
        <v>8.1199999999999992</v>
      </c>
      <c r="P175">
        <v>6.48</v>
      </c>
      <c r="Q175">
        <v>7.54</v>
      </c>
      <c r="R175">
        <v>72.58</v>
      </c>
      <c r="S175">
        <v>78.12</v>
      </c>
      <c r="T175">
        <v>75.28</v>
      </c>
      <c r="U175">
        <v>84.84</v>
      </c>
      <c r="V175">
        <v>47.28</v>
      </c>
      <c r="W175">
        <v>66.06</v>
      </c>
      <c r="X175">
        <v>0.52500000000000002</v>
      </c>
      <c r="Y175">
        <v>88.51</v>
      </c>
      <c r="Z175">
        <v>94835.09</v>
      </c>
      <c r="AA175">
        <v>1062965</v>
      </c>
    </row>
    <row r="176" spans="1:27" x14ac:dyDescent="0.35">
      <c r="A176" t="s">
        <v>187</v>
      </c>
      <c r="B176" t="s">
        <v>759</v>
      </c>
      <c r="C176" t="s">
        <v>200</v>
      </c>
      <c r="D176" t="str">
        <f t="shared" si="2"/>
        <v>32</v>
      </c>
      <c r="E176" t="s">
        <v>586</v>
      </c>
      <c r="F176">
        <v>8.7200000000000006</v>
      </c>
      <c r="G176">
        <v>7.81</v>
      </c>
      <c r="H176">
        <v>8.31</v>
      </c>
      <c r="I176">
        <v>12.36</v>
      </c>
      <c r="J176">
        <v>12.22</v>
      </c>
      <c r="K176">
        <v>12.22</v>
      </c>
      <c r="L176">
        <v>77.94</v>
      </c>
      <c r="M176">
        <v>71.98</v>
      </c>
      <c r="N176">
        <v>74.59</v>
      </c>
      <c r="O176">
        <v>7.19</v>
      </c>
      <c r="P176">
        <v>9.56</v>
      </c>
      <c r="Q176">
        <v>7.99</v>
      </c>
      <c r="R176">
        <v>72.819999999999993</v>
      </c>
      <c r="S176">
        <v>78.47</v>
      </c>
      <c r="T176">
        <v>75.569999999999993</v>
      </c>
      <c r="U176">
        <v>86.05</v>
      </c>
      <c r="V176">
        <v>43.99</v>
      </c>
      <c r="W176">
        <v>65.02</v>
      </c>
      <c r="X176">
        <v>0.443</v>
      </c>
      <c r="Y176">
        <v>92.35</v>
      </c>
      <c r="Z176">
        <v>337246.76</v>
      </c>
      <c r="AA176">
        <v>2581245</v>
      </c>
    </row>
    <row r="177" spans="1:27" x14ac:dyDescent="0.35">
      <c r="A177" t="s">
        <v>188</v>
      </c>
      <c r="B177" t="s">
        <v>760</v>
      </c>
      <c r="C177" t="s">
        <v>200</v>
      </c>
      <c r="D177" t="str">
        <f t="shared" si="2"/>
        <v>32</v>
      </c>
      <c r="E177" t="s">
        <v>586</v>
      </c>
      <c r="F177">
        <v>10.35</v>
      </c>
      <c r="G177">
        <v>9.6</v>
      </c>
      <c r="H177">
        <v>10.07</v>
      </c>
      <c r="I177">
        <v>13.14</v>
      </c>
      <c r="J177">
        <v>13.43</v>
      </c>
      <c r="K177">
        <v>13.22</v>
      </c>
      <c r="L177">
        <v>82.08</v>
      </c>
      <c r="M177">
        <v>74.209999999999994</v>
      </c>
      <c r="N177">
        <v>77.8</v>
      </c>
      <c r="O177">
        <v>7.84</v>
      </c>
      <c r="P177">
        <v>10.67</v>
      </c>
      <c r="Q177">
        <v>8.7799999999999994</v>
      </c>
      <c r="R177">
        <v>73.8</v>
      </c>
      <c r="S177">
        <v>78.63</v>
      </c>
      <c r="T177">
        <v>75.709999999999994</v>
      </c>
      <c r="U177">
        <v>85.4</v>
      </c>
      <c r="V177">
        <v>42.93</v>
      </c>
      <c r="W177">
        <v>64.17</v>
      </c>
      <c r="X177">
        <v>0.21099999999999999</v>
      </c>
      <c r="Y177">
        <v>90.41</v>
      </c>
      <c r="Z177">
        <v>451511.53</v>
      </c>
      <c r="AA177">
        <v>3303023</v>
      </c>
    </row>
    <row r="178" spans="1:27" x14ac:dyDescent="0.35">
      <c r="A178" t="s">
        <v>189</v>
      </c>
      <c r="B178" t="s">
        <v>761</v>
      </c>
      <c r="C178" t="s">
        <v>200</v>
      </c>
      <c r="D178" t="str">
        <f t="shared" si="2"/>
        <v>32</v>
      </c>
      <c r="E178" t="s">
        <v>586</v>
      </c>
      <c r="F178">
        <v>8.77</v>
      </c>
      <c r="G178">
        <v>7.97</v>
      </c>
      <c r="H178">
        <v>8.34</v>
      </c>
      <c r="I178">
        <v>12.29</v>
      </c>
      <c r="J178">
        <v>12.22</v>
      </c>
      <c r="K178">
        <v>12.26</v>
      </c>
      <c r="L178">
        <v>76.3</v>
      </c>
      <c r="M178">
        <v>62.55</v>
      </c>
      <c r="N178">
        <v>71.650000000000006</v>
      </c>
      <c r="O178">
        <v>6.46</v>
      </c>
      <c r="P178">
        <v>6.82</v>
      </c>
      <c r="Q178">
        <v>6.6</v>
      </c>
      <c r="R178">
        <v>72.709999999999994</v>
      </c>
      <c r="S178">
        <v>78.31</v>
      </c>
      <c r="T178">
        <v>75.44</v>
      </c>
      <c r="U178">
        <v>86.74</v>
      </c>
      <c r="V178">
        <v>53.84</v>
      </c>
      <c r="W178">
        <v>70.290000000000006</v>
      </c>
      <c r="X178">
        <v>0.45500000000000002</v>
      </c>
      <c r="Y178">
        <v>81.98</v>
      </c>
      <c r="Z178">
        <v>65913.62</v>
      </c>
      <c r="AA178">
        <v>1907824</v>
      </c>
    </row>
    <row r="179" spans="1:27" x14ac:dyDescent="0.35">
      <c r="A179" t="s">
        <v>190</v>
      </c>
      <c r="B179" t="s">
        <v>762</v>
      </c>
      <c r="C179" t="s">
        <v>200</v>
      </c>
      <c r="D179" t="str">
        <f t="shared" si="2"/>
        <v>32</v>
      </c>
      <c r="E179" t="s">
        <v>586</v>
      </c>
      <c r="F179">
        <v>8.42</v>
      </c>
      <c r="G179">
        <v>7.89</v>
      </c>
      <c r="H179">
        <v>8.11</v>
      </c>
      <c r="I179">
        <v>12.46</v>
      </c>
      <c r="J179">
        <v>12.32</v>
      </c>
      <c r="K179">
        <v>12.41</v>
      </c>
      <c r="L179">
        <v>75.489999999999995</v>
      </c>
      <c r="M179">
        <v>69.010000000000005</v>
      </c>
      <c r="N179">
        <v>71.66</v>
      </c>
      <c r="O179">
        <v>2.73</v>
      </c>
      <c r="P179">
        <v>0.85</v>
      </c>
      <c r="Q179">
        <v>1.91</v>
      </c>
      <c r="R179">
        <v>72.72</v>
      </c>
      <c r="S179">
        <v>78.319999999999993</v>
      </c>
      <c r="T179">
        <v>75.45</v>
      </c>
      <c r="U179">
        <v>90.46</v>
      </c>
      <c r="V179">
        <v>67.98</v>
      </c>
      <c r="W179">
        <v>79.22</v>
      </c>
      <c r="X179">
        <v>0.33700000000000002</v>
      </c>
      <c r="Y179">
        <v>91.42</v>
      </c>
      <c r="Z179">
        <v>16758.240000000002</v>
      </c>
      <c r="AA179">
        <v>436494</v>
      </c>
    </row>
    <row r="180" spans="1:27" x14ac:dyDescent="0.35">
      <c r="A180" t="s">
        <v>191</v>
      </c>
      <c r="B180" t="s">
        <v>763</v>
      </c>
      <c r="C180" t="s">
        <v>200</v>
      </c>
      <c r="D180" t="str">
        <f t="shared" si="2"/>
        <v>32</v>
      </c>
      <c r="E180" t="s">
        <v>586</v>
      </c>
      <c r="F180">
        <v>11.09</v>
      </c>
      <c r="G180">
        <v>10.37</v>
      </c>
      <c r="H180">
        <v>10.72</v>
      </c>
      <c r="I180">
        <v>13.43</v>
      </c>
      <c r="J180">
        <v>13.97</v>
      </c>
      <c r="K180">
        <v>13.69</v>
      </c>
      <c r="L180">
        <v>83.68</v>
      </c>
      <c r="M180">
        <v>77.63</v>
      </c>
      <c r="N180">
        <v>79.75</v>
      </c>
      <c r="O180">
        <v>9.7100000000000009</v>
      </c>
      <c r="P180">
        <v>5.07</v>
      </c>
      <c r="Q180">
        <v>7.95</v>
      </c>
      <c r="R180">
        <v>73.38</v>
      </c>
      <c r="S180">
        <v>79.27</v>
      </c>
      <c r="T180">
        <v>76.25</v>
      </c>
      <c r="U180">
        <v>80.41</v>
      </c>
      <c r="V180">
        <v>49.7</v>
      </c>
      <c r="W180">
        <v>65.06</v>
      </c>
      <c r="X180">
        <v>0.307</v>
      </c>
      <c r="Y180">
        <v>92.77</v>
      </c>
      <c r="Z180">
        <v>65786.05</v>
      </c>
      <c r="AA180">
        <v>1083776</v>
      </c>
    </row>
    <row r="181" spans="1:27" x14ac:dyDescent="0.35">
      <c r="A181" t="s">
        <v>192</v>
      </c>
      <c r="B181" t="s">
        <v>764</v>
      </c>
      <c r="C181" t="s">
        <v>200</v>
      </c>
      <c r="D181" t="str">
        <f t="shared" si="2"/>
        <v>32</v>
      </c>
      <c r="E181" t="s">
        <v>586</v>
      </c>
      <c r="F181">
        <v>10.72</v>
      </c>
      <c r="G181">
        <v>10.11</v>
      </c>
      <c r="H181">
        <v>10.39</v>
      </c>
      <c r="I181">
        <v>14.45</v>
      </c>
      <c r="J181">
        <v>13.61</v>
      </c>
      <c r="K181">
        <v>13.63</v>
      </c>
      <c r="L181">
        <v>82.6</v>
      </c>
      <c r="M181">
        <v>77.11</v>
      </c>
      <c r="N181">
        <v>78.23</v>
      </c>
      <c r="O181">
        <v>8.26</v>
      </c>
      <c r="P181">
        <v>8.06</v>
      </c>
      <c r="Q181">
        <v>8.19</v>
      </c>
      <c r="R181">
        <v>72.72</v>
      </c>
      <c r="S181">
        <v>78.319999999999993</v>
      </c>
      <c r="T181">
        <v>75.45</v>
      </c>
      <c r="U181">
        <v>81.84</v>
      </c>
      <c r="V181">
        <v>49.7</v>
      </c>
      <c r="W181">
        <v>65.77</v>
      </c>
      <c r="X181">
        <v>0.40600000000000003</v>
      </c>
      <c r="Y181">
        <v>93.35</v>
      </c>
      <c r="Z181">
        <v>17662.55</v>
      </c>
      <c r="AA181">
        <v>370681</v>
      </c>
    </row>
    <row r="182" spans="1:27" x14ac:dyDescent="0.35">
      <c r="A182" t="s">
        <v>193</v>
      </c>
      <c r="B182" t="s">
        <v>765</v>
      </c>
      <c r="C182" t="s">
        <v>200</v>
      </c>
      <c r="D182" t="str">
        <f t="shared" si="2"/>
        <v>32</v>
      </c>
      <c r="E182" t="s">
        <v>586</v>
      </c>
      <c r="F182">
        <v>11.61</v>
      </c>
      <c r="G182">
        <v>11.12</v>
      </c>
      <c r="H182">
        <v>11.41</v>
      </c>
      <c r="I182">
        <v>14.26</v>
      </c>
      <c r="J182">
        <v>14.51</v>
      </c>
      <c r="K182">
        <v>14.27</v>
      </c>
      <c r="L182">
        <v>87.81</v>
      </c>
      <c r="M182">
        <v>84.21</v>
      </c>
      <c r="N182">
        <v>84.66</v>
      </c>
      <c r="O182">
        <v>8.02</v>
      </c>
      <c r="P182">
        <v>5.92</v>
      </c>
      <c r="Q182">
        <v>7.22</v>
      </c>
      <c r="R182">
        <v>74.39</v>
      </c>
      <c r="S182">
        <v>79.33</v>
      </c>
      <c r="T182">
        <v>76.3</v>
      </c>
      <c r="U182">
        <v>84.43</v>
      </c>
      <c r="V182">
        <v>51.9</v>
      </c>
      <c r="W182">
        <v>68.17</v>
      </c>
      <c r="X182">
        <v>0.185</v>
      </c>
      <c r="Y182">
        <v>95.9</v>
      </c>
      <c r="Z182">
        <v>403970.71</v>
      </c>
      <c r="AA182">
        <v>2548784</v>
      </c>
    </row>
    <row r="183" spans="1:27" x14ac:dyDescent="0.35">
      <c r="A183" t="s">
        <v>194</v>
      </c>
      <c r="B183" t="s">
        <v>766</v>
      </c>
      <c r="C183" t="s">
        <v>200</v>
      </c>
      <c r="D183" t="str">
        <f t="shared" si="2"/>
        <v>32</v>
      </c>
      <c r="E183" t="s">
        <v>586</v>
      </c>
      <c r="F183">
        <v>10.84</v>
      </c>
      <c r="G183">
        <v>10.4</v>
      </c>
      <c r="H183">
        <v>10.54</v>
      </c>
      <c r="I183">
        <v>13.12</v>
      </c>
      <c r="J183">
        <v>13.77</v>
      </c>
      <c r="K183">
        <v>13.45</v>
      </c>
      <c r="L183">
        <v>81.459999999999994</v>
      </c>
      <c r="M183">
        <v>78.95</v>
      </c>
      <c r="N183">
        <v>78.989999999999995</v>
      </c>
      <c r="O183">
        <v>6.84</v>
      </c>
      <c r="P183">
        <v>5.81</v>
      </c>
      <c r="Q183">
        <v>6.41</v>
      </c>
      <c r="R183">
        <v>73.14</v>
      </c>
      <c r="S183">
        <v>78.930000000000007</v>
      </c>
      <c r="T183">
        <v>75.97</v>
      </c>
      <c r="U183">
        <v>81.05</v>
      </c>
      <c r="V183">
        <v>57.05</v>
      </c>
      <c r="W183">
        <v>69.05</v>
      </c>
      <c r="X183">
        <v>0.34100000000000003</v>
      </c>
      <c r="Y183">
        <v>96.92</v>
      </c>
      <c r="Z183">
        <v>33079.440000000002</v>
      </c>
      <c r="AA183">
        <v>347537</v>
      </c>
    </row>
    <row r="184" spans="1:27" x14ac:dyDescent="0.35">
      <c r="A184" t="s">
        <v>195</v>
      </c>
      <c r="B184" t="s">
        <v>767</v>
      </c>
      <c r="C184" t="s">
        <v>200</v>
      </c>
      <c r="D184" t="str">
        <f t="shared" si="2"/>
        <v>32</v>
      </c>
      <c r="E184" t="s">
        <v>586</v>
      </c>
      <c r="F184">
        <v>12.52</v>
      </c>
      <c r="G184">
        <v>12.11</v>
      </c>
      <c r="H184">
        <v>12.11</v>
      </c>
      <c r="I184">
        <v>14.36</v>
      </c>
      <c r="J184">
        <v>14.15</v>
      </c>
      <c r="K184">
        <v>14.15</v>
      </c>
      <c r="L184">
        <v>88.59</v>
      </c>
      <c r="M184">
        <v>83.8</v>
      </c>
      <c r="N184">
        <v>84.43</v>
      </c>
      <c r="O184">
        <v>7.45</v>
      </c>
      <c r="P184">
        <v>7.13</v>
      </c>
      <c r="Q184">
        <v>7.33</v>
      </c>
      <c r="R184">
        <v>74.7</v>
      </c>
      <c r="S184">
        <v>79.63</v>
      </c>
      <c r="T184">
        <v>76.61</v>
      </c>
      <c r="U184">
        <v>79.52</v>
      </c>
      <c r="V184">
        <v>48.73</v>
      </c>
      <c r="W184">
        <v>64.13</v>
      </c>
      <c r="X184">
        <v>0.18099999999999999</v>
      </c>
      <c r="Y184">
        <v>94.59</v>
      </c>
      <c r="Z184">
        <v>139070.60999999999</v>
      </c>
      <c r="AA184">
        <v>2648272</v>
      </c>
    </row>
    <row r="185" spans="1:27" x14ac:dyDescent="0.35">
      <c r="A185" t="s">
        <v>196</v>
      </c>
      <c r="B185" t="s">
        <v>768</v>
      </c>
      <c r="C185" t="s">
        <v>200</v>
      </c>
      <c r="D185" t="str">
        <f t="shared" si="2"/>
        <v>32</v>
      </c>
      <c r="E185" t="s">
        <v>586</v>
      </c>
      <c r="F185">
        <v>12.2</v>
      </c>
      <c r="G185">
        <v>11.47</v>
      </c>
      <c r="H185">
        <v>11.83</v>
      </c>
      <c r="I185">
        <v>14.21</v>
      </c>
      <c r="J185">
        <v>14.36</v>
      </c>
      <c r="K185">
        <v>14.21</v>
      </c>
      <c r="L185">
        <v>88.09</v>
      </c>
      <c r="M185">
        <v>83.17</v>
      </c>
      <c r="N185">
        <v>84.04</v>
      </c>
      <c r="O185">
        <v>7.3</v>
      </c>
      <c r="P185">
        <v>5.17</v>
      </c>
      <c r="Q185">
        <v>6.52</v>
      </c>
      <c r="R185">
        <v>74.27</v>
      </c>
      <c r="S185">
        <v>79.33</v>
      </c>
      <c r="T185">
        <v>76.3</v>
      </c>
      <c r="U185">
        <v>78.63</v>
      </c>
      <c r="V185">
        <v>45.36</v>
      </c>
      <c r="W185">
        <v>62</v>
      </c>
      <c r="X185">
        <v>0.17499999999999999</v>
      </c>
      <c r="Y185">
        <v>94.41</v>
      </c>
      <c r="Z185">
        <v>101213.64</v>
      </c>
      <c r="AA185">
        <v>2167961</v>
      </c>
    </row>
    <row r="186" spans="1:27" x14ac:dyDescent="0.35">
      <c r="A186" t="s">
        <v>197</v>
      </c>
      <c r="B186" t="s">
        <v>769</v>
      </c>
      <c r="C186" t="s">
        <v>200</v>
      </c>
      <c r="D186" t="str">
        <f t="shared" si="2"/>
        <v>32</v>
      </c>
      <c r="E186" t="s">
        <v>586</v>
      </c>
      <c r="F186">
        <v>11.79</v>
      </c>
      <c r="G186">
        <v>11.23</v>
      </c>
      <c r="H186">
        <v>11.53</v>
      </c>
      <c r="I186">
        <v>14.28</v>
      </c>
      <c r="J186">
        <v>13.86</v>
      </c>
      <c r="K186">
        <v>13.86</v>
      </c>
      <c r="L186">
        <v>84.84</v>
      </c>
      <c r="M186">
        <v>79.069999999999993</v>
      </c>
      <c r="N186">
        <v>80.849999999999994</v>
      </c>
      <c r="O186">
        <v>9.14</v>
      </c>
      <c r="P186">
        <v>8.14</v>
      </c>
      <c r="Q186">
        <v>8.75</v>
      </c>
      <c r="R186">
        <v>73.989999999999995</v>
      </c>
      <c r="S186">
        <v>78.98</v>
      </c>
      <c r="T186">
        <v>76</v>
      </c>
      <c r="U186">
        <v>81.87</v>
      </c>
      <c r="V186">
        <v>52.13</v>
      </c>
      <c r="W186">
        <v>67</v>
      </c>
      <c r="X186">
        <v>0.16600000000000001</v>
      </c>
      <c r="Y186">
        <v>93.2</v>
      </c>
      <c r="Z186">
        <v>46684.22</v>
      </c>
      <c r="AA186">
        <v>606375</v>
      </c>
    </row>
    <row r="187" spans="1:27" x14ac:dyDescent="0.35">
      <c r="A187" t="s">
        <v>198</v>
      </c>
      <c r="B187" t="s">
        <v>770</v>
      </c>
      <c r="C187" t="s">
        <v>200</v>
      </c>
      <c r="D187" t="str">
        <f t="shared" si="2"/>
        <v>32</v>
      </c>
      <c r="E187" t="s">
        <v>586</v>
      </c>
      <c r="F187">
        <v>9.7899999999999991</v>
      </c>
      <c r="G187">
        <v>9.41</v>
      </c>
      <c r="H187">
        <v>9.64</v>
      </c>
      <c r="I187">
        <v>13.44</v>
      </c>
      <c r="J187">
        <v>13.83</v>
      </c>
      <c r="K187">
        <v>13.51</v>
      </c>
      <c r="L187">
        <v>79.25</v>
      </c>
      <c r="M187">
        <v>74.03</v>
      </c>
      <c r="N187">
        <v>76.59</v>
      </c>
      <c r="O187">
        <v>6.98</v>
      </c>
      <c r="P187">
        <v>5.55</v>
      </c>
      <c r="Q187">
        <v>6.43</v>
      </c>
      <c r="R187">
        <v>72.89</v>
      </c>
      <c r="S187">
        <v>78.569999999999993</v>
      </c>
      <c r="T187">
        <v>75.66</v>
      </c>
      <c r="U187">
        <v>81.180000000000007</v>
      </c>
      <c r="V187">
        <v>51.18</v>
      </c>
      <c r="W187">
        <v>66.180000000000007</v>
      </c>
      <c r="X187">
        <v>0.20300000000000001</v>
      </c>
      <c r="Y187">
        <v>93.41</v>
      </c>
      <c r="Z187">
        <v>31991.67</v>
      </c>
      <c r="AA187">
        <v>759370</v>
      </c>
    </row>
    <row r="188" spans="1:27" x14ac:dyDescent="0.35">
      <c r="A188" t="s">
        <v>199</v>
      </c>
      <c r="B188" t="s">
        <v>771</v>
      </c>
      <c r="C188" t="s">
        <v>200</v>
      </c>
      <c r="D188" t="str">
        <f t="shared" si="2"/>
        <v>32</v>
      </c>
      <c r="E188" t="s">
        <v>586</v>
      </c>
      <c r="F188">
        <v>9.26</v>
      </c>
      <c r="G188">
        <v>8.59</v>
      </c>
      <c r="H188">
        <v>8.84</v>
      </c>
      <c r="I188">
        <v>13.61</v>
      </c>
      <c r="J188">
        <v>13.28</v>
      </c>
      <c r="K188">
        <v>13.29</v>
      </c>
      <c r="L188">
        <v>80.03</v>
      </c>
      <c r="M188">
        <v>71.650000000000006</v>
      </c>
      <c r="N188">
        <v>75.540000000000006</v>
      </c>
      <c r="O188">
        <v>5.67</v>
      </c>
      <c r="P188">
        <v>4.6100000000000003</v>
      </c>
      <c r="Q188">
        <v>5.26</v>
      </c>
      <c r="R188">
        <v>72.64</v>
      </c>
      <c r="S188">
        <v>78.2</v>
      </c>
      <c r="T188">
        <v>75.349999999999994</v>
      </c>
      <c r="U188">
        <v>85.74</v>
      </c>
      <c r="V188">
        <v>54.04</v>
      </c>
      <c r="W188">
        <v>69.89</v>
      </c>
      <c r="X188">
        <v>0.22500000000000001</v>
      </c>
      <c r="Y188">
        <v>89.53</v>
      </c>
      <c r="Z188">
        <v>5945.71</v>
      </c>
      <c r="AA188">
        <v>211964</v>
      </c>
    </row>
    <row r="189" spans="1:27" x14ac:dyDescent="0.35">
      <c r="A189" t="s">
        <v>202</v>
      </c>
      <c r="B189" t="s">
        <v>772</v>
      </c>
      <c r="C189" t="s">
        <v>201</v>
      </c>
      <c r="D189" t="str">
        <f t="shared" si="2"/>
        <v>33</v>
      </c>
      <c r="E189" t="s">
        <v>586</v>
      </c>
      <c r="F189">
        <v>7.98</v>
      </c>
      <c r="G189">
        <v>7.27</v>
      </c>
      <c r="H189">
        <v>7.65</v>
      </c>
      <c r="I189">
        <v>13.12</v>
      </c>
      <c r="J189">
        <v>12.7</v>
      </c>
      <c r="K189">
        <v>12.7</v>
      </c>
      <c r="L189">
        <v>78.25</v>
      </c>
      <c r="M189">
        <v>69.03</v>
      </c>
      <c r="N189">
        <v>73.45</v>
      </c>
      <c r="O189">
        <v>6.41</v>
      </c>
      <c r="P189">
        <v>9.07</v>
      </c>
      <c r="Q189">
        <v>7.4</v>
      </c>
      <c r="R189">
        <v>73.44</v>
      </c>
      <c r="S189">
        <v>78.14</v>
      </c>
      <c r="T189">
        <v>75.3</v>
      </c>
      <c r="U189">
        <v>83.27</v>
      </c>
      <c r="V189">
        <v>50.02</v>
      </c>
      <c r="W189">
        <v>66.650000000000006</v>
      </c>
      <c r="X189">
        <v>0.28000000000000003</v>
      </c>
      <c r="Y189">
        <v>88.22</v>
      </c>
      <c r="Z189">
        <v>142706.51</v>
      </c>
      <c r="AA189">
        <v>2046392</v>
      </c>
    </row>
    <row r="190" spans="1:27" x14ac:dyDescent="0.35">
      <c r="A190" t="s">
        <v>203</v>
      </c>
      <c r="B190" t="s">
        <v>773</v>
      </c>
      <c r="C190" t="s">
        <v>201</v>
      </c>
      <c r="D190" t="str">
        <f t="shared" si="2"/>
        <v>33</v>
      </c>
      <c r="E190" t="s">
        <v>586</v>
      </c>
      <c r="F190">
        <v>8.39</v>
      </c>
      <c r="G190">
        <v>7.83</v>
      </c>
      <c r="H190">
        <v>8.1</v>
      </c>
      <c r="I190">
        <v>13.46</v>
      </c>
      <c r="J190">
        <v>13.64</v>
      </c>
      <c r="K190">
        <v>13.53</v>
      </c>
      <c r="L190">
        <v>79.34</v>
      </c>
      <c r="M190">
        <v>71.41</v>
      </c>
      <c r="N190">
        <v>75.44</v>
      </c>
      <c r="O190">
        <v>6.04</v>
      </c>
      <c r="P190">
        <v>6.58</v>
      </c>
      <c r="Q190">
        <v>6.26</v>
      </c>
      <c r="R190">
        <v>72.75</v>
      </c>
      <c r="S190">
        <v>77.459999999999994</v>
      </c>
      <c r="T190">
        <v>74.790000000000006</v>
      </c>
      <c r="U190">
        <v>82.95</v>
      </c>
      <c r="V190">
        <v>56.79</v>
      </c>
      <c r="W190">
        <v>69.87</v>
      </c>
      <c r="X190">
        <v>0.193</v>
      </c>
      <c r="Y190">
        <v>90.01</v>
      </c>
      <c r="Z190">
        <v>79803.56</v>
      </c>
      <c r="AA190">
        <v>1865270</v>
      </c>
    </row>
    <row r="191" spans="1:27" x14ac:dyDescent="0.35">
      <c r="A191" t="s">
        <v>204</v>
      </c>
      <c r="B191" t="s">
        <v>774</v>
      </c>
      <c r="C191" t="s">
        <v>201</v>
      </c>
      <c r="D191" t="str">
        <f t="shared" si="2"/>
        <v>33</v>
      </c>
      <c r="E191" t="s">
        <v>586</v>
      </c>
      <c r="F191">
        <v>7.6</v>
      </c>
      <c r="G191">
        <v>7.24</v>
      </c>
      <c r="H191">
        <v>7.37</v>
      </c>
      <c r="I191">
        <v>12.26</v>
      </c>
      <c r="J191">
        <v>12.1</v>
      </c>
      <c r="K191">
        <v>12.11</v>
      </c>
      <c r="L191">
        <v>75.11</v>
      </c>
      <c r="M191">
        <v>70.86</v>
      </c>
      <c r="N191">
        <v>71.709999999999994</v>
      </c>
      <c r="O191">
        <v>5.2</v>
      </c>
      <c r="P191">
        <v>4.3099999999999996</v>
      </c>
      <c r="Q191">
        <v>4.83</v>
      </c>
      <c r="R191">
        <v>72.569999999999993</v>
      </c>
      <c r="S191">
        <v>77.069999999999993</v>
      </c>
      <c r="T191">
        <v>74.48</v>
      </c>
      <c r="U191">
        <v>87.27</v>
      </c>
      <c r="V191">
        <v>63.23</v>
      </c>
      <c r="W191">
        <v>75.25</v>
      </c>
      <c r="X191">
        <v>0.32100000000000001</v>
      </c>
      <c r="Y191">
        <v>94.34</v>
      </c>
      <c r="Z191">
        <v>36070.879999999997</v>
      </c>
      <c r="AA191">
        <v>1047755</v>
      </c>
    </row>
    <row r="192" spans="1:27" x14ac:dyDescent="0.35">
      <c r="A192" t="s">
        <v>205</v>
      </c>
      <c r="B192" t="s">
        <v>775</v>
      </c>
      <c r="C192" t="s">
        <v>201</v>
      </c>
      <c r="D192" t="str">
        <f t="shared" si="2"/>
        <v>33</v>
      </c>
      <c r="E192" t="s">
        <v>586</v>
      </c>
      <c r="F192">
        <v>7.24</v>
      </c>
      <c r="G192">
        <v>6.96</v>
      </c>
      <c r="H192">
        <v>7.1</v>
      </c>
      <c r="I192">
        <v>12.03</v>
      </c>
      <c r="J192">
        <v>12.04</v>
      </c>
      <c r="K192">
        <v>12.04</v>
      </c>
      <c r="L192">
        <v>72.540000000000006</v>
      </c>
      <c r="M192">
        <v>69.02</v>
      </c>
      <c r="N192">
        <v>70.61</v>
      </c>
      <c r="O192">
        <v>3.89</v>
      </c>
      <c r="P192">
        <v>7.56</v>
      </c>
      <c r="Q192">
        <v>5.39</v>
      </c>
      <c r="R192">
        <v>73.19</v>
      </c>
      <c r="S192">
        <v>76.819999999999993</v>
      </c>
      <c r="T192">
        <v>74.86</v>
      </c>
      <c r="U192">
        <v>86.44</v>
      </c>
      <c r="V192">
        <v>61.1</v>
      </c>
      <c r="W192">
        <v>73.77</v>
      </c>
      <c r="X192">
        <v>0.26100000000000001</v>
      </c>
      <c r="Y192">
        <v>95.15</v>
      </c>
      <c r="Z192">
        <v>31351.51</v>
      </c>
      <c r="AA192">
        <v>1067606</v>
      </c>
    </row>
    <row r="193" spans="1:27" x14ac:dyDescent="0.35">
      <c r="A193" t="s">
        <v>206</v>
      </c>
      <c r="B193" t="s">
        <v>776</v>
      </c>
      <c r="C193" t="s">
        <v>201</v>
      </c>
      <c r="D193" t="str">
        <f t="shared" si="2"/>
        <v>33</v>
      </c>
      <c r="E193" t="s">
        <v>586</v>
      </c>
      <c r="F193">
        <v>8.25</v>
      </c>
      <c r="G193">
        <v>7.55</v>
      </c>
      <c r="H193">
        <v>7.89</v>
      </c>
      <c r="I193">
        <v>13.42</v>
      </c>
      <c r="J193">
        <v>13.59</v>
      </c>
      <c r="K193">
        <v>13.42</v>
      </c>
      <c r="L193">
        <v>76.62</v>
      </c>
      <c r="M193">
        <v>71.72</v>
      </c>
      <c r="N193">
        <v>73.17</v>
      </c>
      <c r="O193">
        <v>4.97</v>
      </c>
      <c r="P193">
        <v>4.93</v>
      </c>
      <c r="Q193">
        <v>4.95</v>
      </c>
      <c r="R193">
        <v>73.66</v>
      </c>
      <c r="S193">
        <v>77.55</v>
      </c>
      <c r="T193">
        <v>75.56</v>
      </c>
      <c r="U193">
        <v>85.74</v>
      </c>
      <c r="V193">
        <v>66.41</v>
      </c>
      <c r="W193">
        <v>76.08</v>
      </c>
      <c r="X193">
        <v>0.14899999999999999</v>
      </c>
      <c r="Y193">
        <v>93.6</v>
      </c>
      <c r="Z193">
        <v>41520.57</v>
      </c>
      <c r="AA193">
        <v>1431777</v>
      </c>
    </row>
    <row r="194" spans="1:27" x14ac:dyDescent="0.35">
      <c r="A194" t="s">
        <v>207</v>
      </c>
      <c r="B194" t="s">
        <v>777</v>
      </c>
      <c r="C194" t="s">
        <v>201</v>
      </c>
      <c r="D194" t="str">
        <f t="shared" si="2"/>
        <v>33</v>
      </c>
      <c r="E194" t="s">
        <v>586</v>
      </c>
      <c r="F194">
        <v>9.31</v>
      </c>
      <c r="G194">
        <v>8.36</v>
      </c>
      <c r="H194">
        <v>8.74</v>
      </c>
      <c r="I194">
        <v>13.7</v>
      </c>
      <c r="J194">
        <v>13.58</v>
      </c>
      <c r="K194">
        <v>13.58</v>
      </c>
      <c r="L194">
        <v>78.23</v>
      </c>
      <c r="M194">
        <v>74.77</v>
      </c>
      <c r="N194">
        <v>75.930000000000007</v>
      </c>
      <c r="O194">
        <v>3.92</v>
      </c>
      <c r="P194">
        <v>3.47</v>
      </c>
      <c r="Q194">
        <v>3.72</v>
      </c>
      <c r="R194">
        <v>74.08</v>
      </c>
      <c r="S194">
        <v>78.03</v>
      </c>
      <c r="T194">
        <v>76.06</v>
      </c>
      <c r="U194">
        <v>85.83</v>
      </c>
      <c r="V194">
        <v>64.2</v>
      </c>
      <c r="W194">
        <v>75.02</v>
      </c>
      <c r="X194">
        <v>0.14499999999999999</v>
      </c>
      <c r="Y194">
        <v>95.58</v>
      </c>
      <c r="Z194">
        <v>26483.56</v>
      </c>
      <c r="AA194">
        <v>801670</v>
      </c>
    </row>
    <row r="195" spans="1:27" x14ac:dyDescent="0.35">
      <c r="A195" t="s">
        <v>208</v>
      </c>
      <c r="B195" t="s">
        <v>778</v>
      </c>
      <c r="C195" t="s">
        <v>201</v>
      </c>
      <c r="D195" t="str">
        <f t="shared" ref="D195:D258" si="3">LEFT(B195,2)</f>
        <v>33</v>
      </c>
      <c r="E195" t="s">
        <v>586</v>
      </c>
      <c r="F195">
        <v>7.16</v>
      </c>
      <c r="G195">
        <v>6.79</v>
      </c>
      <c r="H195">
        <v>6.91</v>
      </c>
      <c r="I195">
        <v>12.07</v>
      </c>
      <c r="J195">
        <v>12.03</v>
      </c>
      <c r="K195">
        <v>12.05</v>
      </c>
      <c r="L195">
        <v>74.94</v>
      </c>
      <c r="M195">
        <v>69.86</v>
      </c>
      <c r="N195">
        <v>71.5</v>
      </c>
      <c r="O195">
        <v>4.5199999999999996</v>
      </c>
      <c r="P195">
        <v>3.23</v>
      </c>
      <c r="Q195">
        <v>3.99</v>
      </c>
      <c r="R195">
        <v>72.61</v>
      </c>
      <c r="S195">
        <v>76.61</v>
      </c>
      <c r="T195">
        <v>74.56</v>
      </c>
      <c r="U195">
        <v>87.84</v>
      </c>
      <c r="V195">
        <v>63.25</v>
      </c>
      <c r="W195">
        <v>75.55</v>
      </c>
      <c r="X195">
        <v>0.27900000000000003</v>
      </c>
      <c r="Y195">
        <v>93.22</v>
      </c>
      <c r="Z195">
        <v>26743.57</v>
      </c>
      <c r="AA195">
        <v>931142</v>
      </c>
    </row>
    <row r="196" spans="1:27" x14ac:dyDescent="0.35">
      <c r="A196" t="s">
        <v>209</v>
      </c>
      <c r="B196" t="s">
        <v>779</v>
      </c>
      <c r="C196" t="s">
        <v>201</v>
      </c>
      <c r="D196" t="str">
        <f t="shared" si="3"/>
        <v>33</v>
      </c>
      <c r="E196" t="s">
        <v>586</v>
      </c>
      <c r="F196">
        <v>8.3699999999999992</v>
      </c>
      <c r="G196">
        <v>7.76</v>
      </c>
      <c r="H196">
        <v>8.0399999999999991</v>
      </c>
      <c r="I196">
        <v>12.83</v>
      </c>
      <c r="J196">
        <v>13.08</v>
      </c>
      <c r="K196">
        <v>12.83</v>
      </c>
      <c r="L196">
        <v>77.16</v>
      </c>
      <c r="M196">
        <v>72</v>
      </c>
      <c r="N196">
        <v>73.09</v>
      </c>
      <c r="O196">
        <v>3.09</v>
      </c>
      <c r="P196">
        <v>4.0599999999999996</v>
      </c>
      <c r="Q196">
        <v>3.52</v>
      </c>
      <c r="R196">
        <v>73.13</v>
      </c>
      <c r="S196">
        <v>77.64</v>
      </c>
      <c r="T196">
        <v>74.930000000000007</v>
      </c>
      <c r="U196">
        <v>86.15</v>
      </c>
      <c r="V196">
        <v>70.08</v>
      </c>
      <c r="W196">
        <v>78.12</v>
      </c>
      <c r="X196">
        <v>0.39500000000000002</v>
      </c>
      <c r="Y196">
        <v>93.31</v>
      </c>
      <c r="Z196">
        <v>46981.5</v>
      </c>
      <c r="AA196">
        <v>1351952</v>
      </c>
    </row>
    <row r="197" spans="1:27" x14ac:dyDescent="0.35">
      <c r="A197" t="s">
        <v>210</v>
      </c>
      <c r="B197" t="s">
        <v>780</v>
      </c>
      <c r="C197" t="s">
        <v>201</v>
      </c>
      <c r="D197" t="str">
        <f t="shared" si="3"/>
        <v>33</v>
      </c>
      <c r="E197" t="s">
        <v>586</v>
      </c>
      <c r="F197">
        <v>9.0299999999999994</v>
      </c>
      <c r="G197">
        <v>7.88</v>
      </c>
      <c r="H197">
        <v>8.41</v>
      </c>
      <c r="I197">
        <v>12.65</v>
      </c>
      <c r="J197">
        <v>13.62</v>
      </c>
      <c r="K197">
        <v>12.9</v>
      </c>
      <c r="L197">
        <v>80.510000000000005</v>
      </c>
      <c r="M197">
        <v>76.400000000000006</v>
      </c>
      <c r="N197">
        <v>76.95</v>
      </c>
      <c r="O197">
        <v>2.2000000000000002</v>
      </c>
      <c r="P197">
        <v>3.98</v>
      </c>
      <c r="Q197">
        <v>2.97</v>
      </c>
      <c r="R197">
        <v>74.81</v>
      </c>
      <c r="S197">
        <v>78.7</v>
      </c>
      <c r="T197">
        <v>76.760000000000005</v>
      </c>
      <c r="U197">
        <v>87.96</v>
      </c>
      <c r="V197">
        <v>66.37</v>
      </c>
      <c r="W197">
        <v>77.17</v>
      </c>
      <c r="X197">
        <v>0.26600000000000001</v>
      </c>
      <c r="Y197">
        <v>94.9</v>
      </c>
      <c r="Z197">
        <v>48841.47</v>
      </c>
      <c r="AA197">
        <v>1109332</v>
      </c>
    </row>
    <row r="198" spans="1:27" x14ac:dyDescent="0.35">
      <c r="A198" t="s">
        <v>211</v>
      </c>
      <c r="B198" t="s">
        <v>781</v>
      </c>
      <c r="C198" t="s">
        <v>201</v>
      </c>
      <c r="D198" t="str">
        <f t="shared" si="3"/>
        <v>33</v>
      </c>
      <c r="E198" t="s">
        <v>586</v>
      </c>
      <c r="F198">
        <v>9.92</v>
      </c>
      <c r="G198">
        <v>8.85</v>
      </c>
      <c r="H198">
        <v>9.3000000000000007</v>
      </c>
      <c r="I198">
        <v>13.42</v>
      </c>
      <c r="J198">
        <v>13.66</v>
      </c>
      <c r="K198">
        <v>13.44</v>
      </c>
      <c r="L198">
        <v>80.650000000000006</v>
      </c>
      <c r="M198">
        <v>77.709999999999994</v>
      </c>
      <c r="N198">
        <v>78.680000000000007</v>
      </c>
      <c r="O198">
        <v>3.86</v>
      </c>
      <c r="P198">
        <v>3.9</v>
      </c>
      <c r="Q198">
        <v>3.88</v>
      </c>
      <c r="R198">
        <v>75.66</v>
      </c>
      <c r="S198">
        <v>79.8</v>
      </c>
      <c r="T198">
        <v>77.69</v>
      </c>
      <c r="U198">
        <v>84.06</v>
      </c>
      <c r="V198">
        <v>67.430000000000007</v>
      </c>
      <c r="W198">
        <v>75.75</v>
      </c>
      <c r="X198">
        <v>0.14099999999999999</v>
      </c>
      <c r="Y198">
        <v>96.35</v>
      </c>
      <c r="Z198">
        <v>58434.97</v>
      </c>
      <c r="AA198">
        <v>1300940</v>
      </c>
    </row>
    <row r="199" spans="1:27" x14ac:dyDescent="0.35">
      <c r="A199" t="s">
        <v>212</v>
      </c>
      <c r="B199" t="s">
        <v>782</v>
      </c>
      <c r="C199" t="s">
        <v>201</v>
      </c>
      <c r="D199" t="str">
        <f t="shared" si="3"/>
        <v>33</v>
      </c>
      <c r="E199" t="s">
        <v>586</v>
      </c>
      <c r="F199">
        <v>10.15</v>
      </c>
      <c r="G199">
        <v>9.8800000000000008</v>
      </c>
      <c r="H199">
        <v>10.02</v>
      </c>
      <c r="I199">
        <v>13.88</v>
      </c>
      <c r="J199">
        <v>14.7</v>
      </c>
      <c r="K199">
        <v>14.03</v>
      </c>
      <c r="L199">
        <v>81.17</v>
      </c>
      <c r="M199">
        <v>79.61</v>
      </c>
      <c r="N199">
        <v>79.900000000000006</v>
      </c>
      <c r="O199">
        <v>4.95</v>
      </c>
      <c r="P199">
        <v>3.5</v>
      </c>
      <c r="Q199">
        <v>4.32</v>
      </c>
      <c r="R199">
        <v>76.599999999999994</v>
      </c>
      <c r="S199">
        <v>80.27</v>
      </c>
      <c r="T199">
        <v>78.209999999999994</v>
      </c>
      <c r="U199">
        <v>80.14</v>
      </c>
      <c r="V199">
        <v>59.99</v>
      </c>
      <c r="W199">
        <v>70.069999999999993</v>
      </c>
      <c r="X199">
        <v>0.14599999999999999</v>
      </c>
      <c r="Y199">
        <v>98.08</v>
      </c>
      <c r="Z199">
        <v>53489.29</v>
      </c>
      <c r="AA199">
        <v>950424</v>
      </c>
    </row>
    <row r="200" spans="1:27" x14ac:dyDescent="0.35">
      <c r="A200" t="s">
        <v>213</v>
      </c>
      <c r="B200" t="s">
        <v>783</v>
      </c>
      <c r="C200" t="s">
        <v>201</v>
      </c>
      <c r="D200" t="str">
        <f t="shared" si="3"/>
        <v>33</v>
      </c>
      <c r="E200" t="s">
        <v>586</v>
      </c>
      <c r="F200">
        <v>8.3699999999999992</v>
      </c>
      <c r="G200">
        <v>7.46</v>
      </c>
      <c r="H200">
        <v>7.85</v>
      </c>
      <c r="I200">
        <v>12.64</v>
      </c>
      <c r="J200">
        <v>12.78</v>
      </c>
      <c r="K200">
        <v>12.76</v>
      </c>
      <c r="L200">
        <v>77.25</v>
      </c>
      <c r="M200">
        <v>71.5</v>
      </c>
      <c r="N200">
        <v>73.42</v>
      </c>
      <c r="O200">
        <v>2.39</v>
      </c>
      <c r="P200">
        <v>1.88</v>
      </c>
      <c r="Q200">
        <v>2.16</v>
      </c>
      <c r="R200">
        <v>75.2</v>
      </c>
      <c r="S200">
        <v>79.25</v>
      </c>
      <c r="T200">
        <v>77.3</v>
      </c>
      <c r="U200">
        <v>88.03</v>
      </c>
      <c r="V200">
        <v>69.430000000000007</v>
      </c>
      <c r="W200">
        <v>78.73</v>
      </c>
      <c r="X200">
        <v>0.16400000000000001</v>
      </c>
      <c r="Y200">
        <v>92.56</v>
      </c>
      <c r="Z200">
        <v>42816.58</v>
      </c>
      <c r="AA200">
        <v>1057045</v>
      </c>
    </row>
    <row r="201" spans="1:27" x14ac:dyDescent="0.35">
      <c r="A201" t="s">
        <v>214</v>
      </c>
      <c r="B201" t="s">
        <v>784</v>
      </c>
      <c r="C201" t="s">
        <v>201</v>
      </c>
      <c r="D201" t="str">
        <f t="shared" si="3"/>
        <v>33</v>
      </c>
      <c r="E201" t="s">
        <v>586</v>
      </c>
      <c r="F201">
        <v>9.74</v>
      </c>
      <c r="G201">
        <v>8.75</v>
      </c>
      <c r="H201">
        <v>9.27</v>
      </c>
      <c r="I201">
        <v>13.43</v>
      </c>
      <c r="J201">
        <v>13.82</v>
      </c>
      <c r="K201">
        <v>13.74</v>
      </c>
      <c r="L201">
        <v>79.7</v>
      </c>
      <c r="M201">
        <v>77.430000000000007</v>
      </c>
      <c r="N201">
        <v>78.67</v>
      </c>
      <c r="O201">
        <v>4.2</v>
      </c>
      <c r="P201">
        <v>2.0699999999999998</v>
      </c>
      <c r="Q201">
        <v>3.26</v>
      </c>
      <c r="R201">
        <v>76.3</v>
      </c>
      <c r="S201">
        <v>80.22</v>
      </c>
      <c r="T201">
        <v>78.209999999999994</v>
      </c>
      <c r="U201">
        <v>84.76</v>
      </c>
      <c r="V201">
        <v>65.06</v>
      </c>
      <c r="W201">
        <v>74.91</v>
      </c>
      <c r="X201">
        <v>0.215</v>
      </c>
      <c r="Y201">
        <v>97.15</v>
      </c>
      <c r="Z201">
        <v>55089</v>
      </c>
      <c r="AA201">
        <v>968484</v>
      </c>
    </row>
    <row r="202" spans="1:27" x14ac:dyDescent="0.35">
      <c r="A202" t="s">
        <v>215</v>
      </c>
      <c r="B202" t="s">
        <v>785</v>
      </c>
      <c r="C202" t="s">
        <v>201</v>
      </c>
      <c r="D202" t="str">
        <f t="shared" si="3"/>
        <v>33</v>
      </c>
      <c r="E202" t="s">
        <v>586</v>
      </c>
      <c r="F202">
        <v>8.5</v>
      </c>
      <c r="G202">
        <v>7.4</v>
      </c>
      <c r="H202">
        <v>7.89</v>
      </c>
      <c r="I202">
        <v>12.92</v>
      </c>
      <c r="J202">
        <v>13.28</v>
      </c>
      <c r="K202">
        <v>13.21</v>
      </c>
      <c r="L202">
        <v>79.91</v>
      </c>
      <c r="M202">
        <v>74.430000000000007</v>
      </c>
      <c r="N202">
        <v>76.38</v>
      </c>
      <c r="O202">
        <v>2.87</v>
      </c>
      <c r="P202">
        <v>4.29</v>
      </c>
      <c r="Q202">
        <v>3.49</v>
      </c>
      <c r="R202">
        <v>74.55</v>
      </c>
      <c r="S202">
        <v>78.430000000000007</v>
      </c>
      <c r="T202">
        <v>76.48</v>
      </c>
      <c r="U202">
        <v>84.95</v>
      </c>
      <c r="V202">
        <v>65.03</v>
      </c>
      <c r="W202">
        <v>74.989999999999995</v>
      </c>
      <c r="X202">
        <v>0.30499999999999999</v>
      </c>
      <c r="Y202">
        <v>93.14</v>
      </c>
      <c r="Z202">
        <v>56179.21</v>
      </c>
      <c r="AA202">
        <v>1011824</v>
      </c>
    </row>
    <row r="203" spans="1:27" x14ac:dyDescent="0.35">
      <c r="A203" t="s">
        <v>216</v>
      </c>
      <c r="B203" t="s">
        <v>786</v>
      </c>
      <c r="C203" t="s">
        <v>201</v>
      </c>
      <c r="D203" t="str">
        <f t="shared" si="3"/>
        <v>33</v>
      </c>
      <c r="E203" t="s">
        <v>586</v>
      </c>
      <c r="F203">
        <v>7.9</v>
      </c>
      <c r="G203">
        <v>7.03</v>
      </c>
      <c r="H203">
        <v>7.51</v>
      </c>
      <c r="I203">
        <v>13.91</v>
      </c>
      <c r="J203">
        <v>12.58</v>
      </c>
      <c r="K203">
        <v>12.58</v>
      </c>
      <c r="L203">
        <v>78.97</v>
      </c>
      <c r="M203">
        <v>68.709999999999994</v>
      </c>
      <c r="N203">
        <v>72.94</v>
      </c>
      <c r="O203">
        <v>2.92</v>
      </c>
      <c r="P203">
        <v>3.36</v>
      </c>
      <c r="Q203">
        <v>3.12</v>
      </c>
      <c r="R203">
        <v>73.7</v>
      </c>
      <c r="S203">
        <v>77.510000000000005</v>
      </c>
      <c r="T203">
        <v>75.569999999999993</v>
      </c>
      <c r="U203">
        <v>87.53</v>
      </c>
      <c r="V203">
        <v>67.69</v>
      </c>
      <c r="W203">
        <v>77.61</v>
      </c>
      <c r="X203">
        <v>0.23699999999999999</v>
      </c>
      <c r="Y203">
        <v>87.01</v>
      </c>
      <c r="Z203">
        <v>40143.910000000003</v>
      </c>
      <c r="AA203">
        <v>1519382</v>
      </c>
    </row>
    <row r="204" spans="1:27" x14ac:dyDescent="0.35">
      <c r="A204" t="s">
        <v>217</v>
      </c>
      <c r="B204" t="s">
        <v>787</v>
      </c>
      <c r="C204" t="s">
        <v>201</v>
      </c>
      <c r="D204" t="str">
        <f t="shared" si="3"/>
        <v>33</v>
      </c>
      <c r="E204" t="s">
        <v>586</v>
      </c>
      <c r="F204">
        <v>7.86</v>
      </c>
      <c r="G204">
        <v>7.2</v>
      </c>
      <c r="H204">
        <v>7.45</v>
      </c>
      <c r="I204">
        <v>12.99</v>
      </c>
      <c r="J204">
        <v>12.83</v>
      </c>
      <c r="K204">
        <v>12.83</v>
      </c>
      <c r="L204">
        <v>77</v>
      </c>
      <c r="M204">
        <v>66.59</v>
      </c>
      <c r="N204">
        <v>72.349999999999994</v>
      </c>
      <c r="O204">
        <v>4.08</v>
      </c>
      <c r="P204">
        <v>3.01</v>
      </c>
      <c r="Q204">
        <v>3.61</v>
      </c>
      <c r="R204">
        <v>73.36</v>
      </c>
      <c r="S204">
        <v>77.209999999999994</v>
      </c>
      <c r="T204">
        <v>75.23</v>
      </c>
      <c r="U204">
        <v>87.52</v>
      </c>
      <c r="V204">
        <v>67.849999999999994</v>
      </c>
      <c r="W204">
        <v>77.69</v>
      </c>
      <c r="X204">
        <v>0.19800000000000001</v>
      </c>
      <c r="Y204">
        <v>86.48</v>
      </c>
      <c r="Z204">
        <v>35239.01</v>
      </c>
      <c r="AA204">
        <v>914172</v>
      </c>
    </row>
    <row r="205" spans="1:27" x14ac:dyDescent="0.35">
      <c r="A205" t="s">
        <v>218</v>
      </c>
      <c r="B205" t="s">
        <v>788</v>
      </c>
      <c r="C205" t="s">
        <v>201</v>
      </c>
      <c r="D205" t="str">
        <f t="shared" si="3"/>
        <v>33</v>
      </c>
      <c r="E205" t="s">
        <v>586</v>
      </c>
      <c r="F205">
        <v>8.4</v>
      </c>
      <c r="G205">
        <v>7.41</v>
      </c>
      <c r="H205">
        <v>7.89</v>
      </c>
      <c r="I205">
        <v>12.33</v>
      </c>
      <c r="J205">
        <v>12.63</v>
      </c>
      <c r="K205">
        <v>12.5</v>
      </c>
      <c r="L205">
        <v>77.790000000000006</v>
      </c>
      <c r="M205">
        <v>69.05</v>
      </c>
      <c r="N205">
        <v>73.400000000000006</v>
      </c>
      <c r="O205">
        <v>2.69</v>
      </c>
      <c r="P205">
        <v>3.18</v>
      </c>
      <c r="Q205">
        <v>2.9</v>
      </c>
      <c r="R205">
        <v>73.400000000000006</v>
      </c>
      <c r="S205">
        <v>78.14</v>
      </c>
      <c r="T205">
        <v>75.290000000000006</v>
      </c>
      <c r="U205">
        <v>87.76</v>
      </c>
      <c r="V205">
        <v>64.17</v>
      </c>
      <c r="W205">
        <v>75.97</v>
      </c>
      <c r="X205">
        <v>0.25</v>
      </c>
      <c r="Y205">
        <v>88.76</v>
      </c>
      <c r="Z205">
        <v>27709.759999999998</v>
      </c>
      <c r="AA205">
        <v>670095</v>
      </c>
    </row>
    <row r="206" spans="1:27" x14ac:dyDescent="0.35">
      <c r="A206" t="s">
        <v>219</v>
      </c>
      <c r="B206" t="s">
        <v>789</v>
      </c>
      <c r="C206" t="s">
        <v>201</v>
      </c>
      <c r="D206" t="str">
        <f t="shared" si="3"/>
        <v>33</v>
      </c>
      <c r="E206" t="s">
        <v>586</v>
      </c>
      <c r="F206">
        <v>8.68</v>
      </c>
      <c r="G206">
        <v>7.78</v>
      </c>
      <c r="H206">
        <v>8.09</v>
      </c>
      <c r="I206">
        <v>13.11</v>
      </c>
      <c r="J206">
        <v>13.08</v>
      </c>
      <c r="K206">
        <v>13.08</v>
      </c>
      <c r="L206">
        <v>79.25</v>
      </c>
      <c r="M206">
        <v>73.45</v>
      </c>
      <c r="N206">
        <v>74.98</v>
      </c>
      <c r="O206">
        <v>4.76</v>
      </c>
      <c r="P206">
        <v>2.39</v>
      </c>
      <c r="Q206">
        <v>3.71</v>
      </c>
      <c r="R206">
        <v>74.94</v>
      </c>
      <c r="S206">
        <v>78.709999999999994</v>
      </c>
      <c r="T206">
        <v>76.83</v>
      </c>
      <c r="U206">
        <v>86.65</v>
      </c>
      <c r="V206">
        <v>67.66</v>
      </c>
      <c r="W206">
        <v>77.16</v>
      </c>
      <c r="X206">
        <v>0.23</v>
      </c>
      <c r="Y206">
        <v>92.68</v>
      </c>
      <c r="Z206">
        <v>63627.13</v>
      </c>
      <c r="AA206">
        <v>1381912</v>
      </c>
    </row>
    <row r="207" spans="1:27" x14ac:dyDescent="0.35">
      <c r="A207" t="s">
        <v>220</v>
      </c>
      <c r="B207" t="s">
        <v>790</v>
      </c>
      <c r="C207" t="s">
        <v>201</v>
      </c>
      <c r="D207" t="str">
        <f t="shared" si="3"/>
        <v>33</v>
      </c>
      <c r="E207" t="s">
        <v>586</v>
      </c>
      <c r="F207">
        <v>9.6999999999999993</v>
      </c>
      <c r="G207">
        <v>9.17</v>
      </c>
      <c r="H207">
        <v>9.51</v>
      </c>
      <c r="I207">
        <v>13.25</v>
      </c>
      <c r="J207">
        <v>13.83</v>
      </c>
      <c r="K207">
        <v>13.49</v>
      </c>
      <c r="L207">
        <v>81.180000000000007</v>
      </c>
      <c r="M207">
        <v>76.819999999999993</v>
      </c>
      <c r="N207">
        <v>77.94</v>
      </c>
      <c r="O207">
        <v>4.4000000000000004</v>
      </c>
      <c r="P207">
        <v>1.78</v>
      </c>
      <c r="Q207">
        <v>3.23</v>
      </c>
      <c r="R207">
        <v>75.459999999999994</v>
      </c>
      <c r="S207">
        <v>79.069999999999993</v>
      </c>
      <c r="T207">
        <v>77.209999999999994</v>
      </c>
      <c r="U207">
        <v>84.84</v>
      </c>
      <c r="V207">
        <v>66.78</v>
      </c>
      <c r="W207">
        <v>75.81</v>
      </c>
      <c r="X207">
        <v>0.20699999999999999</v>
      </c>
      <c r="Y207">
        <v>94.63</v>
      </c>
      <c r="Z207">
        <v>132316.91</v>
      </c>
      <c r="AA207">
        <v>891721</v>
      </c>
    </row>
    <row r="208" spans="1:27" x14ac:dyDescent="0.35">
      <c r="A208" t="s">
        <v>221</v>
      </c>
      <c r="B208" t="s">
        <v>791</v>
      </c>
      <c r="C208" t="s">
        <v>201</v>
      </c>
      <c r="D208" t="str">
        <f t="shared" si="3"/>
        <v>33</v>
      </c>
      <c r="E208" t="s">
        <v>586</v>
      </c>
      <c r="F208">
        <v>8.6999999999999993</v>
      </c>
      <c r="G208">
        <v>7.88</v>
      </c>
      <c r="H208">
        <v>8.2799999999999994</v>
      </c>
      <c r="I208">
        <v>12.78</v>
      </c>
      <c r="J208">
        <v>13.27</v>
      </c>
      <c r="K208">
        <v>12.87</v>
      </c>
      <c r="L208">
        <v>78.709999999999994</v>
      </c>
      <c r="M208">
        <v>72.34</v>
      </c>
      <c r="N208">
        <v>74.900000000000006</v>
      </c>
      <c r="O208">
        <v>3.22</v>
      </c>
      <c r="P208">
        <v>3.41</v>
      </c>
      <c r="Q208">
        <v>3.3</v>
      </c>
      <c r="R208">
        <v>74.61</v>
      </c>
      <c r="S208">
        <v>78.42</v>
      </c>
      <c r="T208">
        <v>76.489999999999995</v>
      </c>
      <c r="U208">
        <v>83.5</v>
      </c>
      <c r="V208">
        <v>63.47</v>
      </c>
      <c r="W208">
        <v>73.489999999999995</v>
      </c>
      <c r="X208">
        <v>0.22</v>
      </c>
      <c r="Y208">
        <v>91.91</v>
      </c>
      <c r="Z208">
        <v>43448.83</v>
      </c>
      <c r="AA208">
        <v>1244314</v>
      </c>
    </row>
    <row r="209" spans="1:27" x14ac:dyDescent="0.35">
      <c r="A209" t="s">
        <v>222</v>
      </c>
      <c r="B209" t="s">
        <v>792</v>
      </c>
      <c r="C209" t="s">
        <v>201</v>
      </c>
      <c r="D209" t="str">
        <f t="shared" si="3"/>
        <v>33</v>
      </c>
      <c r="E209" t="s">
        <v>586</v>
      </c>
      <c r="F209">
        <v>8.83</v>
      </c>
      <c r="G209">
        <v>7.89</v>
      </c>
      <c r="H209">
        <v>8.2899999999999991</v>
      </c>
      <c r="I209">
        <v>13.35</v>
      </c>
      <c r="J209">
        <v>13.58</v>
      </c>
      <c r="K209">
        <v>13.37</v>
      </c>
      <c r="L209">
        <v>79.61</v>
      </c>
      <c r="M209">
        <v>72.819999999999993</v>
      </c>
      <c r="N209">
        <v>75.08</v>
      </c>
      <c r="O209">
        <v>4.25</v>
      </c>
      <c r="P209">
        <v>5.04</v>
      </c>
      <c r="Q209">
        <v>4.58</v>
      </c>
      <c r="R209">
        <v>74.16</v>
      </c>
      <c r="S209">
        <v>77.97</v>
      </c>
      <c r="T209">
        <v>76.08</v>
      </c>
      <c r="U209">
        <v>85.59</v>
      </c>
      <c r="V209">
        <v>60.41</v>
      </c>
      <c r="W209">
        <v>73</v>
      </c>
      <c r="X209">
        <v>0.28599999999999998</v>
      </c>
      <c r="Y209">
        <v>91.47</v>
      </c>
      <c r="Z209">
        <v>38778.51</v>
      </c>
      <c r="AA209">
        <v>1265053</v>
      </c>
    </row>
    <row r="210" spans="1:27" x14ac:dyDescent="0.35">
      <c r="A210" t="s">
        <v>223</v>
      </c>
      <c r="B210" t="s">
        <v>793</v>
      </c>
      <c r="C210" t="s">
        <v>201</v>
      </c>
      <c r="D210" t="str">
        <f t="shared" si="3"/>
        <v>33</v>
      </c>
      <c r="E210" t="s">
        <v>586</v>
      </c>
      <c r="F210">
        <v>8.59</v>
      </c>
      <c r="G210">
        <v>7.95</v>
      </c>
      <c r="H210">
        <v>8.17</v>
      </c>
      <c r="I210">
        <v>13.38</v>
      </c>
      <c r="J210">
        <v>13.07</v>
      </c>
      <c r="K210">
        <v>13.23</v>
      </c>
      <c r="L210">
        <v>78.19</v>
      </c>
      <c r="M210">
        <v>75.41</v>
      </c>
      <c r="N210">
        <v>76.400000000000006</v>
      </c>
      <c r="O210">
        <v>3.83</v>
      </c>
      <c r="P210">
        <v>3.37</v>
      </c>
      <c r="Q210">
        <v>3.63</v>
      </c>
      <c r="R210">
        <v>74.52</v>
      </c>
      <c r="S210">
        <v>78.34</v>
      </c>
      <c r="T210">
        <v>76.45</v>
      </c>
      <c r="U210">
        <v>88.76</v>
      </c>
      <c r="V210">
        <v>71.16</v>
      </c>
      <c r="W210">
        <v>79.959999999999994</v>
      </c>
      <c r="X210">
        <v>0.29899999999999999</v>
      </c>
      <c r="Y210">
        <v>96.44</v>
      </c>
      <c r="Z210">
        <v>70391.63</v>
      </c>
      <c r="AA210">
        <v>1098572</v>
      </c>
    </row>
    <row r="211" spans="1:27" x14ac:dyDescent="0.35">
      <c r="A211" t="s">
        <v>224</v>
      </c>
      <c r="B211" t="s">
        <v>794</v>
      </c>
      <c r="C211" t="s">
        <v>201</v>
      </c>
      <c r="D211" t="str">
        <f t="shared" si="3"/>
        <v>33</v>
      </c>
      <c r="E211" t="s">
        <v>586</v>
      </c>
      <c r="F211">
        <v>7.76</v>
      </c>
      <c r="G211">
        <v>7.48</v>
      </c>
      <c r="H211">
        <v>7.61</v>
      </c>
      <c r="I211">
        <v>12.55</v>
      </c>
      <c r="J211">
        <v>12.87</v>
      </c>
      <c r="K211">
        <v>12.63</v>
      </c>
      <c r="L211">
        <v>74.61</v>
      </c>
      <c r="M211">
        <v>71.63</v>
      </c>
      <c r="N211">
        <v>72.52</v>
      </c>
      <c r="O211">
        <v>2.15</v>
      </c>
      <c r="P211">
        <v>2.52</v>
      </c>
      <c r="Q211">
        <v>2.31</v>
      </c>
      <c r="R211">
        <v>74.430000000000007</v>
      </c>
      <c r="S211">
        <v>78.05</v>
      </c>
      <c r="T211">
        <v>76.16</v>
      </c>
      <c r="U211">
        <v>86.36</v>
      </c>
      <c r="V211">
        <v>69.2</v>
      </c>
      <c r="W211">
        <v>77.78</v>
      </c>
      <c r="X211">
        <v>0.20699999999999999</v>
      </c>
      <c r="Y211">
        <v>96.01</v>
      </c>
      <c r="Z211">
        <v>31204.37</v>
      </c>
      <c r="AA211">
        <v>821118</v>
      </c>
    </row>
    <row r="212" spans="1:27" x14ac:dyDescent="0.35">
      <c r="A212" t="s">
        <v>225</v>
      </c>
      <c r="B212" t="s">
        <v>795</v>
      </c>
      <c r="C212" t="s">
        <v>201</v>
      </c>
      <c r="D212" t="str">
        <f t="shared" si="3"/>
        <v>33</v>
      </c>
      <c r="E212" t="s">
        <v>586</v>
      </c>
      <c r="F212">
        <v>8.42</v>
      </c>
      <c r="G212">
        <v>7.52</v>
      </c>
      <c r="H212">
        <v>7.97</v>
      </c>
      <c r="I212">
        <v>13</v>
      </c>
      <c r="J212">
        <v>13.41</v>
      </c>
      <c r="K212">
        <v>13.01</v>
      </c>
      <c r="L212">
        <v>78.209999999999994</v>
      </c>
      <c r="M212">
        <v>73.75</v>
      </c>
      <c r="N212">
        <v>75.069999999999993</v>
      </c>
      <c r="O212">
        <v>4.26</v>
      </c>
      <c r="P212">
        <v>5.07</v>
      </c>
      <c r="Q212">
        <v>4.5999999999999996</v>
      </c>
      <c r="R212">
        <v>73.2</v>
      </c>
      <c r="S212">
        <v>76.900000000000006</v>
      </c>
      <c r="T212">
        <v>74.959999999999994</v>
      </c>
      <c r="U212">
        <v>88.03</v>
      </c>
      <c r="V212">
        <v>64.8</v>
      </c>
      <c r="W212">
        <v>76.42</v>
      </c>
      <c r="X212">
        <v>0.19800000000000001</v>
      </c>
      <c r="Y212">
        <v>94.3</v>
      </c>
      <c r="Z212">
        <v>64590.8</v>
      </c>
      <c r="AA212">
        <v>1076483</v>
      </c>
    </row>
    <row r="213" spans="1:27" x14ac:dyDescent="0.35">
      <c r="A213" t="s">
        <v>226</v>
      </c>
      <c r="B213" t="s">
        <v>796</v>
      </c>
      <c r="C213" t="s">
        <v>201</v>
      </c>
      <c r="D213" t="str">
        <f t="shared" si="3"/>
        <v>33</v>
      </c>
      <c r="E213" t="s">
        <v>586</v>
      </c>
      <c r="F213">
        <v>7.58</v>
      </c>
      <c r="G213">
        <v>7.07</v>
      </c>
      <c r="H213">
        <v>7.35</v>
      </c>
      <c r="I213">
        <v>12.01</v>
      </c>
      <c r="J213">
        <v>12.46</v>
      </c>
      <c r="K213">
        <v>12.18</v>
      </c>
      <c r="L213">
        <v>74.92</v>
      </c>
      <c r="M213">
        <v>69.84</v>
      </c>
      <c r="N213">
        <v>71.7</v>
      </c>
      <c r="O213">
        <v>3.48</v>
      </c>
      <c r="P213">
        <v>7.25</v>
      </c>
      <c r="Q213">
        <v>5.07</v>
      </c>
      <c r="R213">
        <v>73.48</v>
      </c>
      <c r="S213">
        <v>77.25</v>
      </c>
      <c r="T213">
        <v>75.349999999999994</v>
      </c>
      <c r="U213">
        <v>89.61</v>
      </c>
      <c r="V213">
        <v>65.95</v>
      </c>
      <c r="W213">
        <v>77.78</v>
      </c>
      <c r="X213">
        <v>0.19900000000000001</v>
      </c>
      <c r="Y213">
        <v>93.22</v>
      </c>
      <c r="Z213">
        <v>33370.61</v>
      </c>
      <c r="AA213">
        <v>847175</v>
      </c>
    </row>
    <row r="214" spans="1:27" x14ac:dyDescent="0.35">
      <c r="A214" t="s">
        <v>227</v>
      </c>
      <c r="B214" t="s">
        <v>797</v>
      </c>
      <c r="C214" t="s">
        <v>201</v>
      </c>
      <c r="D214" t="str">
        <f t="shared" si="3"/>
        <v>33</v>
      </c>
      <c r="E214" t="s">
        <v>586</v>
      </c>
      <c r="F214">
        <v>7.85</v>
      </c>
      <c r="G214">
        <v>7.26</v>
      </c>
      <c r="H214">
        <v>7.5</v>
      </c>
      <c r="I214">
        <v>12.28</v>
      </c>
      <c r="J214">
        <v>13.2</v>
      </c>
      <c r="K214">
        <v>12.63</v>
      </c>
      <c r="L214">
        <v>76.099999999999994</v>
      </c>
      <c r="M214">
        <v>70.930000000000007</v>
      </c>
      <c r="N214">
        <v>72.709999999999994</v>
      </c>
      <c r="O214">
        <v>3.31</v>
      </c>
      <c r="P214">
        <v>3.14</v>
      </c>
      <c r="Q214">
        <v>3.24</v>
      </c>
      <c r="R214">
        <v>72.62</v>
      </c>
      <c r="S214">
        <v>76.48</v>
      </c>
      <c r="T214">
        <v>74.59</v>
      </c>
      <c r="U214">
        <v>86.1</v>
      </c>
      <c r="V214">
        <v>68.2</v>
      </c>
      <c r="W214">
        <v>77.150000000000006</v>
      </c>
      <c r="X214">
        <v>0.20100000000000001</v>
      </c>
      <c r="Y214">
        <v>93.21</v>
      </c>
      <c r="Z214">
        <v>32684.21</v>
      </c>
      <c r="AA214">
        <v>1030342</v>
      </c>
    </row>
    <row r="215" spans="1:27" x14ac:dyDescent="0.35">
      <c r="A215" t="s">
        <v>228</v>
      </c>
      <c r="B215" t="s">
        <v>798</v>
      </c>
      <c r="C215" t="s">
        <v>201</v>
      </c>
      <c r="D215" t="str">
        <f t="shared" si="3"/>
        <v>33</v>
      </c>
      <c r="E215" t="s">
        <v>586</v>
      </c>
      <c r="F215">
        <v>7.16</v>
      </c>
      <c r="G215">
        <v>6.31</v>
      </c>
      <c r="H215">
        <v>6.69</v>
      </c>
      <c r="I215">
        <v>12.25</v>
      </c>
      <c r="J215">
        <v>12.03</v>
      </c>
      <c r="K215">
        <v>12.03</v>
      </c>
      <c r="L215">
        <v>74.180000000000007</v>
      </c>
      <c r="M215">
        <v>65.06</v>
      </c>
      <c r="N215">
        <v>69.47</v>
      </c>
      <c r="O215">
        <v>8.08</v>
      </c>
      <c r="P215">
        <v>4.4000000000000004</v>
      </c>
      <c r="Q215">
        <v>6.61</v>
      </c>
      <c r="R215">
        <v>72.62</v>
      </c>
      <c r="S215">
        <v>76.53</v>
      </c>
      <c r="T215">
        <v>74.55</v>
      </c>
      <c r="U215">
        <v>85.79</v>
      </c>
      <c r="V215">
        <v>57.88</v>
      </c>
      <c r="W215">
        <v>71.84</v>
      </c>
      <c r="X215">
        <v>0.26300000000000001</v>
      </c>
      <c r="Y215">
        <v>87.71</v>
      </c>
      <c r="Z215">
        <v>37496.54</v>
      </c>
      <c r="AA215">
        <v>1559306</v>
      </c>
    </row>
    <row r="216" spans="1:27" x14ac:dyDescent="0.35">
      <c r="A216" t="s">
        <v>229</v>
      </c>
      <c r="B216" t="s">
        <v>799</v>
      </c>
      <c r="C216" t="s">
        <v>201</v>
      </c>
      <c r="D216" t="str">
        <f t="shared" si="3"/>
        <v>33</v>
      </c>
      <c r="E216" t="s">
        <v>586</v>
      </c>
      <c r="F216">
        <v>7.84</v>
      </c>
      <c r="G216">
        <v>6.91</v>
      </c>
      <c r="H216">
        <v>7.37</v>
      </c>
      <c r="I216">
        <v>13.29</v>
      </c>
      <c r="J216">
        <v>12.9</v>
      </c>
      <c r="K216">
        <v>12.97</v>
      </c>
      <c r="L216">
        <v>77.31</v>
      </c>
      <c r="M216">
        <v>68.94</v>
      </c>
      <c r="N216">
        <v>72.36</v>
      </c>
      <c r="O216">
        <v>8.3699999999999992</v>
      </c>
      <c r="P216">
        <v>6.55</v>
      </c>
      <c r="Q216">
        <v>7.61</v>
      </c>
      <c r="R216">
        <v>72.67</v>
      </c>
      <c r="S216">
        <v>76.61</v>
      </c>
      <c r="T216">
        <v>74.62</v>
      </c>
      <c r="U216">
        <v>83.37</v>
      </c>
      <c r="V216">
        <v>60.44</v>
      </c>
      <c r="W216">
        <v>71.91</v>
      </c>
      <c r="X216">
        <v>0.20200000000000001</v>
      </c>
      <c r="Y216">
        <v>89.17</v>
      </c>
      <c r="Z216">
        <v>51416.47</v>
      </c>
      <c r="AA216">
        <v>1694235</v>
      </c>
    </row>
    <row r="217" spans="1:27" x14ac:dyDescent="0.35">
      <c r="A217" t="s">
        <v>230</v>
      </c>
      <c r="B217" t="s">
        <v>800</v>
      </c>
      <c r="C217" t="s">
        <v>201</v>
      </c>
      <c r="D217" t="str">
        <f t="shared" si="3"/>
        <v>33</v>
      </c>
      <c r="E217" t="s">
        <v>586</v>
      </c>
      <c r="F217">
        <v>6.94</v>
      </c>
      <c r="G217">
        <v>6.16</v>
      </c>
      <c r="H217">
        <v>6.61</v>
      </c>
      <c r="I217">
        <v>12.79</v>
      </c>
      <c r="J217">
        <v>12.58</v>
      </c>
      <c r="K217">
        <v>12.66</v>
      </c>
      <c r="L217">
        <v>75.62</v>
      </c>
      <c r="M217">
        <v>66.52</v>
      </c>
      <c r="N217">
        <v>71.180000000000007</v>
      </c>
      <c r="O217">
        <v>10.01</v>
      </c>
      <c r="P217">
        <v>5.12</v>
      </c>
      <c r="Q217">
        <v>8.07</v>
      </c>
      <c r="R217">
        <v>72.680000000000007</v>
      </c>
      <c r="S217">
        <v>76.45</v>
      </c>
      <c r="T217">
        <v>74.400000000000006</v>
      </c>
      <c r="U217">
        <v>85.95</v>
      </c>
      <c r="V217">
        <v>57.54</v>
      </c>
      <c r="W217">
        <v>71.75</v>
      </c>
      <c r="X217">
        <v>0.255</v>
      </c>
      <c r="Y217">
        <v>87.97</v>
      </c>
      <c r="Z217">
        <v>66309.53</v>
      </c>
      <c r="AA217">
        <v>2087331</v>
      </c>
    </row>
    <row r="218" spans="1:27" x14ac:dyDescent="0.35">
      <c r="A218" t="s">
        <v>231</v>
      </c>
      <c r="B218" t="s">
        <v>801</v>
      </c>
      <c r="C218" t="s">
        <v>201</v>
      </c>
      <c r="D218" t="str">
        <f t="shared" si="3"/>
        <v>33</v>
      </c>
      <c r="E218" t="s">
        <v>586</v>
      </c>
      <c r="F218">
        <v>11.73</v>
      </c>
      <c r="G218">
        <v>11.3</v>
      </c>
      <c r="H218">
        <v>11.44</v>
      </c>
      <c r="I218">
        <v>14.71</v>
      </c>
      <c r="J218">
        <v>14.91</v>
      </c>
      <c r="K218">
        <v>14.84</v>
      </c>
      <c r="L218">
        <v>84.53</v>
      </c>
      <c r="M218">
        <v>82.07</v>
      </c>
      <c r="N218">
        <v>82.92</v>
      </c>
      <c r="O218">
        <v>4.5999999999999996</v>
      </c>
      <c r="P218">
        <v>3.94</v>
      </c>
      <c r="Q218">
        <v>4.3099999999999996</v>
      </c>
      <c r="R218">
        <v>75.849999999999994</v>
      </c>
      <c r="S218">
        <v>79.88</v>
      </c>
      <c r="T218">
        <v>78.03</v>
      </c>
      <c r="U218">
        <v>76.099999999999994</v>
      </c>
      <c r="V218">
        <v>59.5</v>
      </c>
      <c r="W218">
        <v>67.8</v>
      </c>
      <c r="X218">
        <v>0.124</v>
      </c>
      <c r="Y218">
        <v>97.09</v>
      </c>
      <c r="Z218">
        <v>12706.22</v>
      </c>
      <c r="AA218">
        <v>122674</v>
      </c>
    </row>
    <row r="219" spans="1:27" x14ac:dyDescent="0.35">
      <c r="A219" t="s">
        <v>232</v>
      </c>
      <c r="B219" t="s">
        <v>802</v>
      </c>
      <c r="C219" t="s">
        <v>201</v>
      </c>
      <c r="D219" t="str">
        <f t="shared" si="3"/>
        <v>33</v>
      </c>
      <c r="E219" t="s">
        <v>586</v>
      </c>
      <c r="F219">
        <v>11.67</v>
      </c>
      <c r="G219">
        <v>11.09</v>
      </c>
      <c r="H219">
        <v>11.26</v>
      </c>
      <c r="I219">
        <v>14.87</v>
      </c>
      <c r="J219">
        <v>15.24</v>
      </c>
      <c r="K219">
        <v>15.08</v>
      </c>
      <c r="L219">
        <v>85.76</v>
      </c>
      <c r="M219">
        <v>83.63</v>
      </c>
      <c r="N219">
        <v>84.92</v>
      </c>
      <c r="O219">
        <v>5.34</v>
      </c>
      <c r="P219">
        <v>3.48</v>
      </c>
      <c r="Q219">
        <v>4.5</v>
      </c>
      <c r="R219">
        <v>76.290000000000006</v>
      </c>
      <c r="S219">
        <v>80.05</v>
      </c>
      <c r="T219">
        <v>78.180000000000007</v>
      </c>
      <c r="U219">
        <v>79.94</v>
      </c>
      <c r="V219">
        <v>61.86</v>
      </c>
      <c r="W219">
        <v>70.900000000000006</v>
      </c>
      <c r="X219">
        <v>0.16300000000000001</v>
      </c>
      <c r="Y219">
        <v>97.52</v>
      </c>
      <c r="Z219">
        <v>68789.17</v>
      </c>
      <c r="AA219">
        <v>529079</v>
      </c>
    </row>
    <row r="220" spans="1:27" x14ac:dyDescent="0.35">
      <c r="A220" t="s">
        <v>233</v>
      </c>
      <c r="B220" t="s">
        <v>803</v>
      </c>
      <c r="C220" t="s">
        <v>201</v>
      </c>
      <c r="D220" t="str">
        <f t="shared" si="3"/>
        <v>33</v>
      </c>
      <c r="E220" t="s">
        <v>586</v>
      </c>
      <c r="F220">
        <v>11.89</v>
      </c>
      <c r="G220">
        <v>11.23</v>
      </c>
      <c r="H220">
        <v>11.49</v>
      </c>
      <c r="I220">
        <v>15.47</v>
      </c>
      <c r="J220">
        <v>15.53</v>
      </c>
      <c r="K220">
        <v>15.47</v>
      </c>
      <c r="L220">
        <v>89.16</v>
      </c>
      <c r="M220">
        <v>85.33</v>
      </c>
      <c r="N220">
        <v>86.23</v>
      </c>
      <c r="O220">
        <v>3.58</v>
      </c>
      <c r="P220">
        <v>3.79</v>
      </c>
      <c r="Q220">
        <v>3.67</v>
      </c>
      <c r="R220">
        <v>76.66</v>
      </c>
      <c r="S220">
        <v>80.680000000000007</v>
      </c>
      <c r="T220">
        <v>78.75</v>
      </c>
      <c r="U220">
        <v>79.930000000000007</v>
      </c>
      <c r="V220">
        <v>62.3</v>
      </c>
      <c r="W220">
        <v>71.12</v>
      </c>
      <c r="X220">
        <v>0.223</v>
      </c>
      <c r="Y220">
        <v>95.7</v>
      </c>
      <c r="Z220">
        <v>19384.47</v>
      </c>
      <c r="AA220">
        <v>203554</v>
      </c>
    </row>
    <row r="221" spans="1:27" x14ac:dyDescent="0.35">
      <c r="A221" t="s">
        <v>234</v>
      </c>
      <c r="B221" t="s">
        <v>804</v>
      </c>
      <c r="C221" t="s">
        <v>201</v>
      </c>
      <c r="D221" t="str">
        <f t="shared" si="3"/>
        <v>33</v>
      </c>
      <c r="E221" t="s">
        <v>586</v>
      </c>
      <c r="F221">
        <v>11.56</v>
      </c>
      <c r="G221">
        <v>10.82</v>
      </c>
      <c r="H221">
        <v>11.11</v>
      </c>
      <c r="I221">
        <v>15.79</v>
      </c>
      <c r="J221">
        <v>15.57</v>
      </c>
      <c r="K221">
        <v>15.58</v>
      </c>
      <c r="L221">
        <v>87.57</v>
      </c>
      <c r="M221">
        <v>84.4</v>
      </c>
      <c r="N221">
        <v>85.8</v>
      </c>
      <c r="O221">
        <v>5.26</v>
      </c>
      <c r="P221">
        <v>6.14</v>
      </c>
      <c r="Q221">
        <v>5.65</v>
      </c>
      <c r="R221">
        <v>76.650000000000006</v>
      </c>
      <c r="S221">
        <v>80.66</v>
      </c>
      <c r="T221">
        <v>78.72</v>
      </c>
      <c r="U221">
        <v>81.61</v>
      </c>
      <c r="V221">
        <v>63.95</v>
      </c>
      <c r="W221">
        <v>72.78</v>
      </c>
      <c r="X221">
        <v>0.125</v>
      </c>
      <c r="Y221">
        <v>96.38</v>
      </c>
      <c r="Z221">
        <v>288050.38</v>
      </c>
      <c r="AA221">
        <v>1722421</v>
      </c>
    </row>
    <row r="222" spans="1:27" x14ac:dyDescent="0.35">
      <c r="A222" t="s">
        <v>235</v>
      </c>
      <c r="B222" t="s">
        <v>805</v>
      </c>
      <c r="C222" t="s">
        <v>201</v>
      </c>
      <c r="D222" t="str">
        <f t="shared" si="3"/>
        <v>33</v>
      </c>
      <c r="E222" t="s">
        <v>586</v>
      </c>
      <c r="F222">
        <v>9.56</v>
      </c>
      <c r="G222">
        <v>9.23</v>
      </c>
      <c r="H222">
        <v>9.35</v>
      </c>
      <c r="I222">
        <v>12.78</v>
      </c>
      <c r="J222">
        <v>13.22</v>
      </c>
      <c r="K222">
        <v>12.98</v>
      </c>
      <c r="L222">
        <v>80.52</v>
      </c>
      <c r="M222">
        <v>77.02</v>
      </c>
      <c r="N222">
        <v>77.760000000000005</v>
      </c>
      <c r="O222">
        <v>3.87</v>
      </c>
      <c r="P222">
        <v>6.1</v>
      </c>
      <c r="Q222">
        <v>4.83</v>
      </c>
      <c r="R222">
        <v>73.260000000000005</v>
      </c>
      <c r="S222">
        <v>77</v>
      </c>
      <c r="T222">
        <v>75.099999999999994</v>
      </c>
      <c r="U222">
        <v>85.19</v>
      </c>
      <c r="V222">
        <v>65.38</v>
      </c>
      <c r="W222">
        <v>75.290000000000006</v>
      </c>
      <c r="X222">
        <v>0.184</v>
      </c>
      <c r="Y222">
        <v>95.65</v>
      </c>
      <c r="Z222">
        <v>15901.56</v>
      </c>
      <c r="AA222">
        <v>324564</v>
      </c>
    </row>
    <row r="223" spans="1:27" x14ac:dyDescent="0.35">
      <c r="A223" t="s">
        <v>236</v>
      </c>
      <c r="B223" t="s">
        <v>806</v>
      </c>
      <c r="C223" t="s">
        <v>201</v>
      </c>
      <c r="D223" t="str">
        <f t="shared" si="3"/>
        <v>33</v>
      </c>
      <c r="E223" t="s">
        <v>586</v>
      </c>
      <c r="F223">
        <v>9.58</v>
      </c>
      <c r="G223">
        <v>9.09</v>
      </c>
      <c r="H223">
        <v>9.2899999999999991</v>
      </c>
      <c r="I223">
        <v>13.2</v>
      </c>
      <c r="J223">
        <v>13.42</v>
      </c>
      <c r="K223">
        <v>13.26</v>
      </c>
      <c r="L223">
        <v>81.58</v>
      </c>
      <c r="M223">
        <v>76.72</v>
      </c>
      <c r="N223">
        <v>77.95</v>
      </c>
      <c r="O223">
        <v>8.1</v>
      </c>
      <c r="P223">
        <v>2.69</v>
      </c>
      <c r="Q223">
        <v>5.82</v>
      </c>
      <c r="R223">
        <v>73.430000000000007</v>
      </c>
      <c r="S223">
        <v>77.239999999999995</v>
      </c>
      <c r="T223">
        <v>75.3</v>
      </c>
      <c r="U223">
        <v>79.48</v>
      </c>
      <c r="V223">
        <v>58.06</v>
      </c>
      <c r="W223">
        <v>68.77</v>
      </c>
      <c r="X223">
        <v>0.159</v>
      </c>
      <c r="Y223">
        <v>94.04</v>
      </c>
      <c r="Z223">
        <v>22247.69</v>
      </c>
      <c r="AA223">
        <v>288817</v>
      </c>
    </row>
    <row r="224" spans="1:27" x14ac:dyDescent="0.35">
      <c r="A224" t="s">
        <v>238</v>
      </c>
      <c r="B224" t="s">
        <v>807</v>
      </c>
      <c r="C224" t="s">
        <v>237</v>
      </c>
      <c r="D224" t="str">
        <f t="shared" si="3"/>
        <v>34</v>
      </c>
      <c r="E224" t="s">
        <v>586</v>
      </c>
      <c r="F224">
        <v>9.5299999999999994</v>
      </c>
      <c r="G224">
        <v>9.15</v>
      </c>
      <c r="H224">
        <v>9.33</v>
      </c>
      <c r="I224">
        <v>14.55</v>
      </c>
      <c r="J224">
        <v>15.44</v>
      </c>
      <c r="K224">
        <v>14.55</v>
      </c>
      <c r="L224">
        <v>80.25</v>
      </c>
      <c r="M224">
        <v>76.97</v>
      </c>
      <c r="N224">
        <v>76.97</v>
      </c>
      <c r="O224">
        <v>2.23</v>
      </c>
      <c r="P224">
        <v>2.0299999999999998</v>
      </c>
      <c r="Q224">
        <v>2.14</v>
      </c>
      <c r="R224">
        <v>73.94</v>
      </c>
      <c r="S224">
        <v>78.62</v>
      </c>
      <c r="T224">
        <v>75.709999999999994</v>
      </c>
      <c r="U224">
        <v>85.35</v>
      </c>
      <c r="V224">
        <v>71.81</v>
      </c>
      <c r="W224">
        <v>78.58</v>
      </c>
      <c r="X224">
        <v>0.33300000000000002</v>
      </c>
      <c r="Y224">
        <v>95.91</v>
      </c>
      <c r="Z224">
        <v>17929.509999999998</v>
      </c>
      <c r="AA224">
        <v>447462</v>
      </c>
    </row>
    <row r="225" spans="1:27" x14ac:dyDescent="0.35">
      <c r="A225" t="s">
        <v>239</v>
      </c>
      <c r="B225" t="s">
        <v>808</v>
      </c>
      <c r="C225" t="s">
        <v>237</v>
      </c>
      <c r="D225" t="str">
        <f t="shared" si="3"/>
        <v>34</v>
      </c>
      <c r="E225" t="s">
        <v>586</v>
      </c>
      <c r="F225">
        <v>10.42</v>
      </c>
      <c r="G225">
        <v>9.9700000000000006</v>
      </c>
      <c r="H225">
        <v>10.11</v>
      </c>
      <c r="I225">
        <v>15.93</v>
      </c>
      <c r="J225">
        <v>15.72</v>
      </c>
      <c r="K225">
        <v>15.91</v>
      </c>
      <c r="L225">
        <v>85.24</v>
      </c>
      <c r="M225">
        <v>82.2</v>
      </c>
      <c r="N225">
        <v>83.03</v>
      </c>
      <c r="O225">
        <v>3.78</v>
      </c>
      <c r="P225">
        <v>3.3</v>
      </c>
      <c r="Q225">
        <v>3.57</v>
      </c>
      <c r="R225">
        <v>73.31</v>
      </c>
      <c r="S225">
        <v>77.84</v>
      </c>
      <c r="T225">
        <v>75.040000000000006</v>
      </c>
      <c r="U225">
        <v>84.39</v>
      </c>
      <c r="V225">
        <v>65.53</v>
      </c>
      <c r="W225">
        <v>74.959999999999994</v>
      </c>
      <c r="X225">
        <v>0.123</v>
      </c>
      <c r="Y225">
        <v>96.43</v>
      </c>
      <c r="Z225">
        <v>39170.71</v>
      </c>
      <c r="AA225">
        <v>1025750</v>
      </c>
    </row>
    <row r="226" spans="1:27" x14ac:dyDescent="0.35">
      <c r="A226" t="s">
        <v>240</v>
      </c>
      <c r="B226" t="s">
        <v>1112</v>
      </c>
      <c r="C226" t="s">
        <v>237</v>
      </c>
      <c r="D226" t="str">
        <f t="shared" si="3"/>
        <v>34</v>
      </c>
      <c r="E226" t="s">
        <v>586</v>
      </c>
      <c r="F226">
        <v>8.1999999999999993</v>
      </c>
      <c r="G226">
        <v>7.33</v>
      </c>
      <c r="H226">
        <v>7.64</v>
      </c>
      <c r="I226">
        <v>13.48</v>
      </c>
      <c r="J226">
        <v>13.84</v>
      </c>
      <c r="K226">
        <v>13.56</v>
      </c>
      <c r="L226">
        <v>78.83</v>
      </c>
      <c r="M226">
        <v>68.87</v>
      </c>
      <c r="N226">
        <v>73.13</v>
      </c>
      <c r="O226">
        <v>2.84</v>
      </c>
      <c r="P226">
        <v>1.31</v>
      </c>
      <c r="Q226">
        <v>2.15</v>
      </c>
      <c r="R226">
        <v>73.39</v>
      </c>
      <c r="S226">
        <v>77.92</v>
      </c>
      <c r="T226">
        <v>75.12</v>
      </c>
      <c r="U226">
        <v>86.88</v>
      </c>
      <c r="V226">
        <v>67.489999999999995</v>
      </c>
      <c r="W226">
        <v>77.19</v>
      </c>
      <c r="X226">
        <v>0.16600000000000001</v>
      </c>
      <c r="Y226">
        <v>87.37</v>
      </c>
      <c r="Z226">
        <v>28869.98</v>
      </c>
      <c r="AA226">
        <v>753187</v>
      </c>
    </row>
    <row r="227" spans="1:27" x14ac:dyDescent="0.35">
      <c r="A227" t="s">
        <v>241</v>
      </c>
      <c r="B227" t="s">
        <v>809</v>
      </c>
      <c r="C227" t="s">
        <v>237</v>
      </c>
      <c r="D227" t="str">
        <f t="shared" si="3"/>
        <v>34</v>
      </c>
      <c r="E227" t="s">
        <v>586</v>
      </c>
      <c r="F227">
        <v>11.7</v>
      </c>
      <c r="G227">
        <v>11.17</v>
      </c>
      <c r="H227">
        <v>11.42</v>
      </c>
      <c r="I227">
        <v>16.809999999999999</v>
      </c>
      <c r="J227">
        <v>16.79</v>
      </c>
      <c r="K227">
        <v>16.8</v>
      </c>
      <c r="L227">
        <v>87.93</v>
      </c>
      <c r="M227">
        <v>85.44</v>
      </c>
      <c r="N227">
        <v>86.35</v>
      </c>
      <c r="O227">
        <v>4.6900000000000004</v>
      </c>
      <c r="P227">
        <v>3.3</v>
      </c>
      <c r="Q227">
        <v>4.07</v>
      </c>
      <c r="R227">
        <v>73.95</v>
      </c>
      <c r="S227">
        <v>78.75</v>
      </c>
      <c r="T227">
        <v>75.81</v>
      </c>
      <c r="U227">
        <v>82.62</v>
      </c>
      <c r="V227">
        <v>63.64</v>
      </c>
      <c r="W227">
        <v>73.13</v>
      </c>
      <c r="X227">
        <v>0.121</v>
      </c>
      <c r="Y227">
        <v>97.17</v>
      </c>
      <c r="Z227">
        <v>69114.42</v>
      </c>
      <c r="AA227">
        <v>1179382</v>
      </c>
    </row>
    <row r="228" spans="1:27" x14ac:dyDescent="0.35">
      <c r="A228" t="s">
        <v>242</v>
      </c>
      <c r="B228" t="s">
        <v>810</v>
      </c>
      <c r="C228" t="s">
        <v>237</v>
      </c>
      <c r="D228" t="str">
        <f t="shared" si="3"/>
        <v>34</v>
      </c>
      <c r="E228" t="s">
        <v>586</v>
      </c>
      <c r="F228">
        <v>12.26</v>
      </c>
      <c r="G228">
        <v>11.93</v>
      </c>
      <c r="H228">
        <v>12.13</v>
      </c>
      <c r="I228">
        <v>17.53</v>
      </c>
      <c r="J228">
        <v>17.7</v>
      </c>
      <c r="K228">
        <v>17.670000000000002</v>
      </c>
      <c r="L228">
        <v>90.08</v>
      </c>
      <c r="M228">
        <v>89.41</v>
      </c>
      <c r="N228">
        <v>89.53</v>
      </c>
      <c r="O228">
        <v>5.98</v>
      </c>
      <c r="P228">
        <v>5.42</v>
      </c>
      <c r="Q228">
        <v>5.72</v>
      </c>
      <c r="R228">
        <v>74.22</v>
      </c>
      <c r="S228">
        <v>79.03</v>
      </c>
      <c r="T228">
        <v>76.05</v>
      </c>
      <c r="U228">
        <v>78.77</v>
      </c>
      <c r="V228">
        <v>63.85</v>
      </c>
      <c r="W228">
        <v>71.31</v>
      </c>
      <c r="X228">
        <v>0.16200000000000001</v>
      </c>
      <c r="Y228">
        <v>99.26</v>
      </c>
      <c r="Z228">
        <v>52848.54</v>
      </c>
      <c r="AA228">
        <v>375768</v>
      </c>
    </row>
    <row r="229" spans="1:27" x14ac:dyDescent="0.35">
      <c r="A229" t="s">
        <v>244</v>
      </c>
      <c r="B229" t="s">
        <v>811</v>
      </c>
      <c r="C229" t="s">
        <v>243</v>
      </c>
      <c r="D229" t="str">
        <f t="shared" si="3"/>
        <v>35</v>
      </c>
      <c r="E229" t="s">
        <v>586</v>
      </c>
      <c r="F229">
        <v>8.17</v>
      </c>
      <c r="G229">
        <v>7.7</v>
      </c>
      <c r="H229">
        <v>7.91</v>
      </c>
      <c r="I229">
        <v>12.94</v>
      </c>
      <c r="J229">
        <v>12.65</v>
      </c>
      <c r="K229">
        <v>12.7</v>
      </c>
      <c r="L229">
        <v>76.959999999999994</v>
      </c>
      <c r="M229">
        <v>67.41</v>
      </c>
      <c r="N229">
        <v>72.260000000000005</v>
      </c>
      <c r="O229">
        <v>1.41</v>
      </c>
      <c r="P229">
        <v>1.38</v>
      </c>
      <c r="Q229">
        <v>1.4</v>
      </c>
      <c r="R229">
        <v>72.33</v>
      </c>
      <c r="S229">
        <v>77.760000000000005</v>
      </c>
      <c r="T229">
        <v>74.98</v>
      </c>
      <c r="U229">
        <v>88.06</v>
      </c>
      <c r="V229">
        <v>73.55</v>
      </c>
      <c r="W229">
        <v>80.81</v>
      </c>
      <c r="X229">
        <v>0.32600000000000001</v>
      </c>
      <c r="Y229">
        <v>87.59</v>
      </c>
      <c r="Z229">
        <v>22510.01</v>
      </c>
      <c r="AA229">
        <v>589034</v>
      </c>
    </row>
    <row r="230" spans="1:27" x14ac:dyDescent="0.35">
      <c r="A230" t="s">
        <v>245</v>
      </c>
      <c r="B230" t="s">
        <v>812</v>
      </c>
      <c r="C230" t="s">
        <v>243</v>
      </c>
      <c r="D230" t="str">
        <f t="shared" si="3"/>
        <v>35</v>
      </c>
      <c r="E230" t="s">
        <v>586</v>
      </c>
      <c r="F230">
        <v>8.27</v>
      </c>
      <c r="G230">
        <v>7.57</v>
      </c>
      <c r="H230">
        <v>7.95</v>
      </c>
      <c r="I230">
        <v>13.66</v>
      </c>
      <c r="J230">
        <v>14.01</v>
      </c>
      <c r="K230">
        <v>13.93</v>
      </c>
      <c r="L230">
        <v>77.39</v>
      </c>
      <c r="M230">
        <v>73.84</v>
      </c>
      <c r="N230">
        <v>74.650000000000006</v>
      </c>
      <c r="O230">
        <v>3.92</v>
      </c>
      <c r="P230">
        <v>3.78</v>
      </c>
      <c r="Q230">
        <v>3.85</v>
      </c>
      <c r="R230">
        <v>72.849999999999994</v>
      </c>
      <c r="S230">
        <v>78.510000000000005</v>
      </c>
      <c r="T230">
        <v>75.61</v>
      </c>
      <c r="U230">
        <v>86.69</v>
      </c>
      <c r="V230">
        <v>73.260000000000005</v>
      </c>
      <c r="W230">
        <v>79.98</v>
      </c>
      <c r="X230">
        <v>0.29899999999999999</v>
      </c>
      <c r="Y230">
        <v>95.41</v>
      </c>
      <c r="Z230">
        <v>28989.919999999998</v>
      </c>
      <c r="AA230">
        <v>966111</v>
      </c>
    </row>
    <row r="231" spans="1:27" x14ac:dyDescent="0.35">
      <c r="A231" t="s">
        <v>246</v>
      </c>
      <c r="B231" t="s">
        <v>813</v>
      </c>
      <c r="C231" t="s">
        <v>243</v>
      </c>
      <c r="D231" t="str">
        <f t="shared" si="3"/>
        <v>35</v>
      </c>
      <c r="E231" t="s">
        <v>586</v>
      </c>
      <c r="F231">
        <v>8.2799999999999994</v>
      </c>
      <c r="G231">
        <v>7.8</v>
      </c>
      <c r="H231">
        <v>8.09</v>
      </c>
      <c r="I231">
        <v>12.59</v>
      </c>
      <c r="J231">
        <v>12.82</v>
      </c>
      <c r="K231">
        <v>12.78</v>
      </c>
      <c r="L231">
        <v>77.78</v>
      </c>
      <c r="M231">
        <v>72.83</v>
      </c>
      <c r="N231">
        <v>73.39</v>
      </c>
      <c r="O231">
        <v>4.25</v>
      </c>
      <c r="P231">
        <v>3.37</v>
      </c>
      <c r="Q231">
        <v>3.86</v>
      </c>
      <c r="R231">
        <v>73.83</v>
      </c>
      <c r="S231">
        <v>78.53</v>
      </c>
      <c r="T231">
        <v>75.63</v>
      </c>
      <c r="U231">
        <v>86.61</v>
      </c>
      <c r="V231">
        <v>68.78</v>
      </c>
      <c r="W231">
        <v>77.7</v>
      </c>
      <c r="X231">
        <v>0.215</v>
      </c>
      <c r="Y231">
        <v>93.64</v>
      </c>
      <c r="Z231">
        <v>26249</v>
      </c>
      <c r="AA231">
        <v>747614</v>
      </c>
    </row>
    <row r="232" spans="1:27" x14ac:dyDescent="0.35">
      <c r="A232" t="s">
        <v>247</v>
      </c>
      <c r="B232" t="s">
        <v>814</v>
      </c>
      <c r="C232" t="s">
        <v>243</v>
      </c>
      <c r="D232" t="str">
        <f t="shared" si="3"/>
        <v>35</v>
      </c>
      <c r="E232" t="s">
        <v>586</v>
      </c>
      <c r="F232">
        <v>8.9600000000000009</v>
      </c>
      <c r="G232">
        <v>8.4600000000000009</v>
      </c>
      <c r="H232">
        <v>8.69</v>
      </c>
      <c r="I232">
        <v>13.5</v>
      </c>
      <c r="J232">
        <v>13.87</v>
      </c>
      <c r="K232">
        <v>13.5</v>
      </c>
      <c r="L232">
        <v>78.87</v>
      </c>
      <c r="M232">
        <v>75.59</v>
      </c>
      <c r="N232">
        <v>75.88</v>
      </c>
      <c r="O232">
        <v>3.68</v>
      </c>
      <c r="P232">
        <v>4.5</v>
      </c>
      <c r="Q232">
        <v>4.03</v>
      </c>
      <c r="R232">
        <v>73.86</v>
      </c>
      <c r="S232">
        <v>78.39</v>
      </c>
      <c r="T232">
        <v>75.510000000000005</v>
      </c>
      <c r="U232">
        <v>86.54</v>
      </c>
      <c r="V232">
        <v>63.02</v>
      </c>
      <c r="W232">
        <v>74.78</v>
      </c>
      <c r="X232">
        <v>0.191</v>
      </c>
      <c r="Y232">
        <v>95.84</v>
      </c>
      <c r="Z232">
        <v>55403.25</v>
      </c>
      <c r="AA232">
        <v>1119588</v>
      </c>
    </row>
    <row r="233" spans="1:27" x14ac:dyDescent="0.35">
      <c r="A233" t="s">
        <v>248</v>
      </c>
      <c r="B233" t="s">
        <v>815</v>
      </c>
      <c r="C233" t="s">
        <v>243</v>
      </c>
      <c r="D233" t="str">
        <f t="shared" si="3"/>
        <v>35</v>
      </c>
      <c r="E233" t="s">
        <v>586</v>
      </c>
      <c r="F233">
        <v>8.15</v>
      </c>
      <c r="G233">
        <v>7.9</v>
      </c>
      <c r="H233">
        <v>8.01</v>
      </c>
      <c r="I233">
        <v>12.39</v>
      </c>
      <c r="J233">
        <v>13.33</v>
      </c>
      <c r="K233">
        <v>12.83</v>
      </c>
      <c r="L233">
        <v>78.03</v>
      </c>
      <c r="M233">
        <v>73.62</v>
      </c>
      <c r="N233">
        <v>74.430000000000007</v>
      </c>
      <c r="O233">
        <v>3.61</v>
      </c>
      <c r="P233">
        <v>5.64</v>
      </c>
      <c r="Q233">
        <v>4.49</v>
      </c>
      <c r="R233">
        <v>73.92</v>
      </c>
      <c r="S233">
        <v>78.53</v>
      </c>
      <c r="T233">
        <v>75.63</v>
      </c>
      <c r="U233">
        <v>86.12</v>
      </c>
      <c r="V233">
        <v>65.5</v>
      </c>
      <c r="W233">
        <v>75.81</v>
      </c>
      <c r="X233">
        <v>0.161</v>
      </c>
      <c r="Y233">
        <v>94.35</v>
      </c>
      <c r="Z233">
        <v>51192.98</v>
      </c>
      <c r="AA233">
        <v>1273451</v>
      </c>
    </row>
    <row r="234" spans="1:27" x14ac:dyDescent="0.35">
      <c r="A234" t="s">
        <v>249</v>
      </c>
      <c r="B234" t="s">
        <v>816</v>
      </c>
      <c r="C234" t="s">
        <v>243</v>
      </c>
      <c r="D234" t="str">
        <f t="shared" si="3"/>
        <v>35</v>
      </c>
      <c r="E234" t="s">
        <v>586</v>
      </c>
      <c r="F234">
        <v>8.8000000000000007</v>
      </c>
      <c r="G234">
        <v>7.97</v>
      </c>
      <c r="H234">
        <v>8.3800000000000008</v>
      </c>
      <c r="I234">
        <v>13.55</v>
      </c>
      <c r="J234">
        <v>13.89</v>
      </c>
      <c r="K234">
        <v>13.77</v>
      </c>
      <c r="L234">
        <v>79.73</v>
      </c>
      <c r="M234">
        <v>75.06</v>
      </c>
      <c r="N234">
        <v>76.09</v>
      </c>
      <c r="O234">
        <v>5.23</v>
      </c>
      <c r="P234">
        <v>3.86</v>
      </c>
      <c r="Q234">
        <v>4.71</v>
      </c>
      <c r="R234">
        <v>72.69</v>
      </c>
      <c r="S234">
        <v>78.28</v>
      </c>
      <c r="T234">
        <v>75.41</v>
      </c>
      <c r="U234">
        <v>85.58</v>
      </c>
      <c r="V234">
        <v>53.55</v>
      </c>
      <c r="W234">
        <v>69.569999999999993</v>
      </c>
      <c r="X234">
        <v>0.19600000000000001</v>
      </c>
      <c r="Y234">
        <v>94.14</v>
      </c>
      <c r="Z234">
        <v>58721.19</v>
      </c>
      <c r="AA234">
        <v>1702262</v>
      </c>
    </row>
    <row r="235" spans="1:27" x14ac:dyDescent="0.35">
      <c r="A235" t="s">
        <v>250</v>
      </c>
      <c r="B235" t="s">
        <v>817</v>
      </c>
      <c r="C235" t="s">
        <v>243</v>
      </c>
      <c r="D235" t="str">
        <f t="shared" si="3"/>
        <v>35</v>
      </c>
      <c r="E235" t="s">
        <v>586</v>
      </c>
      <c r="F235">
        <v>8.3699999999999992</v>
      </c>
      <c r="G235">
        <v>7.62</v>
      </c>
      <c r="H235">
        <v>7.98</v>
      </c>
      <c r="I235">
        <v>13.5</v>
      </c>
      <c r="J235">
        <v>13.66</v>
      </c>
      <c r="K235">
        <v>13.6</v>
      </c>
      <c r="L235">
        <v>78.510000000000005</v>
      </c>
      <c r="M235">
        <v>70.52</v>
      </c>
      <c r="N235">
        <v>74.45</v>
      </c>
      <c r="O235">
        <v>5.0599999999999996</v>
      </c>
      <c r="P235">
        <v>4.93</v>
      </c>
      <c r="Q235">
        <v>5</v>
      </c>
      <c r="R235">
        <v>72.86</v>
      </c>
      <c r="S235">
        <v>78.53</v>
      </c>
      <c r="T235">
        <v>75.63</v>
      </c>
      <c r="U235">
        <v>87.96</v>
      </c>
      <c r="V235">
        <v>59.74</v>
      </c>
      <c r="W235">
        <v>73.849999999999994</v>
      </c>
      <c r="X235">
        <v>0.39700000000000002</v>
      </c>
      <c r="Y235">
        <v>89.82</v>
      </c>
      <c r="Z235">
        <v>150228</v>
      </c>
      <c r="AA235">
        <v>2755438</v>
      </c>
    </row>
    <row r="236" spans="1:27" x14ac:dyDescent="0.35">
      <c r="A236" t="s">
        <v>251</v>
      </c>
      <c r="B236" t="s">
        <v>818</v>
      </c>
      <c r="C236" t="s">
        <v>243</v>
      </c>
      <c r="D236" t="str">
        <f t="shared" si="3"/>
        <v>35</v>
      </c>
      <c r="E236" t="s">
        <v>586</v>
      </c>
      <c r="F236">
        <v>7.68</v>
      </c>
      <c r="G236">
        <v>6.85</v>
      </c>
      <c r="H236">
        <v>7.28</v>
      </c>
      <c r="I236">
        <v>12.54</v>
      </c>
      <c r="J236">
        <v>12.42</v>
      </c>
      <c r="K236">
        <v>12.53</v>
      </c>
      <c r="L236">
        <v>75.569999999999993</v>
      </c>
      <c r="M236">
        <v>68.239999999999995</v>
      </c>
      <c r="N236">
        <v>71.02</v>
      </c>
      <c r="O236">
        <v>2.4900000000000002</v>
      </c>
      <c r="P236">
        <v>4.01</v>
      </c>
      <c r="Q236">
        <v>3.08</v>
      </c>
      <c r="R236">
        <v>72.19</v>
      </c>
      <c r="S236">
        <v>77.55</v>
      </c>
      <c r="T236">
        <v>74.8</v>
      </c>
      <c r="U236">
        <v>87.03</v>
      </c>
      <c r="V236">
        <v>52.95</v>
      </c>
      <c r="W236">
        <v>69.989999999999995</v>
      </c>
      <c r="X236">
        <v>0.221</v>
      </c>
      <c r="Y236">
        <v>90.3</v>
      </c>
      <c r="Z236">
        <v>46492.44</v>
      </c>
      <c r="AA236">
        <v>1152264</v>
      </c>
    </row>
    <row r="237" spans="1:27" x14ac:dyDescent="0.35">
      <c r="A237" t="s">
        <v>252</v>
      </c>
      <c r="B237" t="s">
        <v>819</v>
      </c>
      <c r="C237" t="s">
        <v>243</v>
      </c>
      <c r="D237" t="str">
        <f t="shared" si="3"/>
        <v>35</v>
      </c>
      <c r="E237" t="s">
        <v>586</v>
      </c>
      <c r="F237">
        <v>7.24</v>
      </c>
      <c r="G237">
        <v>6.23</v>
      </c>
      <c r="H237">
        <v>6.64</v>
      </c>
      <c r="I237">
        <v>13.68</v>
      </c>
      <c r="J237">
        <v>13.49</v>
      </c>
      <c r="K237">
        <v>13.51</v>
      </c>
      <c r="L237">
        <v>76.72</v>
      </c>
      <c r="M237">
        <v>66.59</v>
      </c>
      <c r="N237">
        <v>71.569999999999993</v>
      </c>
      <c r="O237">
        <v>3.06</v>
      </c>
      <c r="P237">
        <v>3.08</v>
      </c>
      <c r="Q237">
        <v>3.07</v>
      </c>
      <c r="R237">
        <v>71.89</v>
      </c>
      <c r="S237">
        <v>76.959999999999994</v>
      </c>
      <c r="T237">
        <v>74.37</v>
      </c>
      <c r="U237">
        <v>88.61</v>
      </c>
      <c r="V237">
        <v>63.21</v>
      </c>
      <c r="W237">
        <v>75.91</v>
      </c>
      <c r="X237">
        <v>0.22700000000000001</v>
      </c>
      <c r="Y237">
        <v>86.8</v>
      </c>
      <c r="Z237">
        <v>110981.91</v>
      </c>
      <c r="AA237">
        <v>2620135</v>
      </c>
    </row>
    <row r="238" spans="1:27" x14ac:dyDescent="0.35">
      <c r="A238" t="s">
        <v>253</v>
      </c>
      <c r="B238" t="s">
        <v>820</v>
      </c>
      <c r="C238" t="s">
        <v>243</v>
      </c>
      <c r="D238" t="str">
        <f t="shared" si="3"/>
        <v>35</v>
      </c>
      <c r="E238" t="s">
        <v>586</v>
      </c>
      <c r="F238">
        <v>8.4</v>
      </c>
      <c r="G238">
        <v>7.28</v>
      </c>
      <c r="H238">
        <v>7.84</v>
      </c>
      <c r="I238">
        <v>13.13</v>
      </c>
      <c r="J238">
        <v>13.41</v>
      </c>
      <c r="K238">
        <v>13.32</v>
      </c>
      <c r="L238">
        <v>79.709999999999994</v>
      </c>
      <c r="M238">
        <v>70.39</v>
      </c>
      <c r="N238">
        <v>75.17</v>
      </c>
      <c r="O238">
        <v>3.54</v>
      </c>
      <c r="P238">
        <v>4.5</v>
      </c>
      <c r="Q238">
        <v>3.94</v>
      </c>
      <c r="R238">
        <v>71.94</v>
      </c>
      <c r="S238">
        <v>77.05</v>
      </c>
      <c r="T238">
        <v>74.430000000000007</v>
      </c>
      <c r="U238">
        <v>86.41</v>
      </c>
      <c r="V238">
        <v>61.23</v>
      </c>
      <c r="W238">
        <v>73.819999999999993</v>
      </c>
      <c r="X238">
        <v>0.34899999999999998</v>
      </c>
      <c r="Y238">
        <v>88.31</v>
      </c>
      <c r="Z238">
        <v>118367.44</v>
      </c>
      <c r="AA238">
        <v>1764540</v>
      </c>
    </row>
    <row r="239" spans="1:27" x14ac:dyDescent="0.35">
      <c r="A239" t="s">
        <v>254</v>
      </c>
      <c r="B239" t="s">
        <v>821</v>
      </c>
      <c r="C239" t="s">
        <v>243</v>
      </c>
      <c r="D239" t="str">
        <f t="shared" si="3"/>
        <v>35</v>
      </c>
      <c r="E239" t="s">
        <v>586</v>
      </c>
      <c r="F239">
        <v>7.16</v>
      </c>
      <c r="G239">
        <v>5.9</v>
      </c>
      <c r="H239">
        <v>6.54</v>
      </c>
      <c r="I239">
        <v>13.59</v>
      </c>
      <c r="J239">
        <v>13.34</v>
      </c>
      <c r="K239">
        <v>13.34</v>
      </c>
      <c r="L239">
        <v>76.02</v>
      </c>
      <c r="M239">
        <v>69.61</v>
      </c>
      <c r="N239">
        <v>71.72</v>
      </c>
      <c r="O239">
        <v>2.82</v>
      </c>
      <c r="P239">
        <v>2.21</v>
      </c>
      <c r="Q239">
        <v>2.5499999999999998</v>
      </c>
      <c r="R239">
        <v>71.31</v>
      </c>
      <c r="S239">
        <v>75.739999999999995</v>
      </c>
      <c r="T239">
        <v>73.47</v>
      </c>
      <c r="U239">
        <v>89.22</v>
      </c>
      <c r="V239">
        <v>65.84</v>
      </c>
      <c r="W239">
        <v>77.53</v>
      </c>
      <c r="X239">
        <v>0.314</v>
      </c>
      <c r="Y239">
        <v>91.57</v>
      </c>
      <c r="Z239">
        <v>28564.52</v>
      </c>
      <c r="AA239">
        <v>796300</v>
      </c>
    </row>
    <row r="240" spans="1:27" x14ac:dyDescent="0.35">
      <c r="A240" t="s">
        <v>255</v>
      </c>
      <c r="B240" t="s">
        <v>822</v>
      </c>
      <c r="C240" t="s">
        <v>243</v>
      </c>
      <c r="D240" t="str">
        <f t="shared" si="3"/>
        <v>35</v>
      </c>
      <c r="E240" t="s">
        <v>586</v>
      </c>
      <c r="F240">
        <v>7.73</v>
      </c>
      <c r="G240">
        <v>6.41</v>
      </c>
      <c r="H240">
        <v>7.03</v>
      </c>
      <c r="I240">
        <v>13.53</v>
      </c>
      <c r="J240">
        <v>13.2</v>
      </c>
      <c r="K240">
        <v>13.21</v>
      </c>
      <c r="L240">
        <v>77.36</v>
      </c>
      <c r="M240">
        <v>68.239999999999995</v>
      </c>
      <c r="N240">
        <v>71.87</v>
      </c>
      <c r="O240">
        <v>3.44</v>
      </c>
      <c r="P240">
        <v>2.5</v>
      </c>
      <c r="Q240">
        <v>3.02</v>
      </c>
      <c r="R240">
        <v>71.36</v>
      </c>
      <c r="S240">
        <v>75.83</v>
      </c>
      <c r="T240">
        <v>73.540000000000006</v>
      </c>
      <c r="U240">
        <v>89.09</v>
      </c>
      <c r="V240">
        <v>68.47</v>
      </c>
      <c r="W240">
        <v>78.78</v>
      </c>
      <c r="X240">
        <v>0.39</v>
      </c>
      <c r="Y240">
        <v>88.21</v>
      </c>
      <c r="Z240">
        <v>28974.880000000001</v>
      </c>
      <c r="AA240">
        <v>704243</v>
      </c>
    </row>
    <row r="241" spans="1:27" x14ac:dyDescent="0.35">
      <c r="A241" t="s">
        <v>256</v>
      </c>
      <c r="B241" t="s">
        <v>823</v>
      </c>
      <c r="C241" t="s">
        <v>243</v>
      </c>
      <c r="D241" t="str">
        <f t="shared" si="3"/>
        <v>35</v>
      </c>
      <c r="E241" t="s">
        <v>586</v>
      </c>
      <c r="F241">
        <v>7.08</v>
      </c>
      <c r="G241">
        <v>5.84</v>
      </c>
      <c r="H241">
        <v>6.43</v>
      </c>
      <c r="I241">
        <v>13.01</v>
      </c>
      <c r="J241">
        <v>12.65</v>
      </c>
      <c r="K241">
        <v>12.8</v>
      </c>
      <c r="L241">
        <v>76.88</v>
      </c>
      <c r="M241">
        <v>67.02</v>
      </c>
      <c r="N241">
        <v>71.650000000000006</v>
      </c>
      <c r="O241">
        <v>2.98</v>
      </c>
      <c r="P241">
        <v>2.84</v>
      </c>
      <c r="Q241">
        <v>2.92</v>
      </c>
      <c r="R241">
        <v>71.72</v>
      </c>
      <c r="S241">
        <v>76.599999999999994</v>
      </c>
      <c r="T241">
        <v>74.099999999999994</v>
      </c>
      <c r="U241">
        <v>88.85</v>
      </c>
      <c r="V241">
        <v>65.13</v>
      </c>
      <c r="W241">
        <v>76.989999999999995</v>
      </c>
      <c r="X241">
        <v>0.4</v>
      </c>
      <c r="Y241">
        <v>87.17</v>
      </c>
      <c r="Z241">
        <v>49412.13</v>
      </c>
      <c r="AA241">
        <v>1193272</v>
      </c>
    </row>
    <row r="242" spans="1:27" x14ac:dyDescent="0.35">
      <c r="A242" t="s">
        <v>257</v>
      </c>
      <c r="B242" t="s">
        <v>824</v>
      </c>
      <c r="C242" t="s">
        <v>243</v>
      </c>
      <c r="D242" t="str">
        <f t="shared" si="3"/>
        <v>35</v>
      </c>
      <c r="E242" t="s">
        <v>586</v>
      </c>
      <c r="F242">
        <v>8.14</v>
      </c>
      <c r="G242">
        <v>6.97</v>
      </c>
      <c r="H242">
        <v>7.47</v>
      </c>
      <c r="I242">
        <v>13.01</v>
      </c>
      <c r="J242">
        <v>12.87</v>
      </c>
      <c r="K242">
        <v>12.91</v>
      </c>
      <c r="L242">
        <v>76.790000000000006</v>
      </c>
      <c r="M242">
        <v>70.69</v>
      </c>
      <c r="N242">
        <v>73.02</v>
      </c>
      <c r="O242">
        <v>3.95</v>
      </c>
      <c r="P242">
        <v>4.59</v>
      </c>
      <c r="Q242">
        <v>4.22</v>
      </c>
      <c r="R242">
        <v>72.19</v>
      </c>
      <c r="S242">
        <v>77.56</v>
      </c>
      <c r="T242">
        <v>74.81</v>
      </c>
      <c r="U242">
        <v>86.55</v>
      </c>
      <c r="V242">
        <v>63.05</v>
      </c>
      <c r="W242">
        <v>74.8</v>
      </c>
      <c r="X242">
        <v>0.28299999999999997</v>
      </c>
      <c r="Y242">
        <v>92.06</v>
      </c>
      <c r="Z242">
        <v>218782.55</v>
      </c>
      <c r="AA242">
        <v>1669400</v>
      </c>
    </row>
    <row r="243" spans="1:27" x14ac:dyDescent="0.35">
      <c r="A243" t="s">
        <v>258</v>
      </c>
      <c r="B243" t="s">
        <v>825</v>
      </c>
      <c r="C243" t="s">
        <v>243</v>
      </c>
      <c r="D243" t="str">
        <f t="shared" si="3"/>
        <v>35</v>
      </c>
      <c r="E243" t="s">
        <v>586</v>
      </c>
      <c r="F243">
        <v>11.26</v>
      </c>
      <c r="G243">
        <v>10.8</v>
      </c>
      <c r="H243">
        <v>10.94</v>
      </c>
      <c r="I243">
        <v>15.1</v>
      </c>
      <c r="J243">
        <v>15.36</v>
      </c>
      <c r="K243">
        <v>15.23</v>
      </c>
      <c r="L243">
        <v>87.02</v>
      </c>
      <c r="M243">
        <v>83.07</v>
      </c>
      <c r="N243">
        <v>83.35</v>
      </c>
      <c r="O243">
        <v>5.74</v>
      </c>
      <c r="P243">
        <v>5.76</v>
      </c>
      <c r="Q243">
        <v>5.75</v>
      </c>
      <c r="R243">
        <v>74.260000000000005</v>
      </c>
      <c r="S243">
        <v>79.06</v>
      </c>
      <c r="T243">
        <v>76.08</v>
      </c>
      <c r="U243">
        <v>83.56</v>
      </c>
      <c r="V243">
        <v>55.53</v>
      </c>
      <c r="W243">
        <v>69.55</v>
      </c>
      <c r="X243">
        <v>0.17299999999999999</v>
      </c>
      <c r="Y243">
        <v>95.46</v>
      </c>
      <c r="Z243">
        <v>319245.71000000002</v>
      </c>
      <c r="AA243">
        <v>2193692</v>
      </c>
    </row>
    <row r="244" spans="1:27" x14ac:dyDescent="0.35">
      <c r="A244" t="s">
        <v>259</v>
      </c>
      <c r="B244" t="s">
        <v>826</v>
      </c>
      <c r="C244" t="s">
        <v>243</v>
      </c>
      <c r="D244" t="str">
        <f t="shared" si="3"/>
        <v>35</v>
      </c>
      <c r="E244" t="s">
        <v>586</v>
      </c>
      <c r="F244">
        <v>9.7100000000000009</v>
      </c>
      <c r="G244">
        <v>8.66</v>
      </c>
      <c r="H244">
        <v>9.14</v>
      </c>
      <c r="I244">
        <v>13.07</v>
      </c>
      <c r="J244">
        <v>13.23</v>
      </c>
      <c r="K244">
        <v>13.16</v>
      </c>
      <c r="L244">
        <v>81.349999999999994</v>
      </c>
      <c r="M244">
        <v>75.53</v>
      </c>
      <c r="N244">
        <v>77.459999999999994</v>
      </c>
      <c r="O244">
        <v>3.59</v>
      </c>
      <c r="P244">
        <v>3.36</v>
      </c>
      <c r="Q244">
        <v>3.49</v>
      </c>
      <c r="R244">
        <v>72.58</v>
      </c>
      <c r="S244">
        <v>78.12</v>
      </c>
      <c r="T244">
        <v>75.28</v>
      </c>
      <c r="U244">
        <v>82.46</v>
      </c>
      <c r="V244">
        <v>66.03</v>
      </c>
      <c r="W244">
        <v>74.25</v>
      </c>
      <c r="X244">
        <v>0.20899999999999999</v>
      </c>
      <c r="Y244">
        <v>92.85</v>
      </c>
      <c r="Z244">
        <v>122609.1</v>
      </c>
      <c r="AA244">
        <v>1162696</v>
      </c>
    </row>
    <row r="245" spans="1:27" x14ac:dyDescent="0.35">
      <c r="A245" t="s">
        <v>260</v>
      </c>
      <c r="B245" t="s">
        <v>827</v>
      </c>
      <c r="C245" t="s">
        <v>243</v>
      </c>
      <c r="D245" t="str">
        <f t="shared" si="3"/>
        <v>35</v>
      </c>
      <c r="E245" t="s">
        <v>586</v>
      </c>
      <c r="F245">
        <v>9.31</v>
      </c>
      <c r="G245">
        <v>8.3800000000000008</v>
      </c>
      <c r="H245">
        <v>8.8800000000000008</v>
      </c>
      <c r="I245">
        <v>13.44</v>
      </c>
      <c r="J245">
        <v>13.89</v>
      </c>
      <c r="K245">
        <v>13.62</v>
      </c>
      <c r="L245">
        <v>80.31</v>
      </c>
      <c r="M245">
        <v>73.58</v>
      </c>
      <c r="N245">
        <v>76.37</v>
      </c>
      <c r="O245">
        <v>2.66</v>
      </c>
      <c r="P245">
        <v>4.2</v>
      </c>
      <c r="Q245">
        <v>3.28</v>
      </c>
      <c r="R245">
        <v>72.319999999999993</v>
      </c>
      <c r="S245">
        <v>77.75</v>
      </c>
      <c r="T245">
        <v>74.97</v>
      </c>
      <c r="U245">
        <v>86.43</v>
      </c>
      <c r="V245">
        <v>58.77</v>
      </c>
      <c r="W245">
        <v>72.599999999999994</v>
      </c>
      <c r="X245">
        <v>0.26500000000000001</v>
      </c>
      <c r="Y245">
        <v>91.62</v>
      </c>
      <c r="Z245">
        <v>58192.08</v>
      </c>
      <c r="AA245">
        <v>1373793</v>
      </c>
    </row>
    <row r="246" spans="1:27" x14ac:dyDescent="0.35">
      <c r="A246" t="s">
        <v>261</v>
      </c>
      <c r="B246" t="s">
        <v>828</v>
      </c>
      <c r="C246" t="s">
        <v>243</v>
      </c>
      <c r="D246" t="str">
        <f t="shared" si="3"/>
        <v>35</v>
      </c>
      <c r="E246" t="s">
        <v>586</v>
      </c>
      <c r="F246">
        <v>8.76</v>
      </c>
      <c r="G246">
        <v>7.86</v>
      </c>
      <c r="H246">
        <v>8.26</v>
      </c>
      <c r="I246">
        <v>13.05</v>
      </c>
      <c r="J246">
        <v>13.85</v>
      </c>
      <c r="K246">
        <v>13.19</v>
      </c>
      <c r="L246">
        <v>79.66</v>
      </c>
      <c r="M246">
        <v>75.739999999999995</v>
      </c>
      <c r="N246">
        <v>75.89</v>
      </c>
      <c r="O246">
        <v>3.62</v>
      </c>
      <c r="P246">
        <v>4.16</v>
      </c>
      <c r="Q246">
        <v>3.84</v>
      </c>
      <c r="R246">
        <v>72.319999999999993</v>
      </c>
      <c r="S246">
        <v>77.739999999999995</v>
      </c>
      <c r="T246">
        <v>74.959999999999994</v>
      </c>
      <c r="U246">
        <v>85.95</v>
      </c>
      <c r="V246">
        <v>60.43</v>
      </c>
      <c r="W246">
        <v>73.19</v>
      </c>
      <c r="X246">
        <v>0.39100000000000001</v>
      </c>
      <c r="Y246">
        <v>95.08</v>
      </c>
      <c r="Z246">
        <v>39070.26</v>
      </c>
      <c r="AA246">
        <v>1138604</v>
      </c>
    </row>
    <row r="247" spans="1:27" x14ac:dyDescent="0.35">
      <c r="A247" t="s">
        <v>262</v>
      </c>
      <c r="B247" t="s">
        <v>829</v>
      </c>
      <c r="C247" t="s">
        <v>243</v>
      </c>
      <c r="D247" t="str">
        <f t="shared" si="3"/>
        <v>35</v>
      </c>
      <c r="E247" t="s">
        <v>586</v>
      </c>
      <c r="F247">
        <v>8.6199999999999992</v>
      </c>
      <c r="G247">
        <v>7.92</v>
      </c>
      <c r="H247">
        <v>8.2100000000000009</v>
      </c>
      <c r="I247">
        <v>13.24</v>
      </c>
      <c r="J247">
        <v>13.76</v>
      </c>
      <c r="K247">
        <v>13.28</v>
      </c>
      <c r="L247">
        <v>78.88</v>
      </c>
      <c r="M247">
        <v>73.849999999999994</v>
      </c>
      <c r="N247">
        <v>75.47</v>
      </c>
      <c r="O247">
        <v>2.83</v>
      </c>
      <c r="P247">
        <v>3.71</v>
      </c>
      <c r="Q247">
        <v>3.22</v>
      </c>
      <c r="R247">
        <v>72.44</v>
      </c>
      <c r="S247">
        <v>77.92</v>
      </c>
      <c r="T247">
        <v>75.11</v>
      </c>
      <c r="U247">
        <v>83.72</v>
      </c>
      <c r="V247">
        <v>64.569999999999993</v>
      </c>
      <c r="W247">
        <v>74.150000000000006</v>
      </c>
      <c r="X247">
        <v>0.13900000000000001</v>
      </c>
      <c r="Y247">
        <v>93.62</v>
      </c>
      <c r="Z247">
        <v>27482.74</v>
      </c>
      <c r="AA247">
        <v>760948</v>
      </c>
    </row>
    <row r="248" spans="1:27" x14ac:dyDescent="0.35">
      <c r="A248" t="s">
        <v>263</v>
      </c>
      <c r="B248" t="s">
        <v>830</v>
      </c>
      <c r="C248" t="s">
        <v>243</v>
      </c>
      <c r="D248" t="str">
        <f t="shared" si="3"/>
        <v>35</v>
      </c>
      <c r="E248" t="s">
        <v>586</v>
      </c>
      <c r="F248">
        <v>9.3000000000000007</v>
      </c>
      <c r="G248">
        <v>8.4499999999999993</v>
      </c>
      <c r="H248">
        <v>8.84</v>
      </c>
      <c r="I248">
        <v>14.28</v>
      </c>
      <c r="J248">
        <v>14.09</v>
      </c>
      <c r="K248">
        <v>14.09</v>
      </c>
      <c r="L248">
        <v>81.03</v>
      </c>
      <c r="M248">
        <v>76.989999999999995</v>
      </c>
      <c r="N248">
        <v>77.58</v>
      </c>
      <c r="O248">
        <v>2.5</v>
      </c>
      <c r="P248">
        <v>4.21</v>
      </c>
      <c r="Q248">
        <v>3.26</v>
      </c>
      <c r="R248">
        <v>72.98</v>
      </c>
      <c r="S248">
        <v>78.69</v>
      </c>
      <c r="T248">
        <v>75.760000000000005</v>
      </c>
      <c r="U248">
        <v>84.78</v>
      </c>
      <c r="V248">
        <v>65.11</v>
      </c>
      <c r="W248">
        <v>74.95</v>
      </c>
      <c r="X248">
        <v>0.182</v>
      </c>
      <c r="Y248">
        <v>95.01</v>
      </c>
      <c r="Z248">
        <v>26371.69</v>
      </c>
      <c r="AA248">
        <v>689209</v>
      </c>
    </row>
    <row r="249" spans="1:27" x14ac:dyDescent="0.35">
      <c r="A249" t="s">
        <v>264</v>
      </c>
      <c r="B249" t="s">
        <v>831</v>
      </c>
      <c r="C249" t="s">
        <v>243</v>
      </c>
      <c r="D249" t="str">
        <f t="shared" si="3"/>
        <v>35</v>
      </c>
      <c r="E249" t="s">
        <v>586</v>
      </c>
      <c r="F249">
        <v>8.36</v>
      </c>
      <c r="G249">
        <v>7.57</v>
      </c>
      <c r="H249">
        <v>7.88</v>
      </c>
      <c r="I249">
        <v>12.75</v>
      </c>
      <c r="J249">
        <v>13.73</v>
      </c>
      <c r="K249">
        <v>12.9</v>
      </c>
      <c r="L249">
        <v>77.88</v>
      </c>
      <c r="M249">
        <v>73.489999999999995</v>
      </c>
      <c r="N249">
        <v>74.430000000000007</v>
      </c>
      <c r="O249">
        <v>2.61</v>
      </c>
      <c r="P249">
        <v>1.8</v>
      </c>
      <c r="Q249">
        <v>2.2599999999999998</v>
      </c>
      <c r="R249">
        <v>72.75</v>
      </c>
      <c r="S249">
        <v>78.36</v>
      </c>
      <c r="T249">
        <v>75.489999999999995</v>
      </c>
      <c r="U249">
        <v>85.84</v>
      </c>
      <c r="V249">
        <v>63.74</v>
      </c>
      <c r="W249">
        <v>74.790000000000006</v>
      </c>
      <c r="X249">
        <v>0.159</v>
      </c>
      <c r="Y249">
        <v>94.36</v>
      </c>
      <c r="Z249">
        <v>27750.13</v>
      </c>
      <c r="AA249">
        <v>887172</v>
      </c>
    </row>
    <row r="250" spans="1:27" x14ac:dyDescent="0.35">
      <c r="A250" t="s">
        <v>265</v>
      </c>
      <c r="B250" t="s">
        <v>832</v>
      </c>
      <c r="C250" t="s">
        <v>243</v>
      </c>
      <c r="D250" t="str">
        <f t="shared" si="3"/>
        <v>35</v>
      </c>
      <c r="E250" t="s">
        <v>586</v>
      </c>
      <c r="F250">
        <v>8.1999999999999993</v>
      </c>
      <c r="G250">
        <v>7.31</v>
      </c>
      <c r="H250">
        <v>7.78</v>
      </c>
      <c r="I250">
        <v>12.77</v>
      </c>
      <c r="J250">
        <v>13.45</v>
      </c>
      <c r="K250">
        <v>13.27</v>
      </c>
      <c r="L250">
        <v>77.3</v>
      </c>
      <c r="M250">
        <v>71.55</v>
      </c>
      <c r="N250">
        <v>73.739999999999995</v>
      </c>
      <c r="O250">
        <v>3.84</v>
      </c>
      <c r="P250">
        <v>3.99</v>
      </c>
      <c r="Q250">
        <v>3.9</v>
      </c>
      <c r="R250">
        <v>72.52</v>
      </c>
      <c r="S250">
        <v>78.03</v>
      </c>
      <c r="T250">
        <v>75.2</v>
      </c>
      <c r="U250">
        <v>88.28</v>
      </c>
      <c r="V250">
        <v>69</v>
      </c>
      <c r="W250">
        <v>78.64</v>
      </c>
      <c r="X250">
        <v>0.35199999999999998</v>
      </c>
      <c r="Y250">
        <v>92.56</v>
      </c>
      <c r="Z250">
        <v>104969.98</v>
      </c>
      <c r="AA250">
        <v>1330516</v>
      </c>
    </row>
    <row r="251" spans="1:27" x14ac:dyDescent="0.35">
      <c r="A251" t="s">
        <v>266</v>
      </c>
      <c r="B251" t="s">
        <v>833</v>
      </c>
      <c r="C251" t="s">
        <v>243</v>
      </c>
      <c r="D251" t="str">
        <f t="shared" si="3"/>
        <v>35</v>
      </c>
      <c r="E251" t="s">
        <v>586</v>
      </c>
      <c r="F251">
        <v>8.02</v>
      </c>
      <c r="G251">
        <v>7.12</v>
      </c>
      <c r="H251">
        <v>7.54</v>
      </c>
      <c r="I251">
        <v>12.66</v>
      </c>
      <c r="J251">
        <v>12.93</v>
      </c>
      <c r="K251">
        <v>12.77</v>
      </c>
      <c r="L251">
        <v>77.680000000000007</v>
      </c>
      <c r="M251">
        <v>69.69</v>
      </c>
      <c r="N251">
        <v>73.150000000000006</v>
      </c>
      <c r="O251">
        <v>3.44</v>
      </c>
      <c r="P251">
        <v>3.44</v>
      </c>
      <c r="Q251">
        <v>3.44</v>
      </c>
      <c r="R251">
        <v>72.540000000000006</v>
      </c>
      <c r="S251">
        <v>78.06</v>
      </c>
      <c r="T251">
        <v>75.23</v>
      </c>
      <c r="U251">
        <v>87.22</v>
      </c>
      <c r="V251">
        <v>58.73</v>
      </c>
      <c r="W251">
        <v>72.98</v>
      </c>
      <c r="X251">
        <v>0.22900000000000001</v>
      </c>
      <c r="Y251">
        <v>89.71</v>
      </c>
      <c r="Z251">
        <v>92538.34</v>
      </c>
      <c r="AA251">
        <v>1231374</v>
      </c>
    </row>
    <row r="252" spans="1:27" x14ac:dyDescent="0.35">
      <c r="A252" t="s">
        <v>267</v>
      </c>
      <c r="B252" t="s">
        <v>834</v>
      </c>
      <c r="C252" t="s">
        <v>243</v>
      </c>
      <c r="D252" t="str">
        <f t="shared" si="3"/>
        <v>35</v>
      </c>
      <c r="E252" t="s">
        <v>586</v>
      </c>
      <c r="F252">
        <v>9.2799999999999994</v>
      </c>
      <c r="G252">
        <v>8.2799999999999994</v>
      </c>
      <c r="H252">
        <v>8.73</v>
      </c>
      <c r="I252">
        <v>13.69</v>
      </c>
      <c r="J252">
        <v>14.17</v>
      </c>
      <c r="K252">
        <v>14.04</v>
      </c>
      <c r="L252">
        <v>80.819999999999993</v>
      </c>
      <c r="M252">
        <v>73.430000000000007</v>
      </c>
      <c r="N252">
        <v>76.81</v>
      </c>
      <c r="O252">
        <v>4.17</v>
      </c>
      <c r="P252">
        <v>4.4400000000000004</v>
      </c>
      <c r="Q252">
        <v>4.29</v>
      </c>
      <c r="R252">
        <v>72.680000000000007</v>
      </c>
      <c r="S252">
        <v>78.260000000000005</v>
      </c>
      <c r="T252">
        <v>75.400000000000006</v>
      </c>
      <c r="U252">
        <v>87.05</v>
      </c>
      <c r="V252">
        <v>62.65</v>
      </c>
      <c r="W252">
        <v>74.849999999999994</v>
      </c>
      <c r="X252">
        <v>0.219</v>
      </c>
      <c r="Y252">
        <v>90.86</v>
      </c>
      <c r="Z252">
        <v>56106.14</v>
      </c>
      <c r="AA252">
        <v>1386390</v>
      </c>
    </row>
    <row r="253" spans="1:27" x14ac:dyDescent="0.35">
      <c r="A253" t="s">
        <v>268</v>
      </c>
      <c r="B253" t="s">
        <v>835</v>
      </c>
      <c r="C253" t="s">
        <v>243</v>
      </c>
      <c r="D253" t="str">
        <f t="shared" si="3"/>
        <v>35</v>
      </c>
      <c r="E253" t="s">
        <v>586</v>
      </c>
      <c r="F253">
        <v>10.35</v>
      </c>
      <c r="G253">
        <v>9.99</v>
      </c>
      <c r="H253">
        <v>10.130000000000001</v>
      </c>
      <c r="I253">
        <v>14.15</v>
      </c>
      <c r="J253">
        <v>13.99</v>
      </c>
      <c r="K253">
        <v>13.99</v>
      </c>
      <c r="L253">
        <v>83.99</v>
      </c>
      <c r="M253">
        <v>77.28</v>
      </c>
      <c r="N253">
        <v>79.69</v>
      </c>
      <c r="O253">
        <v>5.67</v>
      </c>
      <c r="P253">
        <v>5.15</v>
      </c>
      <c r="Q253">
        <v>5.47</v>
      </c>
      <c r="R253">
        <v>72.260000000000005</v>
      </c>
      <c r="S253">
        <v>77.67</v>
      </c>
      <c r="T253">
        <v>74.900000000000006</v>
      </c>
      <c r="U253">
        <v>83.38</v>
      </c>
      <c r="V253">
        <v>52.54</v>
      </c>
      <c r="W253">
        <v>67.959999999999994</v>
      </c>
      <c r="X253">
        <v>0.31</v>
      </c>
      <c r="Y253">
        <v>92.01</v>
      </c>
      <c r="Z253">
        <v>202004.47</v>
      </c>
      <c r="AA253">
        <v>1377287</v>
      </c>
    </row>
    <row r="254" spans="1:27" x14ac:dyDescent="0.35">
      <c r="A254" t="s">
        <v>269</v>
      </c>
      <c r="B254" t="s">
        <v>836</v>
      </c>
      <c r="C254" t="s">
        <v>243</v>
      </c>
      <c r="D254" t="str">
        <f t="shared" si="3"/>
        <v>35</v>
      </c>
      <c r="E254" t="s">
        <v>586</v>
      </c>
      <c r="F254">
        <v>6.93</v>
      </c>
      <c r="G254">
        <v>5.55</v>
      </c>
      <c r="H254">
        <v>6.15</v>
      </c>
      <c r="I254">
        <v>12.18</v>
      </c>
      <c r="J254">
        <v>12.06</v>
      </c>
      <c r="K254">
        <v>12.09</v>
      </c>
      <c r="L254">
        <v>73.25</v>
      </c>
      <c r="M254">
        <v>64.77</v>
      </c>
      <c r="N254">
        <v>68.150000000000006</v>
      </c>
      <c r="O254">
        <v>5.63</v>
      </c>
      <c r="P254">
        <v>4.8499999999999996</v>
      </c>
      <c r="Q254">
        <v>5.31</v>
      </c>
      <c r="R254">
        <v>71.41</v>
      </c>
      <c r="S254">
        <v>75.94</v>
      </c>
      <c r="T254">
        <v>73.62</v>
      </c>
      <c r="U254">
        <v>82.85</v>
      </c>
      <c r="V254">
        <v>55.6</v>
      </c>
      <c r="W254">
        <v>69.23</v>
      </c>
      <c r="X254">
        <v>0.623</v>
      </c>
      <c r="Y254">
        <v>88.42</v>
      </c>
      <c r="Z254">
        <v>30704.31</v>
      </c>
      <c r="AA254">
        <v>1112956</v>
      </c>
    </row>
    <row r="255" spans="1:27" x14ac:dyDescent="0.35">
      <c r="A255" t="s">
        <v>270</v>
      </c>
      <c r="B255" t="s">
        <v>837</v>
      </c>
      <c r="C255" t="s">
        <v>243</v>
      </c>
      <c r="D255" t="str">
        <f t="shared" si="3"/>
        <v>35</v>
      </c>
      <c r="E255" t="s">
        <v>586</v>
      </c>
      <c r="F255">
        <v>5.79</v>
      </c>
      <c r="G255">
        <v>4.67</v>
      </c>
      <c r="H255">
        <v>5.19</v>
      </c>
      <c r="I255">
        <v>12.59</v>
      </c>
      <c r="J255">
        <v>12.39</v>
      </c>
      <c r="K255">
        <v>12.56</v>
      </c>
      <c r="L255">
        <v>72.14</v>
      </c>
      <c r="M255">
        <v>63.04</v>
      </c>
      <c r="N255">
        <v>67.23</v>
      </c>
      <c r="O255">
        <v>3.29</v>
      </c>
      <c r="P255">
        <v>1.36</v>
      </c>
      <c r="Q255">
        <v>2.44</v>
      </c>
      <c r="R255">
        <v>71.58</v>
      </c>
      <c r="S255">
        <v>76.31</v>
      </c>
      <c r="T255">
        <v>73.89</v>
      </c>
      <c r="U255">
        <v>88.21</v>
      </c>
      <c r="V255">
        <v>67.010000000000005</v>
      </c>
      <c r="W255">
        <v>77.61</v>
      </c>
      <c r="X255">
        <v>0.54500000000000004</v>
      </c>
      <c r="Y255">
        <v>87.39</v>
      </c>
      <c r="Z255">
        <v>26234.54</v>
      </c>
      <c r="AA255">
        <v>1027538</v>
      </c>
    </row>
    <row r="256" spans="1:27" x14ac:dyDescent="0.35">
      <c r="A256" t="s">
        <v>271</v>
      </c>
      <c r="B256" t="s">
        <v>838</v>
      </c>
      <c r="C256" t="s">
        <v>243</v>
      </c>
      <c r="D256" t="str">
        <f t="shared" si="3"/>
        <v>35</v>
      </c>
      <c r="E256" t="s">
        <v>586</v>
      </c>
      <c r="F256">
        <v>8.06</v>
      </c>
      <c r="G256">
        <v>6.6</v>
      </c>
      <c r="H256">
        <v>7.29</v>
      </c>
      <c r="I256">
        <v>13.98</v>
      </c>
      <c r="J256">
        <v>13.72</v>
      </c>
      <c r="K256">
        <v>13.83</v>
      </c>
      <c r="L256">
        <v>76.650000000000006</v>
      </c>
      <c r="M256">
        <v>67.48</v>
      </c>
      <c r="N256">
        <v>71.64</v>
      </c>
      <c r="O256">
        <v>1.52</v>
      </c>
      <c r="P256">
        <v>1.1100000000000001</v>
      </c>
      <c r="Q256">
        <v>1.33</v>
      </c>
      <c r="R256">
        <v>71.56</v>
      </c>
      <c r="S256">
        <v>76.260000000000005</v>
      </c>
      <c r="T256">
        <v>73.849999999999994</v>
      </c>
      <c r="U256">
        <v>87.66</v>
      </c>
      <c r="V256">
        <v>72.44</v>
      </c>
      <c r="W256">
        <v>80.05</v>
      </c>
      <c r="X256">
        <v>0.56399999999999995</v>
      </c>
      <c r="Y256">
        <v>88.04</v>
      </c>
      <c r="Z256">
        <v>24303.86</v>
      </c>
      <c r="AA256">
        <v>893327</v>
      </c>
    </row>
    <row r="257" spans="1:27" x14ac:dyDescent="0.35">
      <c r="A257" t="s">
        <v>272</v>
      </c>
      <c r="B257" t="s">
        <v>839</v>
      </c>
      <c r="C257" t="s">
        <v>243</v>
      </c>
      <c r="D257" t="str">
        <f t="shared" si="3"/>
        <v>35</v>
      </c>
      <c r="E257" t="s">
        <v>586</v>
      </c>
      <c r="F257">
        <v>7.22</v>
      </c>
      <c r="G257">
        <v>5.6</v>
      </c>
      <c r="H257">
        <v>6.24</v>
      </c>
      <c r="I257">
        <v>13.72</v>
      </c>
      <c r="J257">
        <v>13.49</v>
      </c>
      <c r="K257">
        <v>13.6</v>
      </c>
      <c r="L257">
        <v>76.06</v>
      </c>
      <c r="M257">
        <v>63.56</v>
      </c>
      <c r="N257">
        <v>70.540000000000006</v>
      </c>
      <c r="O257">
        <v>1.83</v>
      </c>
      <c r="P257">
        <v>1.44</v>
      </c>
      <c r="Q257">
        <v>1.64</v>
      </c>
      <c r="R257">
        <v>71.709999999999994</v>
      </c>
      <c r="S257">
        <v>76.58</v>
      </c>
      <c r="T257">
        <v>74.09</v>
      </c>
      <c r="U257">
        <v>87.68</v>
      </c>
      <c r="V257">
        <v>72.94</v>
      </c>
      <c r="W257">
        <v>80.31</v>
      </c>
      <c r="X257">
        <v>0.47699999999999998</v>
      </c>
      <c r="Y257">
        <v>83.57</v>
      </c>
      <c r="Z257">
        <v>48799.39</v>
      </c>
      <c r="AA257">
        <v>1159397</v>
      </c>
    </row>
    <row r="258" spans="1:27" x14ac:dyDescent="0.35">
      <c r="A258" t="s">
        <v>273</v>
      </c>
      <c r="B258" t="s">
        <v>840</v>
      </c>
      <c r="C258" t="s">
        <v>243</v>
      </c>
      <c r="D258" t="str">
        <f t="shared" si="3"/>
        <v>35</v>
      </c>
      <c r="E258" t="s">
        <v>586</v>
      </c>
      <c r="F258">
        <v>11.48</v>
      </c>
      <c r="G258">
        <v>10.69</v>
      </c>
      <c r="H258">
        <v>11.09</v>
      </c>
      <c r="I258">
        <v>15.58</v>
      </c>
      <c r="J258">
        <v>15.89</v>
      </c>
      <c r="K258">
        <v>15.72</v>
      </c>
      <c r="L258">
        <v>85.43</v>
      </c>
      <c r="M258">
        <v>82.32</v>
      </c>
      <c r="N258">
        <v>82.71</v>
      </c>
      <c r="O258">
        <v>4.3600000000000003</v>
      </c>
      <c r="P258">
        <v>2.96</v>
      </c>
      <c r="Q258">
        <v>3.76</v>
      </c>
      <c r="R258">
        <v>73.400000000000006</v>
      </c>
      <c r="S258">
        <v>79.3</v>
      </c>
      <c r="T258">
        <v>76.28</v>
      </c>
      <c r="U258">
        <v>81.42</v>
      </c>
      <c r="V258">
        <v>59.93</v>
      </c>
      <c r="W258">
        <v>70.680000000000007</v>
      </c>
      <c r="X258">
        <v>0.125</v>
      </c>
      <c r="Y258">
        <v>96.36</v>
      </c>
      <c r="Z258">
        <v>175166.36</v>
      </c>
      <c r="AA258">
        <v>301202</v>
      </c>
    </row>
    <row r="259" spans="1:27" x14ac:dyDescent="0.35">
      <c r="A259" t="s">
        <v>274</v>
      </c>
      <c r="B259" t="s">
        <v>841</v>
      </c>
      <c r="C259" t="s">
        <v>243</v>
      </c>
      <c r="D259" t="str">
        <f t="shared" ref="D259:D322" si="4">LEFT(B259,2)</f>
        <v>35</v>
      </c>
      <c r="E259" t="s">
        <v>586</v>
      </c>
      <c r="F259">
        <v>11.01</v>
      </c>
      <c r="G259">
        <v>10.75</v>
      </c>
      <c r="H259">
        <v>10.83</v>
      </c>
      <c r="I259">
        <v>14.73</v>
      </c>
      <c r="J259">
        <v>14.98</v>
      </c>
      <c r="K259">
        <v>14.82</v>
      </c>
      <c r="L259">
        <v>83.45</v>
      </c>
      <c r="M259">
        <v>81.87</v>
      </c>
      <c r="N259">
        <v>82.03</v>
      </c>
      <c r="O259">
        <v>4.97</v>
      </c>
      <c r="P259">
        <v>3.43</v>
      </c>
      <c r="Q259">
        <v>4.28</v>
      </c>
      <c r="R259">
        <v>73.61</v>
      </c>
      <c r="S259">
        <v>78.34</v>
      </c>
      <c r="T259">
        <v>75.47</v>
      </c>
      <c r="U259">
        <v>84.84</v>
      </c>
      <c r="V259">
        <v>67.37</v>
      </c>
      <c r="W259">
        <v>76.11</v>
      </c>
      <c r="X259">
        <v>0.154</v>
      </c>
      <c r="Y259">
        <v>98.11</v>
      </c>
      <c r="Z259">
        <v>9871.5499999999993</v>
      </c>
      <c r="AA259">
        <v>156330</v>
      </c>
    </row>
    <row r="260" spans="1:27" x14ac:dyDescent="0.35">
      <c r="A260" t="s">
        <v>275</v>
      </c>
      <c r="B260" t="s">
        <v>842</v>
      </c>
      <c r="C260" t="s">
        <v>243</v>
      </c>
      <c r="D260" t="str">
        <f t="shared" si="4"/>
        <v>35</v>
      </c>
      <c r="E260" t="s">
        <v>586</v>
      </c>
      <c r="F260">
        <v>11.74</v>
      </c>
      <c r="G260">
        <v>11.33</v>
      </c>
      <c r="H260">
        <v>11.36</v>
      </c>
      <c r="I260">
        <v>15.98</v>
      </c>
      <c r="J260">
        <v>15.79</v>
      </c>
      <c r="K260">
        <v>15.8</v>
      </c>
      <c r="L260">
        <v>88.11</v>
      </c>
      <c r="M260">
        <v>85.5</v>
      </c>
      <c r="N260">
        <v>85.55</v>
      </c>
      <c r="O260">
        <v>6.14</v>
      </c>
      <c r="P260">
        <v>5.12</v>
      </c>
      <c r="Q260">
        <v>5.69</v>
      </c>
      <c r="R260">
        <v>73.069999999999993</v>
      </c>
      <c r="S260">
        <v>78.83</v>
      </c>
      <c r="T260">
        <v>75.88</v>
      </c>
      <c r="U260">
        <v>79.349999999999994</v>
      </c>
      <c r="V260">
        <v>60.62</v>
      </c>
      <c r="W260">
        <v>69.989999999999995</v>
      </c>
      <c r="X260">
        <v>0.13700000000000001</v>
      </c>
      <c r="Y260">
        <v>97.04</v>
      </c>
      <c r="Z260">
        <v>108152.82</v>
      </c>
      <c r="AA260">
        <v>879873</v>
      </c>
    </row>
    <row r="261" spans="1:27" x14ac:dyDescent="0.35">
      <c r="A261" t="s">
        <v>276</v>
      </c>
      <c r="B261" t="s">
        <v>843</v>
      </c>
      <c r="C261" t="s">
        <v>243</v>
      </c>
      <c r="D261" t="str">
        <f t="shared" si="4"/>
        <v>35</v>
      </c>
      <c r="E261" t="s">
        <v>586</v>
      </c>
      <c r="F261">
        <v>10.18</v>
      </c>
      <c r="G261">
        <v>9.41</v>
      </c>
      <c r="H261">
        <v>9.73</v>
      </c>
      <c r="I261">
        <v>14.24</v>
      </c>
      <c r="J261">
        <v>13.96</v>
      </c>
      <c r="K261">
        <v>13.99</v>
      </c>
      <c r="L261">
        <v>79.77</v>
      </c>
      <c r="M261">
        <v>77.790000000000006</v>
      </c>
      <c r="N261">
        <v>78.5</v>
      </c>
      <c r="O261">
        <v>5.97</v>
      </c>
      <c r="P261">
        <v>3.45</v>
      </c>
      <c r="Q261">
        <v>4.93</v>
      </c>
      <c r="R261">
        <v>72.069999999999993</v>
      </c>
      <c r="S261">
        <v>77.33</v>
      </c>
      <c r="T261">
        <v>74.64</v>
      </c>
      <c r="U261">
        <v>81.290000000000006</v>
      </c>
      <c r="V261">
        <v>55.97</v>
      </c>
      <c r="W261">
        <v>68.63</v>
      </c>
      <c r="X261">
        <v>0.34699999999999998</v>
      </c>
      <c r="Y261">
        <v>97.52</v>
      </c>
      <c r="Z261">
        <v>16507.34</v>
      </c>
      <c r="AA261">
        <v>252085</v>
      </c>
    </row>
    <row r="262" spans="1:27" x14ac:dyDescent="0.35">
      <c r="A262" t="s">
        <v>277</v>
      </c>
      <c r="B262" t="s">
        <v>844</v>
      </c>
      <c r="C262" t="s">
        <v>243</v>
      </c>
      <c r="D262" t="str">
        <f t="shared" si="4"/>
        <v>35</v>
      </c>
      <c r="E262" t="s">
        <v>586</v>
      </c>
      <c r="F262">
        <v>10.26</v>
      </c>
      <c r="G262">
        <v>9.81</v>
      </c>
      <c r="H262">
        <v>9.98</v>
      </c>
      <c r="I262">
        <v>13.68</v>
      </c>
      <c r="J262">
        <v>13.95</v>
      </c>
      <c r="K262">
        <v>13.68</v>
      </c>
      <c r="L262">
        <v>80.400000000000006</v>
      </c>
      <c r="M262">
        <v>79.27</v>
      </c>
      <c r="N262">
        <v>79.52</v>
      </c>
      <c r="O262">
        <v>4.95</v>
      </c>
      <c r="P262">
        <v>4.1399999999999997</v>
      </c>
      <c r="Q262">
        <v>4.59</v>
      </c>
      <c r="R262">
        <v>72.5</v>
      </c>
      <c r="S262">
        <v>78.010000000000005</v>
      </c>
      <c r="T262">
        <v>75.19</v>
      </c>
      <c r="U262">
        <v>84.65</v>
      </c>
      <c r="V262">
        <v>66.72</v>
      </c>
      <c r="W262">
        <v>75.69</v>
      </c>
      <c r="X262">
        <v>0.187</v>
      </c>
      <c r="Y262">
        <v>98.59</v>
      </c>
      <c r="Z262">
        <v>12007.28</v>
      </c>
      <c r="AA262">
        <v>222334</v>
      </c>
    </row>
    <row r="263" spans="1:27" x14ac:dyDescent="0.35">
      <c r="A263" t="s">
        <v>278</v>
      </c>
      <c r="B263" t="s">
        <v>845</v>
      </c>
      <c r="C263" t="s">
        <v>243</v>
      </c>
      <c r="D263" t="str">
        <f t="shared" si="4"/>
        <v>35</v>
      </c>
      <c r="E263" t="s">
        <v>586</v>
      </c>
      <c r="F263">
        <v>11.74</v>
      </c>
      <c r="G263">
        <v>11.18</v>
      </c>
      <c r="H263">
        <v>11.44</v>
      </c>
      <c r="I263">
        <v>14.43</v>
      </c>
      <c r="J263">
        <v>14.14</v>
      </c>
      <c r="K263">
        <v>14.14</v>
      </c>
      <c r="L263">
        <v>85.61</v>
      </c>
      <c r="M263">
        <v>81.89</v>
      </c>
      <c r="N263">
        <v>82.35</v>
      </c>
      <c r="O263">
        <v>5.37</v>
      </c>
      <c r="P263">
        <v>3.68</v>
      </c>
      <c r="Q263">
        <v>4.66</v>
      </c>
      <c r="R263">
        <v>73.42</v>
      </c>
      <c r="S263">
        <v>79.34</v>
      </c>
      <c r="T263">
        <v>76.31</v>
      </c>
      <c r="U263">
        <v>82.48</v>
      </c>
      <c r="V263">
        <v>57.92</v>
      </c>
      <c r="W263">
        <v>70.2</v>
      </c>
      <c r="X263">
        <v>0.154</v>
      </c>
      <c r="Y263">
        <v>95.65</v>
      </c>
      <c r="Z263">
        <v>9181.09</v>
      </c>
      <c r="AA263">
        <v>138613</v>
      </c>
    </row>
    <row r="264" spans="1:27" x14ac:dyDescent="0.35">
      <c r="A264" t="s">
        <v>279</v>
      </c>
      <c r="B264" t="s">
        <v>846</v>
      </c>
      <c r="C264" t="s">
        <v>243</v>
      </c>
      <c r="D264" t="str">
        <f t="shared" si="4"/>
        <v>35</v>
      </c>
      <c r="E264" t="s">
        <v>586</v>
      </c>
      <c r="F264">
        <v>12.39</v>
      </c>
      <c r="G264">
        <v>11.75</v>
      </c>
      <c r="H264">
        <v>12.12</v>
      </c>
      <c r="I264">
        <v>14.51</v>
      </c>
      <c r="J264">
        <v>14.91</v>
      </c>
      <c r="K264">
        <v>14.55</v>
      </c>
      <c r="L264">
        <v>88.33</v>
      </c>
      <c r="M264">
        <v>84.84</v>
      </c>
      <c r="N264">
        <v>85.12</v>
      </c>
      <c r="O264">
        <v>4.09</v>
      </c>
      <c r="P264">
        <v>4.54</v>
      </c>
      <c r="Q264">
        <v>4.29</v>
      </c>
      <c r="R264">
        <v>73.260000000000005</v>
      </c>
      <c r="S264">
        <v>79.11</v>
      </c>
      <c r="T264">
        <v>76.11</v>
      </c>
      <c r="U264">
        <v>80.39</v>
      </c>
      <c r="V264">
        <v>62.59</v>
      </c>
      <c r="W264">
        <v>71.489999999999995</v>
      </c>
      <c r="X264">
        <v>9.1999999999999998E-2</v>
      </c>
      <c r="Y264">
        <v>96.05</v>
      </c>
      <c r="Z264">
        <v>19964.060000000001</v>
      </c>
      <c r="AA264">
        <v>203552</v>
      </c>
    </row>
    <row r="265" spans="1:27" x14ac:dyDescent="0.35">
      <c r="A265" t="s">
        <v>280</v>
      </c>
      <c r="B265" t="s">
        <v>847</v>
      </c>
      <c r="C265" t="s">
        <v>243</v>
      </c>
      <c r="D265" t="str">
        <f t="shared" si="4"/>
        <v>35</v>
      </c>
      <c r="E265" t="s">
        <v>586</v>
      </c>
      <c r="F265">
        <v>11.46</v>
      </c>
      <c r="G265">
        <v>10.91</v>
      </c>
      <c r="H265">
        <v>11.15</v>
      </c>
      <c r="I265">
        <v>15.14</v>
      </c>
      <c r="J265">
        <v>14.71</v>
      </c>
      <c r="K265">
        <v>14.88</v>
      </c>
      <c r="L265">
        <v>87.96</v>
      </c>
      <c r="M265">
        <v>84.41</v>
      </c>
      <c r="N265">
        <v>85.65</v>
      </c>
      <c r="O265">
        <v>4.8099999999999996</v>
      </c>
      <c r="P265">
        <v>4.88</v>
      </c>
      <c r="Q265">
        <v>4.84</v>
      </c>
      <c r="R265">
        <v>73.45</v>
      </c>
      <c r="S265">
        <v>79.38</v>
      </c>
      <c r="T265">
        <v>76.34</v>
      </c>
      <c r="U265">
        <v>81.42</v>
      </c>
      <c r="V265">
        <v>60.16</v>
      </c>
      <c r="W265">
        <v>70.790000000000006</v>
      </c>
      <c r="X265">
        <v>0.151</v>
      </c>
      <c r="Y265">
        <v>95.96</v>
      </c>
      <c r="Z265">
        <v>830543.35</v>
      </c>
      <c r="AA265">
        <v>2931611</v>
      </c>
    </row>
    <row r="266" spans="1:27" x14ac:dyDescent="0.35">
      <c r="A266" t="s">
        <v>281</v>
      </c>
      <c r="B266" t="s">
        <v>848</v>
      </c>
      <c r="C266" t="s">
        <v>243</v>
      </c>
      <c r="D266" t="str">
        <f t="shared" si="4"/>
        <v>35</v>
      </c>
      <c r="E266" t="s">
        <v>586</v>
      </c>
      <c r="F266">
        <v>10.14</v>
      </c>
      <c r="G266">
        <v>9.8699999999999992</v>
      </c>
      <c r="H266">
        <v>9.9499999999999993</v>
      </c>
      <c r="I266">
        <v>14.56</v>
      </c>
      <c r="J266">
        <v>14.59</v>
      </c>
      <c r="K266">
        <v>14.59</v>
      </c>
      <c r="L266">
        <v>84.09</v>
      </c>
      <c r="M266">
        <v>77.25</v>
      </c>
      <c r="N266">
        <v>80.349999999999994</v>
      </c>
      <c r="O266">
        <v>4.0999999999999996</v>
      </c>
      <c r="P266">
        <v>2.82</v>
      </c>
      <c r="Q266">
        <v>3.53</v>
      </c>
      <c r="R266">
        <v>72.92</v>
      </c>
      <c r="S266">
        <v>78.62</v>
      </c>
      <c r="T266">
        <v>75.7</v>
      </c>
      <c r="U266">
        <v>88.45</v>
      </c>
      <c r="V266">
        <v>72.569999999999993</v>
      </c>
      <c r="W266">
        <v>80.510000000000005</v>
      </c>
      <c r="X266">
        <v>0.16300000000000001</v>
      </c>
      <c r="Y266">
        <v>91.87</v>
      </c>
      <c r="Z266">
        <v>23682.06</v>
      </c>
      <c r="AA266">
        <v>225120</v>
      </c>
    </row>
    <row r="267" spans="1:27" x14ac:dyDescent="0.35">
      <c r="A267" t="s">
        <v>283</v>
      </c>
      <c r="B267" t="s">
        <v>849</v>
      </c>
      <c r="C267" t="s">
        <v>282</v>
      </c>
      <c r="D267" t="str">
        <f t="shared" si="4"/>
        <v>36</v>
      </c>
      <c r="E267" t="s">
        <v>586</v>
      </c>
      <c r="F267">
        <v>7.96</v>
      </c>
      <c r="G267">
        <v>7.11</v>
      </c>
      <c r="H267">
        <v>7.5</v>
      </c>
      <c r="I267">
        <v>13.52</v>
      </c>
      <c r="J267">
        <v>14.16</v>
      </c>
      <c r="K267">
        <v>13.75</v>
      </c>
      <c r="L267">
        <v>76.8</v>
      </c>
      <c r="M267">
        <v>67.760000000000005</v>
      </c>
      <c r="N267">
        <v>71.84</v>
      </c>
      <c r="O267">
        <v>8.9499999999999993</v>
      </c>
      <c r="P267">
        <v>8.4700000000000006</v>
      </c>
      <c r="Q267">
        <v>8.8000000000000007</v>
      </c>
      <c r="R267">
        <v>72.02</v>
      </c>
      <c r="S267">
        <v>77.22</v>
      </c>
      <c r="T267">
        <v>74.56</v>
      </c>
      <c r="U267">
        <v>83.52</v>
      </c>
      <c r="V267">
        <v>39.409999999999997</v>
      </c>
      <c r="W267">
        <v>61.47</v>
      </c>
      <c r="X267">
        <v>0.48199999999999998</v>
      </c>
      <c r="Y267">
        <v>88.23</v>
      </c>
      <c r="Z267">
        <v>38754.230000000003</v>
      </c>
      <c r="AA267">
        <v>1338368</v>
      </c>
    </row>
    <row r="268" spans="1:27" x14ac:dyDescent="0.35">
      <c r="A268" t="s">
        <v>284</v>
      </c>
      <c r="B268" t="s">
        <v>850</v>
      </c>
      <c r="C268" t="s">
        <v>282</v>
      </c>
      <c r="D268" t="str">
        <f t="shared" si="4"/>
        <v>36</v>
      </c>
      <c r="E268" t="s">
        <v>586</v>
      </c>
      <c r="F268">
        <v>7.25</v>
      </c>
      <c r="G268">
        <v>6.3</v>
      </c>
      <c r="H268">
        <v>6.78</v>
      </c>
      <c r="I268">
        <v>12.19</v>
      </c>
      <c r="J268">
        <v>12.1</v>
      </c>
      <c r="K268">
        <v>12.12</v>
      </c>
      <c r="L268">
        <v>73.849999999999994</v>
      </c>
      <c r="M268">
        <v>60.65</v>
      </c>
      <c r="N268">
        <v>69.239999999999995</v>
      </c>
      <c r="O268">
        <v>7.46</v>
      </c>
      <c r="P268">
        <v>6.99</v>
      </c>
      <c r="Q268">
        <v>7.3</v>
      </c>
      <c r="R268">
        <v>71.849999999999994</v>
      </c>
      <c r="S268">
        <v>76.87</v>
      </c>
      <c r="T268">
        <v>74.3</v>
      </c>
      <c r="U268">
        <v>81.86</v>
      </c>
      <c r="V268">
        <v>45.78</v>
      </c>
      <c r="W268">
        <v>63.82</v>
      </c>
      <c r="X268">
        <v>0.54500000000000004</v>
      </c>
      <c r="Y268">
        <v>82.13</v>
      </c>
      <c r="Z268">
        <v>40576.639999999999</v>
      </c>
      <c r="AA268">
        <v>1463818</v>
      </c>
    </row>
    <row r="269" spans="1:27" x14ac:dyDescent="0.35">
      <c r="A269" t="s">
        <v>285</v>
      </c>
      <c r="B269" t="s">
        <v>851</v>
      </c>
      <c r="C269" t="s">
        <v>282</v>
      </c>
      <c r="D269" t="str">
        <f t="shared" si="4"/>
        <v>36</v>
      </c>
      <c r="E269" t="s">
        <v>586</v>
      </c>
      <c r="F269">
        <v>9.51</v>
      </c>
      <c r="G269">
        <v>8.84</v>
      </c>
      <c r="H269">
        <v>9.16</v>
      </c>
      <c r="I269">
        <v>12.89</v>
      </c>
      <c r="J269">
        <v>12.95</v>
      </c>
      <c r="K269">
        <v>12.89</v>
      </c>
      <c r="L269">
        <v>80.47</v>
      </c>
      <c r="M269">
        <v>75.08</v>
      </c>
      <c r="N269">
        <v>76.739999999999995</v>
      </c>
      <c r="O269">
        <v>5.64</v>
      </c>
      <c r="P269">
        <v>6.47</v>
      </c>
      <c r="Q269">
        <v>5.94</v>
      </c>
      <c r="R269">
        <v>72.87</v>
      </c>
      <c r="S269">
        <v>78.540000000000006</v>
      </c>
      <c r="T269">
        <v>75.63</v>
      </c>
      <c r="U269">
        <v>83.64</v>
      </c>
      <c r="V269">
        <v>48.27</v>
      </c>
      <c r="W269">
        <v>65.959999999999994</v>
      </c>
      <c r="X269">
        <v>0.27200000000000002</v>
      </c>
      <c r="Y269">
        <v>93.3</v>
      </c>
      <c r="Z269">
        <v>199839.37</v>
      </c>
      <c r="AA269">
        <v>3435155</v>
      </c>
    </row>
    <row r="270" spans="1:27" x14ac:dyDescent="0.35">
      <c r="A270" t="s">
        <v>286</v>
      </c>
      <c r="B270" t="s">
        <v>852</v>
      </c>
      <c r="C270" t="s">
        <v>282</v>
      </c>
      <c r="D270" t="str">
        <f t="shared" si="4"/>
        <v>36</v>
      </c>
      <c r="E270" t="s">
        <v>586</v>
      </c>
      <c r="F270">
        <v>8.4700000000000006</v>
      </c>
      <c r="G270">
        <v>7.66</v>
      </c>
      <c r="H270">
        <v>8.0299999999999994</v>
      </c>
      <c r="I270">
        <v>12.96</v>
      </c>
      <c r="J270">
        <v>13.42</v>
      </c>
      <c r="K270">
        <v>13.02</v>
      </c>
      <c r="L270">
        <v>77.94</v>
      </c>
      <c r="M270">
        <v>73.069999999999993</v>
      </c>
      <c r="N270">
        <v>74.099999999999994</v>
      </c>
      <c r="O270">
        <v>7.19</v>
      </c>
      <c r="P270">
        <v>11.48</v>
      </c>
      <c r="Q270">
        <v>8.73</v>
      </c>
      <c r="R270">
        <v>72.67</v>
      </c>
      <c r="S270">
        <v>78.25</v>
      </c>
      <c r="T270">
        <v>75.39</v>
      </c>
      <c r="U270">
        <v>84.63</v>
      </c>
      <c r="V270">
        <v>49.66</v>
      </c>
      <c r="W270">
        <v>67.150000000000006</v>
      </c>
      <c r="X270">
        <v>0.51700000000000002</v>
      </c>
      <c r="Y270">
        <v>93.75</v>
      </c>
      <c r="Z270">
        <v>108865.89</v>
      </c>
      <c r="AA270">
        <v>1720321</v>
      </c>
    </row>
    <row r="271" spans="1:27" x14ac:dyDescent="0.35">
      <c r="A271" t="s">
        <v>287</v>
      </c>
      <c r="B271" t="s">
        <v>853</v>
      </c>
      <c r="C271" t="s">
        <v>282</v>
      </c>
      <c r="D271" t="str">
        <f t="shared" si="4"/>
        <v>36</v>
      </c>
      <c r="E271" t="s">
        <v>586</v>
      </c>
      <c r="F271">
        <v>11.64</v>
      </c>
      <c r="G271">
        <v>11.18</v>
      </c>
      <c r="H271">
        <v>11.46</v>
      </c>
      <c r="I271">
        <v>13.96</v>
      </c>
      <c r="J271">
        <v>13.97</v>
      </c>
      <c r="K271">
        <v>13.96</v>
      </c>
      <c r="L271">
        <v>85.18</v>
      </c>
      <c r="M271">
        <v>82</v>
      </c>
      <c r="N271">
        <v>82.41</v>
      </c>
      <c r="O271">
        <v>6.1</v>
      </c>
      <c r="P271">
        <v>5.53</v>
      </c>
      <c r="Q271">
        <v>5.88</v>
      </c>
      <c r="R271">
        <v>73.05</v>
      </c>
      <c r="S271">
        <v>78.81</v>
      </c>
      <c r="T271">
        <v>75.86</v>
      </c>
      <c r="U271">
        <v>79.78</v>
      </c>
      <c r="V271">
        <v>48.7</v>
      </c>
      <c r="W271">
        <v>64.239999999999995</v>
      </c>
      <c r="X271">
        <v>0.19500000000000001</v>
      </c>
      <c r="Y271">
        <v>96.27</v>
      </c>
      <c r="Z271">
        <v>242163.1</v>
      </c>
      <c r="AA271">
        <v>1971652</v>
      </c>
    </row>
    <row r="272" spans="1:27" x14ac:dyDescent="0.35">
      <c r="A272" t="s">
        <v>288</v>
      </c>
      <c r="B272" t="s">
        <v>854</v>
      </c>
      <c r="C272" t="s">
        <v>282</v>
      </c>
      <c r="D272" t="str">
        <f t="shared" si="4"/>
        <v>36</v>
      </c>
      <c r="E272" t="s">
        <v>586</v>
      </c>
      <c r="F272">
        <v>10.72</v>
      </c>
      <c r="G272">
        <v>10.07</v>
      </c>
      <c r="H272">
        <v>10.4</v>
      </c>
      <c r="I272">
        <v>13.4</v>
      </c>
      <c r="J272">
        <v>14.73</v>
      </c>
      <c r="K272">
        <v>13.41</v>
      </c>
      <c r="L272">
        <v>84.14</v>
      </c>
      <c r="M272">
        <v>75.13</v>
      </c>
      <c r="N272">
        <v>79.540000000000006</v>
      </c>
      <c r="O272">
        <v>9.3699999999999992</v>
      </c>
      <c r="P272">
        <v>3.79</v>
      </c>
      <c r="Q272">
        <v>7.41</v>
      </c>
      <c r="R272">
        <v>72.709999999999994</v>
      </c>
      <c r="S272">
        <v>78.31</v>
      </c>
      <c r="T272">
        <v>75.45</v>
      </c>
      <c r="U272">
        <v>78.92</v>
      </c>
      <c r="V272">
        <v>43.31</v>
      </c>
      <c r="W272">
        <v>61.12</v>
      </c>
      <c r="X272">
        <v>0.25</v>
      </c>
      <c r="Y272">
        <v>89.29</v>
      </c>
      <c r="Z272">
        <v>148562.63</v>
      </c>
      <c r="AA272">
        <v>460402</v>
      </c>
    </row>
    <row r="273" spans="1:27" x14ac:dyDescent="0.35">
      <c r="A273" t="s">
        <v>289</v>
      </c>
      <c r="B273" t="s">
        <v>855</v>
      </c>
      <c r="C273" t="s">
        <v>282</v>
      </c>
      <c r="D273" t="str">
        <f t="shared" si="4"/>
        <v>36</v>
      </c>
      <c r="E273" t="s">
        <v>586</v>
      </c>
      <c r="F273">
        <v>9.61</v>
      </c>
      <c r="G273">
        <v>8.5299999999999994</v>
      </c>
      <c r="H273">
        <v>8.94</v>
      </c>
      <c r="I273">
        <v>12.97</v>
      </c>
      <c r="J273">
        <v>12.85</v>
      </c>
      <c r="K273">
        <v>12.85</v>
      </c>
      <c r="L273">
        <v>81.599999999999994</v>
      </c>
      <c r="M273">
        <v>76.510000000000005</v>
      </c>
      <c r="N273">
        <v>77.5</v>
      </c>
      <c r="O273">
        <v>7</v>
      </c>
      <c r="P273">
        <v>6.87</v>
      </c>
      <c r="Q273">
        <v>6.95</v>
      </c>
      <c r="R273">
        <v>72.86</v>
      </c>
      <c r="S273">
        <v>78.53</v>
      </c>
      <c r="T273">
        <v>75.63</v>
      </c>
      <c r="U273">
        <v>82.16</v>
      </c>
      <c r="V273">
        <v>52.51</v>
      </c>
      <c r="W273">
        <v>67.34</v>
      </c>
      <c r="X273">
        <v>0.53800000000000003</v>
      </c>
      <c r="Y273">
        <v>93.76</v>
      </c>
      <c r="Z273">
        <v>45960.61</v>
      </c>
      <c r="AA273">
        <v>745557</v>
      </c>
    </row>
    <row r="274" spans="1:27" x14ac:dyDescent="0.35">
      <c r="A274" t="s">
        <v>290</v>
      </c>
      <c r="B274" t="s">
        <v>856</v>
      </c>
      <c r="C274" t="s">
        <v>282</v>
      </c>
      <c r="D274" t="str">
        <f t="shared" si="4"/>
        <v>36</v>
      </c>
      <c r="E274" t="s">
        <v>586</v>
      </c>
      <c r="F274">
        <v>12.37</v>
      </c>
      <c r="G274">
        <v>11.65</v>
      </c>
      <c r="H274">
        <v>12.1</v>
      </c>
      <c r="I274">
        <v>14.53</v>
      </c>
      <c r="J274">
        <v>14.85</v>
      </c>
      <c r="K274">
        <v>14.71</v>
      </c>
      <c r="L274">
        <v>87.96</v>
      </c>
      <c r="M274">
        <v>84.02</v>
      </c>
      <c r="N274">
        <v>84.81</v>
      </c>
      <c r="O274">
        <v>3.21</v>
      </c>
      <c r="P274">
        <v>5.72</v>
      </c>
      <c r="Q274">
        <v>4.13</v>
      </c>
      <c r="R274">
        <v>73.239999999999995</v>
      </c>
      <c r="S274">
        <v>79.08</v>
      </c>
      <c r="T274">
        <v>76.09</v>
      </c>
      <c r="U274">
        <v>77.239999999999995</v>
      </c>
      <c r="V274">
        <v>43.93</v>
      </c>
      <c r="W274">
        <v>60.59</v>
      </c>
      <c r="X274">
        <v>0.152</v>
      </c>
      <c r="Y274">
        <v>95.52</v>
      </c>
      <c r="Z274">
        <v>119858.7</v>
      </c>
      <c r="AA274">
        <v>1402163</v>
      </c>
    </row>
    <row r="275" spans="1:27" x14ac:dyDescent="0.35">
      <c r="A275" t="s">
        <v>292</v>
      </c>
      <c r="B275" t="s">
        <v>857</v>
      </c>
      <c r="C275" t="s">
        <v>291</v>
      </c>
      <c r="D275" t="str">
        <f t="shared" si="4"/>
        <v>51</v>
      </c>
      <c r="E275" t="s">
        <v>590</v>
      </c>
      <c r="F275">
        <v>9.42</v>
      </c>
      <c r="G275">
        <v>8.1199999999999992</v>
      </c>
      <c r="H275">
        <v>8.7100000000000009</v>
      </c>
      <c r="I275">
        <v>13.05</v>
      </c>
      <c r="J275">
        <v>13.17</v>
      </c>
      <c r="K275">
        <v>13.13</v>
      </c>
      <c r="L275">
        <v>78.319999999999993</v>
      </c>
      <c r="M275">
        <v>74.83</v>
      </c>
      <c r="N275">
        <v>75.94</v>
      </c>
      <c r="O275">
        <v>1.74</v>
      </c>
      <c r="P275">
        <v>1.54</v>
      </c>
      <c r="Q275">
        <v>1.64</v>
      </c>
      <c r="R275">
        <v>72.69</v>
      </c>
      <c r="S275">
        <v>78.28</v>
      </c>
      <c r="T275">
        <v>75.42</v>
      </c>
      <c r="U275">
        <v>84.35</v>
      </c>
      <c r="V275">
        <v>73.09</v>
      </c>
      <c r="W275">
        <v>78.72</v>
      </c>
      <c r="X275">
        <v>0.23400000000000001</v>
      </c>
      <c r="Y275">
        <v>95.54</v>
      </c>
      <c r="Z275">
        <v>18236.310000000001</v>
      </c>
      <c r="AA275">
        <v>327708</v>
      </c>
    </row>
    <row r="276" spans="1:27" x14ac:dyDescent="0.35">
      <c r="A276" t="s">
        <v>293</v>
      </c>
      <c r="B276" t="s">
        <v>858</v>
      </c>
      <c r="C276" t="s">
        <v>291</v>
      </c>
      <c r="D276" t="str">
        <f t="shared" si="4"/>
        <v>51</v>
      </c>
      <c r="E276" t="s">
        <v>590</v>
      </c>
      <c r="F276">
        <v>10.5</v>
      </c>
      <c r="G276">
        <v>9.09</v>
      </c>
      <c r="H276">
        <v>9.81</v>
      </c>
      <c r="I276">
        <v>13.35</v>
      </c>
      <c r="J276">
        <v>13.41</v>
      </c>
      <c r="K276">
        <v>13.37</v>
      </c>
      <c r="L276">
        <v>80.959999999999994</v>
      </c>
      <c r="M276">
        <v>78.05</v>
      </c>
      <c r="N276">
        <v>79.7</v>
      </c>
      <c r="O276">
        <v>1.7</v>
      </c>
      <c r="P276">
        <v>1.44</v>
      </c>
      <c r="Q276">
        <v>1.58</v>
      </c>
      <c r="R276">
        <v>73.72</v>
      </c>
      <c r="S276">
        <v>78.14</v>
      </c>
      <c r="T276">
        <v>76.069999999999993</v>
      </c>
      <c r="U276">
        <v>83.67</v>
      </c>
      <c r="V276">
        <v>70.28</v>
      </c>
      <c r="W276">
        <v>76.98</v>
      </c>
      <c r="X276">
        <v>0.17499999999999999</v>
      </c>
      <c r="Y276">
        <v>96.41</v>
      </c>
      <c r="Z276">
        <v>29983.84</v>
      </c>
      <c r="AA276">
        <v>469130</v>
      </c>
    </row>
    <row r="277" spans="1:27" x14ac:dyDescent="0.35">
      <c r="A277" t="s">
        <v>294</v>
      </c>
      <c r="B277" t="s">
        <v>859</v>
      </c>
      <c r="C277" t="s">
        <v>291</v>
      </c>
      <c r="D277" t="str">
        <f t="shared" si="4"/>
        <v>51</v>
      </c>
      <c r="E277" t="s">
        <v>590</v>
      </c>
      <c r="F277">
        <v>11.62</v>
      </c>
      <c r="G277">
        <v>10.79</v>
      </c>
      <c r="H277">
        <v>11.26</v>
      </c>
      <c r="I277">
        <v>14.53</v>
      </c>
      <c r="J277">
        <v>14.22</v>
      </c>
      <c r="K277">
        <v>14.26</v>
      </c>
      <c r="L277">
        <v>86.51</v>
      </c>
      <c r="M277">
        <v>83.24</v>
      </c>
      <c r="N277">
        <v>84.27</v>
      </c>
      <c r="O277">
        <v>1.46</v>
      </c>
      <c r="P277">
        <v>1.71</v>
      </c>
      <c r="Q277">
        <v>1.57</v>
      </c>
      <c r="R277">
        <v>74.31</v>
      </c>
      <c r="S277">
        <v>78.37</v>
      </c>
      <c r="T277">
        <v>76.180000000000007</v>
      </c>
      <c r="U277">
        <v>81.56</v>
      </c>
      <c r="V277">
        <v>67.709999999999994</v>
      </c>
      <c r="W277">
        <v>74.64</v>
      </c>
      <c r="X277">
        <v>0.21299999999999999</v>
      </c>
      <c r="Y277">
        <v>96.22</v>
      </c>
      <c r="Z277">
        <v>81663.17</v>
      </c>
      <c r="AA277">
        <v>573704</v>
      </c>
    </row>
    <row r="278" spans="1:27" x14ac:dyDescent="0.35">
      <c r="A278" t="s">
        <v>295</v>
      </c>
      <c r="B278" t="s">
        <v>860</v>
      </c>
      <c r="C278" t="s">
        <v>291</v>
      </c>
      <c r="D278" t="str">
        <f t="shared" si="4"/>
        <v>51</v>
      </c>
      <c r="E278" t="s">
        <v>590</v>
      </c>
      <c r="F278">
        <v>10.67</v>
      </c>
      <c r="G278">
        <v>9.2100000000000009</v>
      </c>
      <c r="H278">
        <v>9.93</v>
      </c>
      <c r="I278">
        <v>14.1</v>
      </c>
      <c r="J278">
        <v>14.17</v>
      </c>
      <c r="K278">
        <v>14.12</v>
      </c>
      <c r="L278">
        <v>83.23</v>
      </c>
      <c r="M278">
        <v>79.239999999999995</v>
      </c>
      <c r="N278">
        <v>80.959999999999994</v>
      </c>
      <c r="O278">
        <v>1.19</v>
      </c>
      <c r="P278">
        <v>1.96</v>
      </c>
      <c r="Q278">
        <v>1.55</v>
      </c>
      <c r="R278">
        <v>73.8</v>
      </c>
      <c r="S278">
        <v>78.19</v>
      </c>
      <c r="T278">
        <v>76.14</v>
      </c>
      <c r="U278">
        <v>81.489999999999995</v>
      </c>
      <c r="V278">
        <v>70.13</v>
      </c>
      <c r="W278">
        <v>75.81</v>
      </c>
      <c r="X278">
        <v>0.156</v>
      </c>
      <c r="Y278">
        <v>95.21</v>
      </c>
      <c r="Z278">
        <v>36116.870000000003</v>
      </c>
      <c r="AA278">
        <v>530115</v>
      </c>
    </row>
    <row r="279" spans="1:27" x14ac:dyDescent="0.35">
      <c r="A279" t="s">
        <v>296</v>
      </c>
      <c r="B279" t="s">
        <v>861</v>
      </c>
      <c r="C279" t="s">
        <v>291</v>
      </c>
      <c r="D279" t="str">
        <f t="shared" si="4"/>
        <v>51</v>
      </c>
      <c r="E279" t="s">
        <v>590</v>
      </c>
      <c r="F279">
        <v>9.6199999999999992</v>
      </c>
      <c r="G279">
        <v>7.9</v>
      </c>
      <c r="H279">
        <v>8.75</v>
      </c>
      <c r="I279">
        <v>13.96</v>
      </c>
      <c r="J279">
        <v>13.14</v>
      </c>
      <c r="K279">
        <v>13.14</v>
      </c>
      <c r="L279">
        <v>80.069999999999993</v>
      </c>
      <c r="M279">
        <v>74.510000000000005</v>
      </c>
      <c r="N279">
        <v>75.89</v>
      </c>
      <c r="O279">
        <v>1.43</v>
      </c>
      <c r="P279">
        <v>0.83</v>
      </c>
      <c r="Q279">
        <v>1.1499999999999999</v>
      </c>
      <c r="R279">
        <v>72.61</v>
      </c>
      <c r="S279">
        <v>78.16</v>
      </c>
      <c r="T279">
        <v>75.319999999999993</v>
      </c>
      <c r="U279">
        <v>83.5</v>
      </c>
      <c r="V279">
        <v>73.83</v>
      </c>
      <c r="W279">
        <v>78.67</v>
      </c>
      <c r="X279">
        <v>0.23200000000000001</v>
      </c>
      <c r="Y279">
        <v>93.06</v>
      </c>
      <c r="Z279">
        <v>12003.73</v>
      </c>
      <c r="AA279">
        <v>209871</v>
      </c>
    </row>
    <row r="280" spans="1:27" x14ac:dyDescent="0.35">
      <c r="A280" t="s">
        <v>297</v>
      </c>
      <c r="B280" t="s">
        <v>862</v>
      </c>
      <c r="C280" t="s">
        <v>291</v>
      </c>
      <c r="D280" t="str">
        <f t="shared" si="4"/>
        <v>51</v>
      </c>
      <c r="E280" t="s">
        <v>590</v>
      </c>
      <c r="F280">
        <v>8.4499999999999993</v>
      </c>
      <c r="G280">
        <v>7.38</v>
      </c>
      <c r="H280">
        <v>7.8</v>
      </c>
      <c r="I280">
        <v>13</v>
      </c>
      <c r="J280">
        <v>12.43</v>
      </c>
      <c r="K280">
        <v>12.54</v>
      </c>
      <c r="L280">
        <v>77.16</v>
      </c>
      <c r="M280">
        <v>72.14</v>
      </c>
      <c r="N280">
        <v>73.22</v>
      </c>
      <c r="O280">
        <v>1.25</v>
      </c>
      <c r="P280">
        <v>0.14000000000000001</v>
      </c>
      <c r="Q280">
        <v>0.73</v>
      </c>
      <c r="R280">
        <v>72.05</v>
      </c>
      <c r="S280">
        <v>77.28</v>
      </c>
      <c r="T280">
        <v>74.599999999999994</v>
      </c>
      <c r="U280">
        <v>86.96</v>
      </c>
      <c r="V280">
        <v>76.48</v>
      </c>
      <c r="W280">
        <v>81.72</v>
      </c>
      <c r="X280">
        <v>0.216</v>
      </c>
      <c r="Y280">
        <v>93.49</v>
      </c>
      <c r="Z280">
        <v>9155</v>
      </c>
      <c r="AA280">
        <v>263170</v>
      </c>
    </row>
    <row r="281" spans="1:27" x14ac:dyDescent="0.35">
      <c r="A281" t="s">
        <v>298</v>
      </c>
      <c r="B281" t="s">
        <v>863</v>
      </c>
      <c r="C281" t="s">
        <v>291</v>
      </c>
      <c r="D281" t="str">
        <f t="shared" si="4"/>
        <v>51</v>
      </c>
      <c r="E281" t="s">
        <v>590</v>
      </c>
      <c r="F281">
        <v>7.75</v>
      </c>
      <c r="G281">
        <v>5.91</v>
      </c>
      <c r="H281">
        <v>6.98</v>
      </c>
      <c r="I281">
        <v>12.8</v>
      </c>
      <c r="J281">
        <v>13.03</v>
      </c>
      <c r="K281">
        <v>12.92</v>
      </c>
      <c r="L281">
        <v>75.86</v>
      </c>
      <c r="M281">
        <v>69.239999999999995</v>
      </c>
      <c r="N281">
        <v>71.89</v>
      </c>
      <c r="O281">
        <v>1.48</v>
      </c>
      <c r="P281">
        <v>2.15</v>
      </c>
      <c r="Q281">
        <v>1.8</v>
      </c>
      <c r="R281">
        <v>71.989999999999995</v>
      </c>
      <c r="S281">
        <v>77.17</v>
      </c>
      <c r="T281">
        <v>74.52</v>
      </c>
      <c r="U281">
        <v>88.92</v>
      </c>
      <c r="V281">
        <v>80.53</v>
      </c>
      <c r="W281">
        <v>84.73</v>
      </c>
      <c r="X281">
        <v>0.23200000000000001</v>
      </c>
      <c r="Y281">
        <v>91.27</v>
      </c>
      <c r="Z281">
        <v>21804.41</v>
      </c>
      <c r="AA281">
        <v>504608</v>
      </c>
    </row>
    <row r="282" spans="1:27" x14ac:dyDescent="0.35">
      <c r="A282" t="s">
        <v>299</v>
      </c>
      <c r="B282" t="s">
        <v>864</v>
      </c>
      <c r="C282" t="s">
        <v>291</v>
      </c>
      <c r="D282" t="str">
        <f t="shared" si="4"/>
        <v>51</v>
      </c>
      <c r="E282" t="s">
        <v>590</v>
      </c>
      <c r="F282">
        <v>8.69</v>
      </c>
      <c r="G282">
        <v>7.23</v>
      </c>
      <c r="H282">
        <v>7.94</v>
      </c>
      <c r="I282">
        <v>13.51</v>
      </c>
      <c r="J282">
        <v>13.29</v>
      </c>
      <c r="K282">
        <v>13.31</v>
      </c>
      <c r="L282">
        <v>79.97</v>
      </c>
      <c r="M282">
        <v>74.569999999999993</v>
      </c>
      <c r="N282">
        <v>76.06</v>
      </c>
      <c r="O282">
        <v>1.58</v>
      </c>
      <c r="P282">
        <v>1.44</v>
      </c>
      <c r="Q282">
        <v>1.51</v>
      </c>
      <c r="R282">
        <v>72.239999999999995</v>
      </c>
      <c r="S282">
        <v>77.63</v>
      </c>
      <c r="T282">
        <v>74.87</v>
      </c>
      <c r="U282">
        <v>86.57</v>
      </c>
      <c r="V282">
        <v>73.06</v>
      </c>
      <c r="W282">
        <v>79.819999999999993</v>
      </c>
      <c r="X282">
        <v>0.254</v>
      </c>
      <c r="Y282">
        <v>93.25</v>
      </c>
      <c r="Z282">
        <v>45120.51</v>
      </c>
      <c r="AA282">
        <v>820477</v>
      </c>
    </row>
    <row r="283" spans="1:27" x14ac:dyDescent="0.35">
      <c r="A283" t="s">
        <v>300</v>
      </c>
      <c r="B283" t="s">
        <v>865</v>
      </c>
      <c r="C283" t="s">
        <v>291</v>
      </c>
      <c r="D283" t="str">
        <f t="shared" si="4"/>
        <v>51</v>
      </c>
      <c r="E283" t="s">
        <v>590</v>
      </c>
      <c r="F283">
        <v>11.93</v>
      </c>
      <c r="G283">
        <v>11.48</v>
      </c>
      <c r="H283">
        <v>11.64</v>
      </c>
      <c r="I283">
        <v>14.22</v>
      </c>
      <c r="J283">
        <v>14.14</v>
      </c>
      <c r="K283">
        <v>14.14</v>
      </c>
      <c r="L283">
        <v>87.23</v>
      </c>
      <c r="M283">
        <v>85.35</v>
      </c>
      <c r="N283">
        <v>85.63</v>
      </c>
      <c r="O283">
        <v>1.62</v>
      </c>
      <c r="P283">
        <v>1.1299999999999999</v>
      </c>
      <c r="Q283">
        <v>1.41</v>
      </c>
      <c r="R283">
        <v>74.33</v>
      </c>
      <c r="S283">
        <v>79.16</v>
      </c>
      <c r="T283">
        <v>76.16</v>
      </c>
      <c r="U283">
        <v>80.08</v>
      </c>
      <c r="V283">
        <v>61.74</v>
      </c>
      <c r="W283">
        <v>70.91</v>
      </c>
      <c r="X283">
        <v>0.20300000000000001</v>
      </c>
      <c r="Y283">
        <v>97.84</v>
      </c>
      <c r="Z283">
        <v>71099.12</v>
      </c>
      <c r="AA283">
        <v>762484</v>
      </c>
    </row>
    <row r="284" spans="1:27" x14ac:dyDescent="0.35">
      <c r="A284" t="s">
        <v>302</v>
      </c>
      <c r="B284" t="s">
        <v>866</v>
      </c>
      <c r="C284" t="s">
        <v>301</v>
      </c>
      <c r="D284" t="str">
        <f t="shared" si="4"/>
        <v>52</v>
      </c>
      <c r="E284" t="s">
        <v>590</v>
      </c>
      <c r="F284">
        <v>7.92</v>
      </c>
      <c r="G284">
        <v>6.46</v>
      </c>
      <c r="H284">
        <v>7.15</v>
      </c>
      <c r="I284">
        <v>14.28</v>
      </c>
      <c r="J284">
        <v>13.89</v>
      </c>
      <c r="K284">
        <v>14.17</v>
      </c>
      <c r="L284">
        <v>78.53</v>
      </c>
      <c r="M284">
        <v>71.02</v>
      </c>
      <c r="N284">
        <v>73.52</v>
      </c>
      <c r="O284">
        <v>2.97</v>
      </c>
      <c r="P284">
        <v>2.63</v>
      </c>
      <c r="Q284">
        <v>2.82</v>
      </c>
      <c r="R284">
        <v>71.03</v>
      </c>
      <c r="S284">
        <v>75.14</v>
      </c>
      <c r="T284">
        <v>73.03</v>
      </c>
      <c r="U284">
        <v>84.82</v>
      </c>
      <c r="V284">
        <v>63.97</v>
      </c>
      <c r="W284">
        <v>74.400000000000006</v>
      </c>
      <c r="X284">
        <v>0.52700000000000002</v>
      </c>
      <c r="Y284">
        <v>90.44</v>
      </c>
      <c r="Z284">
        <v>20583.189999999999</v>
      </c>
      <c r="AA284">
        <v>776300</v>
      </c>
    </row>
    <row r="285" spans="1:27" x14ac:dyDescent="0.35">
      <c r="A285" t="s">
        <v>303</v>
      </c>
      <c r="B285" t="s">
        <v>867</v>
      </c>
      <c r="C285" t="s">
        <v>301</v>
      </c>
      <c r="D285" t="str">
        <f t="shared" si="4"/>
        <v>52</v>
      </c>
      <c r="E285" t="s">
        <v>590</v>
      </c>
      <c r="F285">
        <v>7.72</v>
      </c>
      <c r="G285">
        <v>6.51</v>
      </c>
      <c r="H285">
        <v>7.08</v>
      </c>
      <c r="I285">
        <v>14.29</v>
      </c>
      <c r="J285">
        <v>13.7</v>
      </c>
      <c r="K285">
        <v>13.9</v>
      </c>
      <c r="L285">
        <v>76.91</v>
      </c>
      <c r="M285">
        <v>68.47</v>
      </c>
      <c r="N285">
        <v>72.069999999999993</v>
      </c>
      <c r="O285">
        <v>3.86</v>
      </c>
      <c r="P285">
        <v>2.7</v>
      </c>
      <c r="Q285">
        <v>3.36</v>
      </c>
      <c r="R285">
        <v>69.94</v>
      </c>
      <c r="S285">
        <v>73.94</v>
      </c>
      <c r="T285">
        <v>71.89</v>
      </c>
      <c r="U285">
        <v>88.38</v>
      </c>
      <c r="V285">
        <v>68.400000000000006</v>
      </c>
      <c r="W285">
        <v>78.39</v>
      </c>
      <c r="X285">
        <v>0.54100000000000004</v>
      </c>
      <c r="Y285">
        <v>89.03</v>
      </c>
      <c r="Z285">
        <v>24165.32</v>
      </c>
      <c r="AA285">
        <v>1129778</v>
      </c>
    </row>
    <row r="286" spans="1:27" x14ac:dyDescent="0.35">
      <c r="A286" t="s">
        <v>304</v>
      </c>
      <c r="B286" t="s">
        <v>868</v>
      </c>
      <c r="C286" t="s">
        <v>301</v>
      </c>
      <c r="D286" t="str">
        <f t="shared" si="4"/>
        <v>52</v>
      </c>
      <c r="E286" t="s">
        <v>590</v>
      </c>
      <c r="F286">
        <v>8.18</v>
      </c>
      <c r="G286">
        <v>7.32</v>
      </c>
      <c r="H286">
        <v>7.71</v>
      </c>
      <c r="I286">
        <v>14.08</v>
      </c>
      <c r="J286">
        <v>14.21</v>
      </c>
      <c r="K286">
        <v>14.08</v>
      </c>
      <c r="L286">
        <v>75.75</v>
      </c>
      <c r="M286">
        <v>70.16</v>
      </c>
      <c r="N286">
        <v>72.349999999999994</v>
      </c>
      <c r="O286">
        <v>3.05</v>
      </c>
      <c r="P286">
        <v>2.5099999999999998</v>
      </c>
      <c r="Q286">
        <v>2.82</v>
      </c>
      <c r="R286">
        <v>70.33</v>
      </c>
      <c r="S286">
        <v>74.34</v>
      </c>
      <c r="T286">
        <v>72.290000000000006</v>
      </c>
      <c r="U286">
        <v>88.98</v>
      </c>
      <c r="V286">
        <v>67.8</v>
      </c>
      <c r="W286">
        <v>78.39</v>
      </c>
      <c r="X286">
        <v>0.54300000000000004</v>
      </c>
      <c r="Y286">
        <v>92.62</v>
      </c>
      <c r="Z286">
        <v>28234.560000000001</v>
      </c>
      <c r="AA286">
        <v>1437357</v>
      </c>
    </row>
    <row r="287" spans="1:27" x14ac:dyDescent="0.35">
      <c r="A287" t="s">
        <v>305</v>
      </c>
      <c r="B287" t="s">
        <v>869</v>
      </c>
      <c r="C287" t="s">
        <v>301</v>
      </c>
      <c r="D287" t="str">
        <f t="shared" si="4"/>
        <v>52</v>
      </c>
      <c r="E287" t="s">
        <v>590</v>
      </c>
      <c r="F287">
        <v>9.2899999999999991</v>
      </c>
      <c r="G287">
        <v>8.39</v>
      </c>
      <c r="H287">
        <v>8.8800000000000008</v>
      </c>
      <c r="I287">
        <v>13.33</v>
      </c>
      <c r="J287">
        <v>13.43</v>
      </c>
      <c r="K287">
        <v>13.35</v>
      </c>
      <c r="L287">
        <v>76.03</v>
      </c>
      <c r="M287">
        <v>72.08</v>
      </c>
      <c r="N287">
        <v>73.27</v>
      </c>
      <c r="O287">
        <v>2.95</v>
      </c>
      <c r="P287">
        <v>2.11</v>
      </c>
      <c r="Q287">
        <v>2.6</v>
      </c>
      <c r="R287">
        <v>71.05</v>
      </c>
      <c r="S287">
        <v>75.2</v>
      </c>
      <c r="T287">
        <v>73.069999999999993</v>
      </c>
      <c r="U287">
        <v>86.87</v>
      </c>
      <c r="V287">
        <v>59.55</v>
      </c>
      <c r="W287">
        <v>73.209999999999994</v>
      </c>
      <c r="X287">
        <v>0.32200000000000001</v>
      </c>
      <c r="Y287">
        <v>94.8</v>
      </c>
      <c r="Z287">
        <v>19753.29</v>
      </c>
      <c r="AA287">
        <v>543676</v>
      </c>
    </row>
    <row r="288" spans="1:27" x14ac:dyDescent="0.35">
      <c r="A288" t="s">
        <v>306</v>
      </c>
      <c r="B288" t="s">
        <v>870</v>
      </c>
      <c r="C288" t="s">
        <v>301</v>
      </c>
      <c r="D288" t="str">
        <f t="shared" si="4"/>
        <v>52</v>
      </c>
      <c r="E288" t="s">
        <v>590</v>
      </c>
      <c r="F288">
        <v>9.8699999999999992</v>
      </c>
      <c r="G288">
        <v>8.7899999999999991</v>
      </c>
      <c r="H288">
        <v>9.3800000000000008</v>
      </c>
      <c r="I288">
        <v>13.8</v>
      </c>
      <c r="J288">
        <v>14.56</v>
      </c>
      <c r="K288">
        <v>14.01</v>
      </c>
      <c r="L288">
        <v>78.239999999999995</v>
      </c>
      <c r="M288">
        <v>71.709999999999994</v>
      </c>
      <c r="N288">
        <v>73.58</v>
      </c>
      <c r="O288">
        <v>2.76</v>
      </c>
      <c r="P288">
        <v>2.94</v>
      </c>
      <c r="Q288">
        <v>2.84</v>
      </c>
      <c r="R288">
        <v>70.13</v>
      </c>
      <c r="S288">
        <v>74.14</v>
      </c>
      <c r="T288">
        <v>72.09</v>
      </c>
      <c r="U288">
        <v>87.62</v>
      </c>
      <c r="V288">
        <v>69.73</v>
      </c>
      <c r="W288">
        <v>78.680000000000007</v>
      </c>
      <c r="X288">
        <v>0.54</v>
      </c>
      <c r="Y288">
        <v>91.65</v>
      </c>
      <c r="Z288">
        <v>9705.25</v>
      </c>
      <c r="AA288">
        <v>254667</v>
      </c>
    </row>
    <row r="289" spans="1:27" x14ac:dyDescent="0.35">
      <c r="A289" t="s">
        <v>307</v>
      </c>
      <c r="B289" t="s">
        <v>871</v>
      </c>
      <c r="C289" t="s">
        <v>301</v>
      </c>
      <c r="D289" t="str">
        <f t="shared" si="4"/>
        <v>52</v>
      </c>
      <c r="E289" t="s">
        <v>590</v>
      </c>
      <c r="F289">
        <v>9.2899999999999991</v>
      </c>
      <c r="G289">
        <v>8.44</v>
      </c>
      <c r="H289">
        <v>8.61</v>
      </c>
      <c r="I289">
        <v>13.7</v>
      </c>
      <c r="J289">
        <v>13.3</v>
      </c>
      <c r="K289">
        <v>13.67</v>
      </c>
      <c r="L289">
        <v>75.63</v>
      </c>
      <c r="M289">
        <v>70.02</v>
      </c>
      <c r="N289">
        <v>71.97</v>
      </c>
      <c r="O289">
        <v>1.5</v>
      </c>
      <c r="P289">
        <v>2.95</v>
      </c>
      <c r="Q289">
        <v>2.13</v>
      </c>
      <c r="R289">
        <v>70.260000000000005</v>
      </c>
      <c r="S289">
        <v>74.27</v>
      </c>
      <c r="T289">
        <v>72.22</v>
      </c>
      <c r="U289">
        <v>85.48</v>
      </c>
      <c r="V289">
        <v>66.209999999999994</v>
      </c>
      <c r="W289">
        <v>75.849999999999994</v>
      </c>
      <c r="X289">
        <v>0.46300000000000002</v>
      </c>
      <c r="Y289">
        <v>92.58</v>
      </c>
      <c r="Z289">
        <v>15612.85</v>
      </c>
      <c r="AA289">
        <v>551404</v>
      </c>
    </row>
    <row r="290" spans="1:27" x14ac:dyDescent="0.35">
      <c r="A290" t="s">
        <v>308</v>
      </c>
      <c r="B290" t="s">
        <v>872</v>
      </c>
      <c r="C290" t="s">
        <v>301</v>
      </c>
      <c r="D290" t="str">
        <f t="shared" si="4"/>
        <v>52</v>
      </c>
      <c r="E290" t="s">
        <v>590</v>
      </c>
      <c r="F290">
        <v>9.77</v>
      </c>
      <c r="G290">
        <v>8.9700000000000006</v>
      </c>
      <c r="H290">
        <v>9.35</v>
      </c>
      <c r="I290">
        <v>14.21</v>
      </c>
      <c r="J290">
        <v>13.6</v>
      </c>
      <c r="K290">
        <v>13.84</v>
      </c>
      <c r="L290">
        <v>80.069999999999993</v>
      </c>
      <c r="M290">
        <v>75.180000000000007</v>
      </c>
      <c r="N290">
        <v>76.459999999999994</v>
      </c>
      <c r="O290">
        <v>4.68</v>
      </c>
      <c r="P290">
        <v>3.4</v>
      </c>
      <c r="Q290">
        <v>4.13</v>
      </c>
      <c r="R290">
        <v>71.37</v>
      </c>
      <c r="S290">
        <v>75.61</v>
      </c>
      <c r="T290">
        <v>73.44</v>
      </c>
      <c r="U290">
        <v>84.06</v>
      </c>
      <c r="V290">
        <v>62.32</v>
      </c>
      <c r="W290">
        <v>73.19</v>
      </c>
      <c r="X290">
        <v>0.39900000000000002</v>
      </c>
      <c r="Y290">
        <v>93.89</v>
      </c>
      <c r="Z290">
        <v>37349.019999999997</v>
      </c>
      <c r="AA290">
        <v>158130</v>
      </c>
    </row>
    <row r="291" spans="1:27" x14ac:dyDescent="0.35">
      <c r="A291" t="s">
        <v>309</v>
      </c>
      <c r="B291" t="s">
        <v>873</v>
      </c>
      <c r="C291" t="s">
        <v>301</v>
      </c>
      <c r="D291" t="str">
        <f t="shared" si="4"/>
        <v>52</v>
      </c>
      <c r="E291" t="s">
        <v>590</v>
      </c>
      <c r="F291">
        <v>7.56</v>
      </c>
      <c r="G291">
        <v>5.9</v>
      </c>
      <c r="H291">
        <v>6.75</v>
      </c>
      <c r="I291">
        <v>13.55</v>
      </c>
      <c r="J291">
        <v>12.88</v>
      </c>
      <c r="K291">
        <v>13.16</v>
      </c>
      <c r="L291">
        <v>74.64</v>
      </c>
      <c r="M291">
        <v>64.44</v>
      </c>
      <c r="N291">
        <v>69.63</v>
      </c>
      <c r="O291">
        <v>2.95</v>
      </c>
      <c r="P291">
        <v>2.33</v>
      </c>
      <c r="Q291">
        <v>2.68</v>
      </c>
      <c r="R291">
        <v>69.930000000000007</v>
      </c>
      <c r="S291">
        <v>73.92</v>
      </c>
      <c r="T291">
        <v>71.88</v>
      </c>
      <c r="U291">
        <v>86.8</v>
      </c>
      <c r="V291">
        <v>66.78</v>
      </c>
      <c r="W291">
        <v>76.790000000000006</v>
      </c>
      <c r="X291">
        <v>0.503</v>
      </c>
      <c r="Y291">
        <v>86.33</v>
      </c>
      <c r="Z291">
        <v>6371.54</v>
      </c>
      <c r="AA291">
        <v>265176</v>
      </c>
    </row>
    <row r="292" spans="1:27" x14ac:dyDescent="0.35">
      <c r="A292" t="s">
        <v>310</v>
      </c>
      <c r="B292" t="s">
        <v>874</v>
      </c>
      <c r="C292" t="s">
        <v>301</v>
      </c>
      <c r="D292" t="str">
        <f t="shared" si="4"/>
        <v>52</v>
      </c>
      <c r="E292" t="s">
        <v>590</v>
      </c>
      <c r="F292">
        <v>10.92</v>
      </c>
      <c r="G292">
        <v>9.6</v>
      </c>
      <c r="H292">
        <v>9.89</v>
      </c>
      <c r="I292">
        <v>15.75</v>
      </c>
      <c r="J292">
        <v>15.66</v>
      </c>
      <c r="K292">
        <v>15.69</v>
      </c>
      <c r="L292">
        <v>85.77</v>
      </c>
      <c r="M292">
        <v>80.81</v>
      </c>
      <c r="N292">
        <v>82.37</v>
      </c>
      <c r="O292">
        <v>5.86</v>
      </c>
      <c r="P292">
        <v>3.46</v>
      </c>
      <c r="Q292">
        <v>4.8</v>
      </c>
      <c r="R292">
        <v>72.44</v>
      </c>
      <c r="S292">
        <v>77.930000000000007</v>
      </c>
      <c r="T292">
        <v>75.12</v>
      </c>
      <c r="U292">
        <v>79.91</v>
      </c>
      <c r="V292">
        <v>62.06</v>
      </c>
      <c r="W292">
        <v>70.989999999999995</v>
      </c>
      <c r="X292">
        <v>0.38400000000000001</v>
      </c>
      <c r="Y292">
        <v>94.22</v>
      </c>
      <c r="Z292">
        <v>26069.8</v>
      </c>
      <c r="AA292">
        <v>448775</v>
      </c>
    </row>
    <row r="293" spans="1:27" x14ac:dyDescent="0.35">
      <c r="A293" t="s">
        <v>311</v>
      </c>
      <c r="B293" t="s">
        <v>875</v>
      </c>
      <c r="C293" t="s">
        <v>301</v>
      </c>
      <c r="D293" t="str">
        <f t="shared" si="4"/>
        <v>52</v>
      </c>
      <c r="E293" t="s">
        <v>590</v>
      </c>
      <c r="F293">
        <v>11.29</v>
      </c>
      <c r="G293">
        <v>10.67</v>
      </c>
      <c r="H293">
        <v>10.97</v>
      </c>
      <c r="I293">
        <v>15.06</v>
      </c>
      <c r="J293">
        <v>15.84</v>
      </c>
      <c r="K293">
        <v>15.21</v>
      </c>
      <c r="L293">
        <v>81.13</v>
      </c>
      <c r="M293">
        <v>78.66</v>
      </c>
      <c r="N293">
        <v>79.41</v>
      </c>
      <c r="O293">
        <v>4.51</v>
      </c>
      <c r="P293">
        <v>3.98</v>
      </c>
      <c r="Q293">
        <v>4.28</v>
      </c>
      <c r="R293">
        <v>71.3</v>
      </c>
      <c r="S293">
        <v>75.72</v>
      </c>
      <c r="T293">
        <v>73.45</v>
      </c>
      <c r="U293">
        <v>81.650000000000006</v>
      </c>
      <c r="V293">
        <v>61.94</v>
      </c>
      <c r="W293">
        <v>71.8</v>
      </c>
      <c r="X293">
        <v>0.41199999999999998</v>
      </c>
      <c r="Y293">
        <v>96.96</v>
      </c>
      <c r="Z293">
        <v>5641.13</v>
      </c>
      <c r="AA293">
        <v>165844</v>
      </c>
    </row>
    <row r="294" spans="1:27" x14ac:dyDescent="0.35">
      <c r="A294" t="s">
        <v>313</v>
      </c>
      <c r="B294" t="s">
        <v>876</v>
      </c>
      <c r="C294" t="s">
        <v>312</v>
      </c>
      <c r="D294" t="str">
        <f t="shared" si="4"/>
        <v>53</v>
      </c>
      <c r="E294" t="s">
        <v>590</v>
      </c>
      <c r="F294">
        <v>7.55</v>
      </c>
      <c r="G294">
        <v>7.09</v>
      </c>
      <c r="H294">
        <v>7.39</v>
      </c>
      <c r="I294">
        <v>13.19</v>
      </c>
      <c r="J294">
        <v>13.78</v>
      </c>
      <c r="K294">
        <v>13.41</v>
      </c>
      <c r="L294">
        <v>70.86</v>
      </c>
      <c r="M294">
        <v>67.7</v>
      </c>
      <c r="N294">
        <v>68.459999999999994</v>
      </c>
      <c r="O294">
        <v>2.68</v>
      </c>
      <c r="P294">
        <v>3.98</v>
      </c>
      <c r="Q294">
        <v>3.27</v>
      </c>
      <c r="R294">
        <v>69.69</v>
      </c>
      <c r="S294">
        <v>73.67</v>
      </c>
      <c r="T294">
        <v>71.63</v>
      </c>
      <c r="U294">
        <v>81.77</v>
      </c>
      <c r="V294">
        <v>71.91</v>
      </c>
      <c r="W294">
        <v>76.84</v>
      </c>
      <c r="X294">
        <v>0.19600000000000001</v>
      </c>
      <c r="Y294">
        <v>95.54</v>
      </c>
      <c r="Z294">
        <v>3250.46</v>
      </c>
      <c r="AA294">
        <v>157595</v>
      </c>
    </row>
    <row r="295" spans="1:27" x14ac:dyDescent="0.35">
      <c r="A295" t="s">
        <v>314</v>
      </c>
      <c r="B295" t="s">
        <v>877</v>
      </c>
      <c r="C295" t="s">
        <v>312</v>
      </c>
      <c r="D295" t="str">
        <f t="shared" si="4"/>
        <v>53</v>
      </c>
      <c r="E295" t="s">
        <v>590</v>
      </c>
      <c r="F295">
        <v>7.94</v>
      </c>
      <c r="G295">
        <v>7.82</v>
      </c>
      <c r="H295">
        <v>7.94</v>
      </c>
      <c r="I295">
        <v>12.86</v>
      </c>
      <c r="J295">
        <v>13.17</v>
      </c>
      <c r="K295">
        <v>12.88</v>
      </c>
      <c r="L295">
        <v>73.22</v>
      </c>
      <c r="M295">
        <v>70.7</v>
      </c>
      <c r="N295">
        <v>70.989999999999995</v>
      </c>
      <c r="O295">
        <v>4.71</v>
      </c>
      <c r="P295">
        <v>1.74</v>
      </c>
      <c r="Q295">
        <v>3.36</v>
      </c>
      <c r="R295">
        <v>69.959999999999994</v>
      </c>
      <c r="S295">
        <v>73.959999999999994</v>
      </c>
      <c r="T295">
        <v>71.91</v>
      </c>
      <c r="U295">
        <v>80.64</v>
      </c>
      <c r="V295">
        <v>70.11</v>
      </c>
      <c r="W295">
        <v>75.38</v>
      </c>
      <c r="X295">
        <v>0.47799999999999998</v>
      </c>
      <c r="Y295">
        <v>96.56</v>
      </c>
      <c r="Z295">
        <v>8518.15</v>
      </c>
      <c r="AA295">
        <v>262975</v>
      </c>
    </row>
    <row r="296" spans="1:27" x14ac:dyDescent="0.35">
      <c r="A296" t="s">
        <v>315</v>
      </c>
      <c r="B296" t="s">
        <v>878</v>
      </c>
      <c r="C296" t="s">
        <v>312</v>
      </c>
      <c r="D296" t="str">
        <f t="shared" si="4"/>
        <v>53</v>
      </c>
      <c r="E296" t="s">
        <v>590</v>
      </c>
      <c r="F296">
        <v>8.1300000000000008</v>
      </c>
      <c r="G296">
        <v>7.7</v>
      </c>
      <c r="H296">
        <v>7.87</v>
      </c>
      <c r="I296">
        <v>13.86</v>
      </c>
      <c r="J296">
        <v>13.95</v>
      </c>
      <c r="K296">
        <v>13.91</v>
      </c>
      <c r="L296">
        <v>73.12</v>
      </c>
      <c r="M296">
        <v>65.17</v>
      </c>
      <c r="N296">
        <v>69.03</v>
      </c>
      <c r="O296">
        <v>3.33</v>
      </c>
      <c r="P296">
        <v>3.83</v>
      </c>
      <c r="Q296">
        <v>3.53</v>
      </c>
      <c r="R296">
        <v>67.98</v>
      </c>
      <c r="S296">
        <v>71.930000000000007</v>
      </c>
      <c r="T296">
        <v>69.91</v>
      </c>
      <c r="U296">
        <v>83.45</v>
      </c>
      <c r="V296">
        <v>58.15</v>
      </c>
      <c r="W296">
        <v>70.8</v>
      </c>
      <c r="X296">
        <v>0.47099999999999997</v>
      </c>
      <c r="Y296">
        <v>89.13</v>
      </c>
      <c r="Z296">
        <v>10927.01</v>
      </c>
      <c r="AA296">
        <v>383387</v>
      </c>
    </row>
    <row r="297" spans="1:27" x14ac:dyDescent="0.35">
      <c r="A297" t="s">
        <v>316</v>
      </c>
      <c r="B297" t="s">
        <v>879</v>
      </c>
      <c r="C297" t="s">
        <v>312</v>
      </c>
      <c r="D297" t="str">
        <f t="shared" si="4"/>
        <v>53</v>
      </c>
      <c r="E297" t="s">
        <v>590</v>
      </c>
      <c r="F297">
        <v>7.44</v>
      </c>
      <c r="G297">
        <v>7.11</v>
      </c>
      <c r="H297">
        <v>7.43</v>
      </c>
      <c r="I297">
        <v>12.47</v>
      </c>
      <c r="J297">
        <v>14.82</v>
      </c>
      <c r="K297">
        <v>12.63</v>
      </c>
      <c r="L297">
        <v>69.709999999999994</v>
      </c>
      <c r="M297">
        <v>66.87</v>
      </c>
      <c r="N297">
        <v>66.88</v>
      </c>
      <c r="O297">
        <v>2.89</v>
      </c>
      <c r="P297">
        <v>4.3</v>
      </c>
      <c r="Q297">
        <v>3.57</v>
      </c>
      <c r="R297">
        <v>69.53</v>
      </c>
      <c r="S297">
        <v>73.5</v>
      </c>
      <c r="T297">
        <v>71.47</v>
      </c>
      <c r="U297">
        <v>85.19</v>
      </c>
      <c r="V297">
        <v>77.3</v>
      </c>
      <c r="W297">
        <v>81.25</v>
      </c>
      <c r="X297">
        <v>0.50800000000000001</v>
      </c>
      <c r="Y297">
        <v>95.93</v>
      </c>
      <c r="Z297">
        <v>10961.27</v>
      </c>
      <c r="AA297">
        <v>487999</v>
      </c>
    </row>
    <row r="298" spans="1:27" x14ac:dyDescent="0.35">
      <c r="A298" t="s">
        <v>317</v>
      </c>
      <c r="B298" t="s">
        <v>880</v>
      </c>
      <c r="C298" t="s">
        <v>312</v>
      </c>
      <c r="D298" t="str">
        <f t="shared" si="4"/>
        <v>53</v>
      </c>
      <c r="E298" t="s">
        <v>590</v>
      </c>
      <c r="F298">
        <v>8.48</v>
      </c>
      <c r="G298">
        <v>8.31</v>
      </c>
      <c r="H298">
        <v>8.36</v>
      </c>
      <c r="I298">
        <v>13.01</v>
      </c>
      <c r="J298">
        <v>14.05</v>
      </c>
      <c r="K298">
        <v>13.39</v>
      </c>
      <c r="L298">
        <v>69.84</v>
      </c>
      <c r="M298">
        <v>67.209999999999994</v>
      </c>
      <c r="N298">
        <v>67.87</v>
      </c>
      <c r="O298">
        <v>3.21</v>
      </c>
      <c r="P298">
        <v>1.81</v>
      </c>
      <c r="Q298">
        <v>2.54</v>
      </c>
      <c r="R298">
        <v>69.45</v>
      </c>
      <c r="S298">
        <v>73.42</v>
      </c>
      <c r="T298">
        <v>71.39</v>
      </c>
      <c r="U298">
        <v>78.89</v>
      </c>
      <c r="V298">
        <v>71.3</v>
      </c>
      <c r="W298">
        <v>75.099999999999994</v>
      </c>
      <c r="X298">
        <v>0.38500000000000001</v>
      </c>
      <c r="Y298">
        <v>96.23</v>
      </c>
      <c r="Z298">
        <v>5527.98</v>
      </c>
      <c r="AA298">
        <v>279637</v>
      </c>
    </row>
    <row r="299" spans="1:27" x14ac:dyDescent="0.35">
      <c r="A299" t="s">
        <v>318</v>
      </c>
      <c r="B299" t="s">
        <v>881</v>
      </c>
      <c r="C299" t="s">
        <v>312</v>
      </c>
      <c r="D299" t="str">
        <f t="shared" si="4"/>
        <v>53</v>
      </c>
      <c r="E299" t="s">
        <v>590</v>
      </c>
      <c r="F299">
        <v>7.76</v>
      </c>
      <c r="G299">
        <v>7.6</v>
      </c>
      <c r="H299">
        <v>7.73</v>
      </c>
      <c r="I299">
        <v>12.25</v>
      </c>
      <c r="J299">
        <v>12.69</v>
      </c>
      <c r="K299">
        <v>12.33</v>
      </c>
      <c r="L299">
        <v>70.19</v>
      </c>
      <c r="M299">
        <v>68.89</v>
      </c>
      <c r="N299">
        <v>68.89</v>
      </c>
      <c r="O299">
        <v>5.29</v>
      </c>
      <c r="P299">
        <v>5.08</v>
      </c>
      <c r="Q299">
        <v>5.2</v>
      </c>
      <c r="R299">
        <v>72.239999999999995</v>
      </c>
      <c r="S299">
        <v>77.430000000000007</v>
      </c>
      <c r="T299">
        <v>74.77</v>
      </c>
      <c r="U299">
        <v>86.69</v>
      </c>
      <c r="V299">
        <v>66.819999999999993</v>
      </c>
      <c r="W299">
        <v>76.760000000000005</v>
      </c>
      <c r="X299">
        <v>0.33800000000000002</v>
      </c>
      <c r="Y299">
        <v>98.15</v>
      </c>
      <c r="Z299">
        <v>6434.01</v>
      </c>
      <c r="AA299">
        <v>240392</v>
      </c>
    </row>
    <row r="300" spans="1:27" x14ac:dyDescent="0.35">
      <c r="A300" t="s">
        <v>319</v>
      </c>
      <c r="B300" t="s">
        <v>882</v>
      </c>
      <c r="C300" t="s">
        <v>312</v>
      </c>
      <c r="D300" t="str">
        <f t="shared" si="4"/>
        <v>53</v>
      </c>
      <c r="E300" t="s">
        <v>590</v>
      </c>
      <c r="F300">
        <v>9.16</v>
      </c>
      <c r="G300">
        <v>8.39</v>
      </c>
      <c r="H300">
        <v>8.7200000000000006</v>
      </c>
      <c r="I300">
        <v>12.61</v>
      </c>
      <c r="J300">
        <v>12.54</v>
      </c>
      <c r="K300">
        <v>12.59</v>
      </c>
      <c r="L300">
        <v>72.2</v>
      </c>
      <c r="M300">
        <v>67.319999999999993</v>
      </c>
      <c r="N300">
        <v>68.44</v>
      </c>
      <c r="O300">
        <v>2.64</v>
      </c>
      <c r="P300">
        <v>1.51</v>
      </c>
      <c r="Q300">
        <v>2.08</v>
      </c>
      <c r="R300">
        <v>69.39</v>
      </c>
      <c r="S300">
        <v>73.36</v>
      </c>
      <c r="T300">
        <v>71.33</v>
      </c>
      <c r="U300">
        <v>80.98</v>
      </c>
      <c r="V300">
        <v>76.72</v>
      </c>
      <c r="W300">
        <v>78.849999999999994</v>
      </c>
      <c r="X300">
        <v>0.54500000000000004</v>
      </c>
      <c r="Y300">
        <v>93.24</v>
      </c>
      <c r="Z300">
        <v>4290.08</v>
      </c>
      <c r="AA300">
        <v>228504</v>
      </c>
    </row>
    <row r="301" spans="1:27" x14ac:dyDescent="0.35">
      <c r="A301" t="s">
        <v>320</v>
      </c>
      <c r="B301" t="s">
        <v>883</v>
      </c>
      <c r="C301" t="s">
        <v>312</v>
      </c>
      <c r="D301" t="str">
        <f t="shared" si="4"/>
        <v>53</v>
      </c>
      <c r="E301" t="s">
        <v>590</v>
      </c>
      <c r="F301">
        <v>9.33</v>
      </c>
      <c r="G301">
        <v>7.94</v>
      </c>
      <c r="H301">
        <v>8.49</v>
      </c>
      <c r="I301">
        <v>12.54</v>
      </c>
      <c r="J301">
        <v>12.81</v>
      </c>
      <c r="K301">
        <v>12.54</v>
      </c>
      <c r="L301">
        <v>74.17</v>
      </c>
      <c r="M301">
        <v>68.36</v>
      </c>
      <c r="N301">
        <v>69.7</v>
      </c>
      <c r="O301">
        <v>1.37</v>
      </c>
      <c r="P301">
        <v>1.36</v>
      </c>
      <c r="Q301">
        <v>1.37</v>
      </c>
      <c r="R301">
        <v>71.61</v>
      </c>
      <c r="S301">
        <v>76.11</v>
      </c>
      <c r="T301">
        <v>73.81</v>
      </c>
      <c r="U301">
        <v>80.709999999999994</v>
      </c>
      <c r="V301">
        <v>73.819999999999993</v>
      </c>
      <c r="W301">
        <v>77.27</v>
      </c>
      <c r="X301">
        <v>0.67400000000000004</v>
      </c>
      <c r="Y301">
        <v>92.17</v>
      </c>
      <c r="Z301">
        <v>2462.84</v>
      </c>
      <c r="AA301">
        <v>145271</v>
      </c>
    </row>
    <row r="302" spans="1:27" x14ac:dyDescent="0.35">
      <c r="A302" t="s">
        <v>321</v>
      </c>
      <c r="B302" t="s">
        <v>884</v>
      </c>
      <c r="C302" t="s">
        <v>312</v>
      </c>
      <c r="D302" t="str">
        <f t="shared" si="4"/>
        <v>53</v>
      </c>
      <c r="E302" t="s">
        <v>590</v>
      </c>
      <c r="F302">
        <v>8.68</v>
      </c>
      <c r="G302">
        <v>7.87</v>
      </c>
      <c r="H302">
        <v>8.19</v>
      </c>
      <c r="I302">
        <v>13.29</v>
      </c>
      <c r="J302">
        <v>13.01</v>
      </c>
      <c r="K302">
        <v>13.17</v>
      </c>
      <c r="L302">
        <v>74.62</v>
      </c>
      <c r="M302">
        <v>69.349999999999994</v>
      </c>
      <c r="N302">
        <v>70.61</v>
      </c>
      <c r="O302">
        <v>6.05</v>
      </c>
      <c r="P302">
        <v>6.73</v>
      </c>
      <c r="Q302">
        <v>6.36</v>
      </c>
      <c r="R302">
        <v>71.98</v>
      </c>
      <c r="S302">
        <v>76.87</v>
      </c>
      <c r="T302">
        <v>74.37</v>
      </c>
      <c r="U302">
        <v>79.53</v>
      </c>
      <c r="V302">
        <v>61</v>
      </c>
      <c r="W302">
        <v>70.27</v>
      </c>
      <c r="X302">
        <v>0.78800000000000003</v>
      </c>
      <c r="Y302">
        <v>92.94</v>
      </c>
      <c r="Z302">
        <v>6977.95</v>
      </c>
      <c r="AA302">
        <v>296760</v>
      </c>
    </row>
    <row r="303" spans="1:27" x14ac:dyDescent="0.35">
      <c r="A303" t="s">
        <v>322</v>
      </c>
      <c r="B303" t="s">
        <v>885</v>
      </c>
      <c r="C303" t="s">
        <v>312</v>
      </c>
      <c r="D303" t="str">
        <f t="shared" si="4"/>
        <v>53</v>
      </c>
      <c r="E303" t="s">
        <v>590</v>
      </c>
      <c r="F303">
        <v>7.53</v>
      </c>
      <c r="G303">
        <v>7.14</v>
      </c>
      <c r="H303">
        <v>7.2</v>
      </c>
      <c r="I303">
        <v>13.56</v>
      </c>
      <c r="J303">
        <v>14.05</v>
      </c>
      <c r="K303">
        <v>13.68</v>
      </c>
      <c r="L303">
        <v>75.040000000000006</v>
      </c>
      <c r="M303">
        <v>68.13</v>
      </c>
      <c r="N303">
        <v>70.650000000000006</v>
      </c>
      <c r="O303">
        <v>2.34</v>
      </c>
      <c r="P303">
        <v>2.96</v>
      </c>
      <c r="Q303">
        <v>2.62</v>
      </c>
      <c r="R303">
        <v>72.069999999999993</v>
      </c>
      <c r="S303">
        <v>77.34</v>
      </c>
      <c r="T303">
        <v>74.64</v>
      </c>
      <c r="U303">
        <v>80.599999999999994</v>
      </c>
      <c r="V303">
        <v>64.2</v>
      </c>
      <c r="W303">
        <v>72.400000000000006</v>
      </c>
      <c r="X303">
        <v>0.22500000000000001</v>
      </c>
      <c r="Y303">
        <v>90.79</v>
      </c>
      <c r="Z303">
        <v>7299.29</v>
      </c>
      <c r="AA303">
        <v>345319</v>
      </c>
    </row>
    <row r="304" spans="1:27" x14ac:dyDescent="0.35">
      <c r="A304" t="s">
        <v>323</v>
      </c>
      <c r="B304" t="s">
        <v>886</v>
      </c>
      <c r="C304" t="s">
        <v>312</v>
      </c>
      <c r="D304" t="str">
        <f t="shared" si="4"/>
        <v>53</v>
      </c>
      <c r="E304" t="s">
        <v>590</v>
      </c>
      <c r="F304">
        <v>8.8699999999999992</v>
      </c>
      <c r="G304">
        <v>8.35</v>
      </c>
      <c r="H304">
        <v>8.52</v>
      </c>
      <c r="I304">
        <v>14.1</v>
      </c>
      <c r="J304">
        <v>13.83</v>
      </c>
      <c r="K304">
        <v>13.84</v>
      </c>
      <c r="L304">
        <v>74.48</v>
      </c>
      <c r="M304">
        <v>71.88</v>
      </c>
      <c r="N304">
        <v>72.73</v>
      </c>
      <c r="O304">
        <v>3.27</v>
      </c>
      <c r="P304">
        <v>2.62</v>
      </c>
      <c r="Q304">
        <v>2.95</v>
      </c>
      <c r="R304">
        <v>71.040000000000006</v>
      </c>
      <c r="S304">
        <v>75.180000000000007</v>
      </c>
      <c r="T304">
        <v>73.06</v>
      </c>
      <c r="U304">
        <v>76.7</v>
      </c>
      <c r="V304">
        <v>67.459999999999994</v>
      </c>
      <c r="W304">
        <v>72.08</v>
      </c>
      <c r="X304">
        <v>0.214</v>
      </c>
      <c r="Y304">
        <v>96.51</v>
      </c>
      <c r="Z304">
        <v>8587.42</v>
      </c>
      <c r="AA304">
        <v>284165</v>
      </c>
    </row>
    <row r="305" spans="1:27" x14ac:dyDescent="0.35">
      <c r="A305" t="s">
        <v>324</v>
      </c>
      <c r="B305" t="s">
        <v>887</v>
      </c>
      <c r="C305" t="s">
        <v>312</v>
      </c>
      <c r="D305" t="str">
        <f t="shared" si="4"/>
        <v>53</v>
      </c>
      <c r="E305" t="s">
        <v>590</v>
      </c>
      <c r="F305">
        <v>8.85</v>
      </c>
      <c r="G305">
        <v>8.77</v>
      </c>
      <c r="H305">
        <v>8.84</v>
      </c>
      <c r="I305">
        <v>12.45</v>
      </c>
      <c r="J305">
        <v>13.08</v>
      </c>
      <c r="K305">
        <v>12.76</v>
      </c>
      <c r="L305">
        <v>74.53</v>
      </c>
      <c r="M305">
        <v>72.53</v>
      </c>
      <c r="N305">
        <v>72.53</v>
      </c>
      <c r="O305">
        <v>2.48</v>
      </c>
      <c r="P305">
        <v>2.73</v>
      </c>
      <c r="Q305">
        <v>2.6</v>
      </c>
      <c r="R305">
        <v>72.319999999999993</v>
      </c>
      <c r="S305">
        <v>77.58</v>
      </c>
      <c r="T305">
        <v>74.89</v>
      </c>
      <c r="U305">
        <v>82.01</v>
      </c>
      <c r="V305">
        <v>72.91</v>
      </c>
      <c r="W305">
        <v>77.459999999999994</v>
      </c>
      <c r="X305">
        <v>0.64400000000000002</v>
      </c>
      <c r="Y305">
        <v>97.32</v>
      </c>
      <c r="Z305">
        <v>4775.8900000000003</v>
      </c>
      <c r="AA305">
        <v>176462</v>
      </c>
    </row>
    <row r="306" spans="1:27" x14ac:dyDescent="0.35">
      <c r="A306" t="s">
        <v>325</v>
      </c>
      <c r="B306" t="s">
        <v>888</v>
      </c>
      <c r="C306" t="s">
        <v>312</v>
      </c>
      <c r="D306" t="str">
        <f t="shared" si="4"/>
        <v>53</v>
      </c>
      <c r="E306" t="s">
        <v>590</v>
      </c>
      <c r="F306">
        <v>8.7799999999999994</v>
      </c>
      <c r="G306">
        <v>7.66</v>
      </c>
      <c r="H306">
        <v>8.17</v>
      </c>
      <c r="I306">
        <v>13.51</v>
      </c>
      <c r="J306">
        <v>14.32</v>
      </c>
      <c r="K306">
        <v>13.74</v>
      </c>
      <c r="L306">
        <v>74.599999999999994</v>
      </c>
      <c r="M306">
        <v>66.86</v>
      </c>
      <c r="N306">
        <v>70.099999999999994</v>
      </c>
      <c r="O306">
        <v>1.59</v>
      </c>
      <c r="P306">
        <v>1.54</v>
      </c>
      <c r="Q306">
        <v>1.56</v>
      </c>
      <c r="R306">
        <v>70.790000000000006</v>
      </c>
      <c r="S306">
        <v>74.819999999999993</v>
      </c>
      <c r="T306">
        <v>72.760000000000005</v>
      </c>
      <c r="U306">
        <v>84.37</v>
      </c>
      <c r="V306">
        <v>72.86</v>
      </c>
      <c r="W306">
        <v>78.62</v>
      </c>
      <c r="X306">
        <v>0.41399999999999998</v>
      </c>
      <c r="Y306">
        <v>89.62</v>
      </c>
      <c r="Z306">
        <v>6379.84</v>
      </c>
      <c r="AA306">
        <v>340153</v>
      </c>
    </row>
    <row r="307" spans="1:27" x14ac:dyDescent="0.35">
      <c r="A307" t="s">
        <v>326</v>
      </c>
      <c r="B307" t="s">
        <v>889</v>
      </c>
      <c r="C307" t="s">
        <v>312</v>
      </c>
      <c r="D307" t="str">
        <f t="shared" si="4"/>
        <v>53</v>
      </c>
      <c r="E307" t="s">
        <v>590</v>
      </c>
      <c r="F307">
        <v>8.33</v>
      </c>
      <c r="G307">
        <v>7.71</v>
      </c>
      <c r="H307">
        <v>7.84</v>
      </c>
      <c r="I307">
        <v>13.36</v>
      </c>
      <c r="J307">
        <v>13.08</v>
      </c>
      <c r="K307">
        <v>13.24</v>
      </c>
      <c r="L307">
        <v>72.19</v>
      </c>
      <c r="M307">
        <v>62.25</v>
      </c>
      <c r="N307">
        <v>67.010000000000005</v>
      </c>
      <c r="O307">
        <v>1.7</v>
      </c>
      <c r="P307">
        <v>2.8</v>
      </c>
      <c r="Q307">
        <v>2.1800000000000002</v>
      </c>
      <c r="R307">
        <v>68.25</v>
      </c>
      <c r="S307">
        <v>72.19</v>
      </c>
      <c r="T307">
        <v>70.17</v>
      </c>
      <c r="U307">
        <v>79.64</v>
      </c>
      <c r="V307">
        <v>61.6</v>
      </c>
      <c r="W307">
        <v>70.62</v>
      </c>
      <c r="X307">
        <v>0.79100000000000004</v>
      </c>
      <c r="Y307">
        <v>86.23</v>
      </c>
      <c r="Z307">
        <v>4335.4799999999996</v>
      </c>
      <c r="AA307">
        <v>155371</v>
      </c>
    </row>
    <row r="308" spans="1:27" x14ac:dyDescent="0.35">
      <c r="A308" t="s">
        <v>327</v>
      </c>
      <c r="B308" t="s">
        <v>890</v>
      </c>
      <c r="C308" t="s">
        <v>312</v>
      </c>
      <c r="D308" t="str">
        <f t="shared" si="4"/>
        <v>53</v>
      </c>
      <c r="E308" t="s">
        <v>590</v>
      </c>
      <c r="F308">
        <v>8.57</v>
      </c>
      <c r="G308">
        <v>7.93</v>
      </c>
      <c r="H308">
        <v>8.26</v>
      </c>
      <c r="I308">
        <v>12.76</v>
      </c>
      <c r="J308">
        <v>12.55</v>
      </c>
      <c r="K308">
        <v>12.62</v>
      </c>
      <c r="L308">
        <v>74.12</v>
      </c>
      <c r="M308">
        <v>66.06</v>
      </c>
      <c r="N308">
        <v>69.2</v>
      </c>
      <c r="O308">
        <v>3.27</v>
      </c>
      <c r="P308">
        <v>3.37</v>
      </c>
      <c r="Q308">
        <v>3.32</v>
      </c>
      <c r="R308">
        <v>71.16</v>
      </c>
      <c r="S308">
        <v>75.42</v>
      </c>
      <c r="T308">
        <v>73.239999999999995</v>
      </c>
      <c r="U308">
        <v>81.88</v>
      </c>
      <c r="V308">
        <v>62.34</v>
      </c>
      <c r="W308">
        <v>72.11</v>
      </c>
      <c r="X308">
        <v>0.47299999999999998</v>
      </c>
      <c r="Y308">
        <v>89.13</v>
      </c>
      <c r="Z308">
        <v>5002.2</v>
      </c>
      <c r="AA308">
        <v>281692</v>
      </c>
    </row>
    <row r="309" spans="1:27" x14ac:dyDescent="0.35">
      <c r="A309" t="s">
        <v>328</v>
      </c>
      <c r="B309" t="s">
        <v>891</v>
      </c>
      <c r="C309" t="s">
        <v>312</v>
      </c>
      <c r="D309" t="str">
        <f t="shared" si="4"/>
        <v>53</v>
      </c>
      <c r="E309" t="s">
        <v>590</v>
      </c>
      <c r="F309">
        <v>7.63</v>
      </c>
      <c r="G309">
        <v>7.42</v>
      </c>
      <c r="H309">
        <v>7.5</v>
      </c>
      <c r="I309">
        <v>13.11</v>
      </c>
      <c r="J309">
        <v>13.44</v>
      </c>
      <c r="K309">
        <v>13.15</v>
      </c>
      <c r="L309">
        <v>68.87</v>
      </c>
      <c r="M309">
        <v>63.09</v>
      </c>
      <c r="N309">
        <v>65.290000000000006</v>
      </c>
      <c r="O309">
        <v>1.84</v>
      </c>
      <c r="P309">
        <v>3.34</v>
      </c>
      <c r="Q309">
        <v>2.4900000000000002</v>
      </c>
      <c r="R309">
        <v>67.84</v>
      </c>
      <c r="S309">
        <v>71.790000000000006</v>
      </c>
      <c r="T309">
        <v>69.77</v>
      </c>
      <c r="U309">
        <v>84.98</v>
      </c>
      <c r="V309">
        <v>69.33</v>
      </c>
      <c r="W309">
        <v>77.16</v>
      </c>
      <c r="X309">
        <v>0.372</v>
      </c>
      <c r="Y309">
        <v>91.61</v>
      </c>
      <c r="Z309">
        <v>1664.63</v>
      </c>
      <c r="AA309">
        <v>94187</v>
      </c>
    </row>
    <row r="310" spans="1:27" x14ac:dyDescent="0.35">
      <c r="A310" t="s">
        <v>329</v>
      </c>
      <c r="B310" t="s">
        <v>892</v>
      </c>
      <c r="C310" t="s">
        <v>312</v>
      </c>
      <c r="D310" t="str">
        <f t="shared" si="4"/>
        <v>53</v>
      </c>
      <c r="E310" t="s">
        <v>590</v>
      </c>
      <c r="F310">
        <v>6.57</v>
      </c>
      <c r="G310">
        <v>6.44</v>
      </c>
      <c r="H310">
        <v>6.47</v>
      </c>
      <c r="I310">
        <v>13.09</v>
      </c>
      <c r="J310">
        <v>13.51</v>
      </c>
      <c r="K310">
        <v>13.12</v>
      </c>
      <c r="L310">
        <v>65.64</v>
      </c>
      <c r="M310">
        <v>64.52</v>
      </c>
      <c r="N310">
        <v>64.819999999999993</v>
      </c>
      <c r="O310">
        <v>1.39</v>
      </c>
      <c r="P310">
        <v>2.0499999999999998</v>
      </c>
      <c r="Q310">
        <v>1.7</v>
      </c>
      <c r="R310">
        <v>67.53</v>
      </c>
      <c r="S310">
        <v>71.489999999999995</v>
      </c>
      <c r="T310">
        <v>69.459999999999994</v>
      </c>
      <c r="U310">
        <v>86.66</v>
      </c>
      <c r="V310">
        <v>77.88</v>
      </c>
      <c r="W310">
        <v>82.27</v>
      </c>
      <c r="X310">
        <v>0.53400000000000003</v>
      </c>
      <c r="Y310">
        <v>98.29</v>
      </c>
      <c r="Z310">
        <v>5287.21</v>
      </c>
      <c r="AA310">
        <v>335500</v>
      </c>
    </row>
    <row r="311" spans="1:27" x14ac:dyDescent="0.35">
      <c r="A311" t="s">
        <v>330</v>
      </c>
      <c r="B311" t="s">
        <v>893</v>
      </c>
      <c r="C311" t="s">
        <v>312</v>
      </c>
      <c r="D311" t="str">
        <f t="shared" si="4"/>
        <v>53</v>
      </c>
      <c r="E311" t="s">
        <v>590</v>
      </c>
      <c r="F311">
        <v>8.5399999999999991</v>
      </c>
      <c r="G311">
        <v>8.39</v>
      </c>
      <c r="H311">
        <v>8.4700000000000006</v>
      </c>
      <c r="I311">
        <v>13.07</v>
      </c>
      <c r="J311">
        <v>12.7</v>
      </c>
      <c r="K311">
        <v>12.74</v>
      </c>
      <c r="L311">
        <v>71.2</v>
      </c>
      <c r="M311">
        <v>70.11</v>
      </c>
      <c r="N311">
        <v>70.48</v>
      </c>
      <c r="O311">
        <v>0.81</v>
      </c>
      <c r="P311">
        <v>1.92</v>
      </c>
      <c r="Q311">
        <v>1.31</v>
      </c>
      <c r="R311">
        <v>70.92</v>
      </c>
      <c r="S311">
        <v>74.959999999999994</v>
      </c>
      <c r="T311">
        <v>72.89</v>
      </c>
      <c r="U311">
        <v>81.02</v>
      </c>
      <c r="V311">
        <v>62.39</v>
      </c>
      <c r="W311">
        <v>71.709999999999994</v>
      </c>
      <c r="X311">
        <v>0.22</v>
      </c>
      <c r="Y311">
        <v>98.47</v>
      </c>
      <c r="Z311">
        <v>3052.17</v>
      </c>
      <c r="AA311">
        <v>170669</v>
      </c>
    </row>
    <row r="312" spans="1:27" x14ac:dyDescent="0.35">
      <c r="A312" t="s">
        <v>331</v>
      </c>
      <c r="B312" t="s">
        <v>894</v>
      </c>
      <c r="C312" t="s">
        <v>312</v>
      </c>
      <c r="D312" t="str">
        <f t="shared" si="4"/>
        <v>53</v>
      </c>
      <c r="E312" t="s">
        <v>590</v>
      </c>
      <c r="F312">
        <v>8.2899999999999991</v>
      </c>
      <c r="G312">
        <v>7.85</v>
      </c>
      <c r="H312">
        <v>8.11</v>
      </c>
      <c r="I312">
        <v>12.67</v>
      </c>
      <c r="J312">
        <v>12.86</v>
      </c>
      <c r="K312">
        <v>12.67</v>
      </c>
      <c r="L312">
        <v>70.510000000000005</v>
      </c>
      <c r="M312">
        <v>64.819999999999993</v>
      </c>
      <c r="N312">
        <v>66.63</v>
      </c>
      <c r="O312">
        <v>0.85</v>
      </c>
      <c r="P312">
        <v>1.69</v>
      </c>
      <c r="Q312">
        <v>1.24</v>
      </c>
      <c r="R312">
        <v>71.13</v>
      </c>
      <c r="S312">
        <v>75.36</v>
      </c>
      <c r="T312">
        <v>73.19</v>
      </c>
      <c r="U312">
        <v>87.85</v>
      </c>
      <c r="V312">
        <v>78.83</v>
      </c>
      <c r="W312">
        <v>83.34</v>
      </c>
      <c r="X312">
        <v>0.6</v>
      </c>
      <c r="Y312">
        <v>91.93</v>
      </c>
      <c r="Z312">
        <v>4591.58</v>
      </c>
      <c r="AA312">
        <v>301525</v>
      </c>
    </row>
    <row r="313" spans="1:27" x14ac:dyDescent="0.35">
      <c r="A313" t="s">
        <v>332</v>
      </c>
      <c r="B313" t="s">
        <v>895</v>
      </c>
      <c r="C313" t="s">
        <v>312</v>
      </c>
      <c r="D313" t="str">
        <f t="shared" si="4"/>
        <v>53</v>
      </c>
      <c r="E313" t="s">
        <v>590</v>
      </c>
      <c r="F313">
        <v>7.1</v>
      </c>
      <c r="G313">
        <v>7.26</v>
      </c>
      <c r="H313">
        <v>7.1</v>
      </c>
      <c r="I313">
        <v>13.2</v>
      </c>
      <c r="J313">
        <v>13.41</v>
      </c>
      <c r="K313">
        <v>13.2</v>
      </c>
      <c r="L313">
        <v>66</v>
      </c>
      <c r="M313">
        <v>61.52</v>
      </c>
      <c r="N313">
        <v>62.74</v>
      </c>
      <c r="O313">
        <v>2.67</v>
      </c>
      <c r="P313">
        <v>3.65</v>
      </c>
      <c r="Q313">
        <v>3.12</v>
      </c>
      <c r="R313">
        <v>64.959999999999994</v>
      </c>
      <c r="S313">
        <v>68.900000000000006</v>
      </c>
      <c r="T313">
        <v>66.88</v>
      </c>
      <c r="U313">
        <v>79.73</v>
      </c>
      <c r="V313">
        <v>70.37</v>
      </c>
      <c r="W313">
        <v>75.05</v>
      </c>
      <c r="X313">
        <v>0.48399999999999999</v>
      </c>
      <c r="Y313">
        <v>93.21</v>
      </c>
      <c r="Z313">
        <v>1921.99</v>
      </c>
      <c r="AA313">
        <v>96259</v>
      </c>
    </row>
    <row r="314" spans="1:27" x14ac:dyDescent="0.35">
      <c r="A314" t="s">
        <v>333</v>
      </c>
      <c r="B314" t="s">
        <v>896</v>
      </c>
      <c r="C314" t="s">
        <v>312</v>
      </c>
      <c r="D314" t="str">
        <f t="shared" si="4"/>
        <v>53</v>
      </c>
      <c r="E314" t="s">
        <v>590</v>
      </c>
      <c r="F314">
        <v>7.49</v>
      </c>
      <c r="G314">
        <v>7.3</v>
      </c>
      <c r="H314">
        <v>7.38</v>
      </c>
      <c r="I314">
        <v>12.46</v>
      </c>
      <c r="J314">
        <v>13.1</v>
      </c>
      <c r="K314">
        <v>12.84</v>
      </c>
      <c r="L314">
        <v>69.48</v>
      </c>
      <c r="M314">
        <v>63.71</v>
      </c>
      <c r="N314">
        <v>65.84</v>
      </c>
      <c r="O314">
        <v>2.0699999999999998</v>
      </c>
      <c r="P314">
        <v>2.06</v>
      </c>
      <c r="Q314">
        <v>2.0699999999999998</v>
      </c>
      <c r="R314">
        <v>69.78</v>
      </c>
      <c r="S314">
        <v>73.760000000000005</v>
      </c>
      <c r="T314">
        <v>71.72</v>
      </c>
      <c r="U314">
        <v>87.83</v>
      </c>
      <c r="V314">
        <v>82.07</v>
      </c>
      <c r="W314">
        <v>84.95</v>
      </c>
      <c r="X314">
        <v>0.39600000000000002</v>
      </c>
      <c r="Y314">
        <v>91.7</v>
      </c>
      <c r="Z314">
        <v>4049.81</v>
      </c>
      <c r="AA314">
        <v>196008</v>
      </c>
    </row>
    <row r="315" spans="1:27" x14ac:dyDescent="0.35">
      <c r="A315" t="s">
        <v>334</v>
      </c>
      <c r="B315" t="s">
        <v>897</v>
      </c>
      <c r="C315" t="s">
        <v>312</v>
      </c>
      <c r="D315" t="str">
        <f t="shared" si="4"/>
        <v>53</v>
      </c>
      <c r="E315" t="s">
        <v>590</v>
      </c>
      <c r="F315">
        <v>12.06</v>
      </c>
      <c r="G315">
        <v>11.57</v>
      </c>
      <c r="H315">
        <v>11.66</v>
      </c>
      <c r="I315">
        <v>16.45</v>
      </c>
      <c r="J315">
        <v>17.11</v>
      </c>
      <c r="K315">
        <v>16.55</v>
      </c>
      <c r="L315">
        <v>85.83</v>
      </c>
      <c r="M315">
        <v>83.64</v>
      </c>
      <c r="N315">
        <v>83.65</v>
      </c>
      <c r="O315">
        <v>7.65</v>
      </c>
      <c r="P315">
        <v>10</v>
      </c>
      <c r="Q315">
        <v>8.61</v>
      </c>
      <c r="R315">
        <v>72.66</v>
      </c>
      <c r="S315">
        <v>78.239999999999995</v>
      </c>
      <c r="T315">
        <v>75.38</v>
      </c>
      <c r="U315">
        <v>80.87</v>
      </c>
      <c r="V315">
        <v>55.76</v>
      </c>
      <c r="W315">
        <v>68.319999999999993</v>
      </c>
      <c r="X315">
        <v>0.21199999999999999</v>
      </c>
      <c r="Y315">
        <v>97.45</v>
      </c>
      <c r="Z315">
        <v>33531.79</v>
      </c>
      <c r="AA315">
        <v>482734</v>
      </c>
    </row>
    <row r="316" spans="1:27" x14ac:dyDescent="0.35">
      <c r="A316" t="s">
        <v>336</v>
      </c>
      <c r="B316" t="s">
        <v>898</v>
      </c>
      <c r="C316" t="s">
        <v>335</v>
      </c>
      <c r="D316" t="str">
        <f t="shared" si="4"/>
        <v>61</v>
      </c>
      <c r="E316" t="s">
        <v>587</v>
      </c>
      <c r="F316">
        <v>7.41</v>
      </c>
      <c r="G316">
        <v>6.42</v>
      </c>
      <c r="H316">
        <v>7</v>
      </c>
      <c r="I316">
        <v>12.77</v>
      </c>
      <c r="J316">
        <v>13.39</v>
      </c>
      <c r="K316">
        <v>12.77</v>
      </c>
      <c r="L316">
        <v>76.22</v>
      </c>
      <c r="M316">
        <v>68.42</v>
      </c>
      <c r="N316">
        <v>72.08</v>
      </c>
      <c r="O316">
        <v>6.67</v>
      </c>
      <c r="P316">
        <v>2.41</v>
      </c>
      <c r="Q316">
        <v>4.91</v>
      </c>
      <c r="R316">
        <v>72.19</v>
      </c>
      <c r="S316">
        <v>77.55</v>
      </c>
      <c r="T316">
        <v>74.8</v>
      </c>
      <c r="U316">
        <v>84.35</v>
      </c>
      <c r="V316">
        <v>61.45</v>
      </c>
      <c r="W316">
        <v>72.900000000000006</v>
      </c>
      <c r="X316">
        <v>0.27500000000000002</v>
      </c>
      <c r="Y316">
        <v>89.77</v>
      </c>
      <c r="Z316">
        <v>30966.25</v>
      </c>
      <c r="AA316">
        <v>661452</v>
      </c>
    </row>
    <row r="317" spans="1:27" x14ac:dyDescent="0.35">
      <c r="A317" t="s">
        <v>337</v>
      </c>
      <c r="B317" t="s">
        <v>899</v>
      </c>
      <c r="C317" t="s">
        <v>335</v>
      </c>
      <c r="D317" t="str">
        <f t="shared" si="4"/>
        <v>61</v>
      </c>
      <c r="E317" t="s">
        <v>587</v>
      </c>
      <c r="F317">
        <v>7.96</v>
      </c>
      <c r="G317">
        <v>7.17</v>
      </c>
      <c r="H317">
        <v>7.62</v>
      </c>
      <c r="I317">
        <v>12.17</v>
      </c>
      <c r="J317">
        <v>12.55</v>
      </c>
      <c r="K317">
        <v>12.24</v>
      </c>
      <c r="L317">
        <v>74.959999999999994</v>
      </c>
      <c r="M317">
        <v>63.48</v>
      </c>
      <c r="N317">
        <v>70.989999999999995</v>
      </c>
      <c r="O317">
        <v>3.77</v>
      </c>
      <c r="P317">
        <v>1.75</v>
      </c>
      <c r="Q317">
        <v>2.95</v>
      </c>
      <c r="R317">
        <v>72.86</v>
      </c>
      <c r="S317">
        <v>77.48</v>
      </c>
      <c r="T317">
        <v>74.739999999999995</v>
      </c>
      <c r="U317">
        <v>89.05</v>
      </c>
      <c r="V317">
        <v>66.12</v>
      </c>
      <c r="W317">
        <v>77.59</v>
      </c>
      <c r="X317">
        <v>0.377</v>
      </c>
      <c r="Y317">
        <v>84.69</v>
      </c>
      <c r="Z317">
        <v>13324.48</v>
      </c>
      <c r="AA317">
        <v>307823</v>
      </c>
    </row>
    <row r="318" spans="1:27" x14ac:dyDescent="0.35">
      <c r="A318" t="s">
        <v>338</v>
      </c>
      <c r="B318" t="s">
        <v>900</v>
      </c>
      <c r="C318" t="s">
        <v>335</v>
      </c>
      <c r="D318" t="str">
        <f t="shared" si="4"/>
        <v>61</v>
      </c>
      <c r="E318" t="s">
        <v>587</v>
      </c>
      <c r="F318">
        <v>8.5399999999999991</v>
      </c>
      <c r="G318">
        <v>7.46</v>
      </c>
      <c r="H318">
        <v>7.76</v>
      </c>
      <c r="I318">
        <v>12.55</v>
      </c>
      <c r="J318">
        <v>12.98</v>
      </c>
      <c r="K318">
        <v>12.55</v>
      </c>
      <c r="L318">
        <v>74.17</v>
      </c>
      <c r="M318">
        <v>66.64</v>
      </c>
      <c r="N318">
        <v>69.92</v>
      </c>
      <c r="O318">
        <v>2.69</v>
      </c>
      <c r="P318">
        <v>2.68</v>
      </c>
      <c r="Q318">
        <v>2.69</v>
      </c>
      <c r="R318">
        <v>71.91</v>
      </c>
      <c r="S318">
        <v>77.010000000000005</v>
      </c>
      <c r="T318">
        <v>74.400000000000006</v>
      </c>
      <c r="U318">
        <v>86.21</v>
      </c>
      <c r="V318">
        <v>57.34</v>
      </c>
      <c r="W318">
        <v>71.78</v>
      </c>
      <c r="X318">
        <v>0.497</v>
      </c>
      <c r="Y318">
        <v>89.85</v>
      </c>
      <c r="Z318">
        <v>16278.61</v>
      </c>
      <c r="AA318">
        <v>424472</v>
      </c>
    </row>
    <row r="319" spans="1:27" x14ac:dyDescent="0.35">
      <c r="A319" t="s">
        <v>339</v>
      </c>
      <c r="B319" t="s">
        <v>901</v>
      </c>
      <c r="C319" t="s">
        <v>335</v>
      </c>
      <c r="D319" t="str">
        <f t="shared" si="4"/>
        <v>61</v>
      </c>
      <c r="E319" t="s">
        <v>587</v>
      </c>
      <c r="F319">
        <v>7.74</v>
      </c>
      <c r="G319">
        <v>7.17</v>
      </c>
      <c r="H319">
        <v>7.4</v>
      </c>
      <c r="I319">
        <v>12.89</v>
      </c>
      <c r="J319">
        <v>13.47</v>
      </c>
      <c r="K319">
        <v>13</v>
      </c>
      <c r="L319">
        <v>74.89</v>
      </c>
      <c r="M319">
        <v>67.3</v>
      </c>
      <c r="N319">
        <v>70.59</v>
      </c>
      <c r="O319">
        <v>4.87</v>
      </c>
      <c r="P319">
        <v>4.53</v>
      </c>
      <c r="Q319">
        <v>4.74</v>
      </c>
      <c r="R319">
        <v>72.2</v>
      </c>
      <c r="S319">
        <v>77.569999999999993</v>
      </c>
      <c r="T319">
        <v>74.819999999999993</v>
      </c>
      <c r="U319">
        <v>87.71</v>
      </c>
      <c r="V319">
        <v>54.07</v>
      </c>
      <c r="W319">
        <v>70.89</v>
      </c>
      <c r="X319">
        <v>0.49299999999999999</v>
      </c>
      <c r="Y319">
        <v>89.87</v>
      </c>
      <c r="Z319">
        <v>13837.04</v>
      </c>
      <c r="AA319">
        <v>320630</v>
      </c>
    </row>
    <row r="320" spans="1:27" x14ac:dyDescent="0.35">
      <c r="A320" t="s">
        <v>340</v>
      </c>
      <c r="B320" t="s">
        <v>902</v>
      </c>
      <c r="C320" t="s">
        <v>335</v>
      </c>
      <c r="D320" t="str">
        <f t="shared" si="4"/>
        <v>61</v>
      </c>
      <c r="E320" t="s">
        <v>587</v>
      </c>
      <c r="F320">
        <v>8.3000000000000007</v>
      </c>
      <c r="G320">
        <v>7.4</v>
      </c>
      <c r="H320">
        <v>7.81</v>
      </c>
      <c r="I320">
        <v>11.89</v>
      </c>
      <c r="J320">
        <v>12.19</v>
      </c>
      <c r="K320">
        <v>12.02</v>
      </c>
      <c r="L320">
        <v>74.91</v>
      </c>
      <c r="M320">
        <v>62.84</v>
      </c>
      <c r="N320">
        <v>70.36</v>
      </c>
      <c r="O320">
        <v>3.72</v>
      </c>
      <c r="P320">
        <v>4.1500000000000004</v>
      </c>
      <c r="Q320">
        <v>3.89</v>
      </c>
      <c r="R320">
        <v>71.89</v>
      </c>
      <c r="S320">
        <v>76.95</v>
      </c>
      <c r="T320">
        <v>74.36</v>
      </c>
      <c r="U320">
        <v>85.57</v>
      </c>
      <c r="V320">
        <v>62.67</v>
      </c>
      <c r="W320">
        <v>74.12</v>
      </c>
      <c r="X320">
        <v>0.53500000000000003</v>
      </c>
      <c r="Y320">
        <v>83.89</v>
      </c>
      <c r="Z320">
        <v>29429.42</v>
      </c>
      <c r="AA320">
        <v>516710</v>
      </c>
    </row>
    <row r="321" spans="1:27" x14ac:dyDescent="0.35">
      <c r="A321" t="s">
        <v>341</v>
      </c>
      <c r="B321" t="s">
        <v>903</v>
      </c>
      <c r="C321" t="s">
        <v>335</v>
      </c>
      <c r="D321" t="str">
        <f t="shared" si="4"/>
        <v>61</v>
      </c>
      <c r="E321" t="s">
        <v>587</v>
      </c>
      <c r="F321">
        <v>8.44</v>
      </c>
      <c r="G321">
        <v>7.66</v>
      </c>
      <c r="H321">
        <v>7.99</v>
      </c>
      <c r="I321">
        <v>12.25</v>
      </c>
      <c r="J321">
        <v>12.01</v>
      </c>
      <c r="K321">
        <v>12.09</v>
      </c>
      <c r="L321">
        <v>75.3</v>
      </c>
      <c r="M321">
        <v>67.790000000000006</v>
      </c>
      <c r="N321">
        <v>71.3</v>
      </c>
      <c r="O321">
        <v>6.55</v>
      </c>
      <c r="P321">
        <v>7.14</v>
      </c>
      <c r="Q321">
        <v>6.75</v>
      </c>
      <c r="R321">
        <v>71.61</v>
      </c>
      <c r="S321">
        <v>76.36</v>
      </c>
      <c r="T321">
        <v>73.92</v>
      </c>
      <c r="U321">
        <v>86.29</v>
      </c>
      <c r="V321">
        <v>47.68</v>
      </c>
      <c r="W321">
        <v>66.989999999999995</v>
      </c>
      <c r="X321">
        <v>0.63500000000000001</v>
      </c>
      <c r="Y321">
        <v>90.03</v>
      </c>
      <c r="Z321">
        <v>44678.1</v>
      </c>
      <c r="AA321">
        <v>607049</v>
      </c>
    </row>
    <row r="322" spans="1:27" x14ac:dyDescent="0.35">
      <c r="A322" t="s">
        <v>342</v>
      </c>
      <c r="B322" t="s">
        <v>904</v>
      </c>
      <c r="C322" t="s">
        <v>335</v>
      </c>
      <c r="D322" t="str">
        <f t="shared" si="4"/>
        <v>61</v>
      </c>
      <c r="E322" t="s">
        <v>587</v>
      </c>
      <c r="F322">
        <v>8.09</v>
      </c>
      <c r="G322">
        <v>7.52</v>
      </c>
      <c r="H322">
        <v>7.86</v>
      </c>
      <c r="I322">
        <v>12.18</v>
      </c>
      <c r="J322">
        <v>12.67</v>
      </c>
      <c r="K322">
        <v>12.33</v>
      </c>
      <c r="L322">
        <v>74.7</v>
      </c>
      <c r="M322">
        <v>66.5</v>
      </c>
      <c r="N322">
        <v>70.92</v>
      </c>
      <c r="O322">
        <v>2.15</v>
      </c>
      <c r="P322">
        <v>3.83</v>
      </c>
      <c r="Q322">
        <v>2.78</v>
      </c>
      <c r="R322">
        <v>72.12</v>
      </c>
      <c r="S322">
        <v>77.430000000000007</v>
      </c>
      <c r="T322">
        <v>74.709999999999994</v>
      </c>
      <c r="U322">
        <v>89.18</v>
      </c>
      <c r="V322">
        <v>57.8</v>
      </c>
      <c r="W322">
        <v>73.489999999999995</v>
      </c>
      <c r="X322">
        <v>0.58799999999999997</v>
      </c>
      <c r="Y322">
        <v>89.02</v>
      </c>
      <c r="Z322">
        <v>22556.66</v>
      </c>
      <c r="AA322">
        <v>449211</v>
      </c>
    </row>
    <row r="323" spans="1:27" x14ac:dyDescent="0.35">
      <c r="A323" t="s">
        <v>343</v>
      </c>
      <c r="B323" t="s">
        <v>905</v>
      </c>
      <c r="C323" t="s">
        <v>335</v>
      </c>
      <c r="D323" t="str">
        <f t="shared" ref="D323:D386" si="5">LEFT(B323,2)</f>
        <v>61</v>
      </c>
      <c r="E323" t="s">
        <v>587</v>
      </c>
      <c r="F323">
        <v>8.43</v>
      </c>
      <c r="G323">
        <v>7.77</v>
      </c>
      <c r="H323">
        <v>8.0399999999999991</v>
      </c>
      <c r="I323">
        <v>12.76</v>
      </c>
      <c r="J323">
        <v>12.24</v>
      </c>
      <c r="K323">
        <v>12.24</v>
      </c>
      <c r="L323">
        <v>74.02</v>
      </c>
      <c r="M323">
        <v>64.569999999999993</v>
      </c>
      <c r="N323">
        <v>69.239999999999995</v>
      </c>
      <c r="O323">
        <v>2</v>
      </c>
      <c r="P323">
        <v>2.2200000000000002</v>
      </c>
      <c r="Q323">
        <v>2.09</v>
      </c>
      <c r="R323">
        <v>71.45</v>
      </c>
      <c r="S323">
        <v>76.040000000000006</v>
      </c>
      <c r="T323">
        <v>73.69</v>
      </c>
      <c r="U323">
        <v>87.32</v>
      </c>
      <c r="V323">
        <v>60.38</v>
      </c>
      <c r="W323">
        <v>73.849999999999994</v>
      </c>
      <c r="X323">
        <v>0.54</v>
      </c>
      <c r="Y323">
        <v>87.23</v>
      </c>
      <c r="Z323">
        <v>15561.58</v>
      </c>
      <c r="AA323">
        <v>269049</v>
      </c>
    </row>
    <row r="324" spans="1:27" x14ac:dyDescent="0.35">
      <c r="A324" t="s">
        <v>344</v>
      </c>
      <c r="B324" t="s">
        <v>906</v>
      </c>
      <c r="C324" t="s">
        <v>335</v>
      </c>
      <c r="D324" t="str">
        <f t="shared" si="5"/>
        <v>61</v>
      </c>
      <c r="E324" t="s">
        <v>587</v>
      </c>
      <c r="F324">
        <v>8.11</v>
      </c>
      <c r="G324">
        <v>6.91</v>
      </c>
      <c r="H324">
        <v>7.53</v>
      </c>
      <c r="I324">
        <v>11.92</v>
      </c>
      <c r="J324">
        <v>12.47</v>
      </c>
      <c r="K324">
        <v>12.02</v>
      </c>
      <c r="L324">
        <v>73.540000000000006</v>
      </c>
      <c r="M324">
        <v>62.36</v>
      </c>
      <c r="N324">
        <v>68.73</v>
      </c>
      <c r="O324">
        <v>2.2799999999999998</v>
      </c>
      <c r="P324">
        <v>2.94</v>
      </c>
      <c r="Q324">
        <v>2.54</v>
      </c>
      <c r="R324">
        <v>71.849999999999994</v>
      </c>
      <c r="S324">
        <v>76.87</v>
      </c>
      <c r="T324">
        <v>74.3</v>
      </c>
      <c r="U324">
        <v>90.9</v>
      </c>
      <c r="V324">
        <v>63.76</v>
      </c>
      <c r="W324">
        <v>77.33</v>
      </c>
      <c r="X324">
        <v>0.85599999999999998</v>
      </c>
      <c r="Y324">
        <v>84.8</v>
      </c>
      <c r="Z324">
        <v>10281.26</v>
      </c>
      <c r="AA324">
        <v>225219</v>
      </c>
    </row>
    <row r="325" spans="1:27" x14ac:dyDescent="0.35">
      <c r="A325" t="s">
        <v>345</v>
      </c>
      <c r="B325" t="s">
        <v>907</v>
      </c>
      <c r="C325" t="s">
        <v>335</v>
      </c>
      <c r="D325" t="str">
        <f t="shared" si="5"/>
        <v>61</v>
      </c>
      <c r="E325" t="s">
        <v>587</v>
      </c>
      <c r="F325">
        <v>8.49</v>
      </c>
      <c r="G325">
        <v>7.51</v>
      </c>
      <c r="H325">
        <v>8.0500000000000007</v>
      </c>
      <c r="I325">
        <v>11.28</v>
      </c>
      <c r="J325">
        <v>11.73</v>
      </c>
      <c r="K325">
        <v>11.55</v>
      </c>
      <c r="L325">
        <v>74.84</v>
      </c>
      <c r="M325">
        <v>61.69</v>
      </c>
      <c r="N325">
        <v>69.8</v>
      </c>
      <c r="O325">
        <v>2.41</v>
      </c>
      <c r="P325">
        <v>3.74</v>
      </c>
      <c r="Q325">
        <v>2.94</v>
      </c>
      <c r="R325">
        <v>71.63</v>
      </c>
      <c r="S325">
        <v>76.41</v>
      </c>
      <c r="T325">
        <v>73.959999999999994</v>
      </c>
      <c r="U325">
        <v>87.52</v>
      </c>
      <c r="V325">
        <v>60.81</v>
      </c>
      <c r="W325">
        <v>74.17</v>
      </c>
      <c r="X325">
        <v>0.55800000000000005</v>
      </c>
      <c r="Y325">
        <v>82.43</v>
      </c>
      <c r="Z325">
        <v>7817.04</v>
      </c>
      <c r="AA325">
        <v>246920</v>
      </c>
    </row>
    <row r="326" spans="1:27" x14ac:dyDescent="0.35">
      <c r="A326" t="s">
        <v>346</v>
      </c>
      <c r="B326" t="s">
        <v>908</v>
      </c>
      <c r="C326" t="s">
        <v>335</v>
      </c>
      <c r="D326" t="str">
        <f t="shared" si="5"/>
        <v>61</v>
      </c>
      <c r="E326" t="s">
        <v>587</v>
      </c>
      <c r="F326">
        <v>7.06</v>
      </c>
      <c r="G326">
        <v>6.02</v>
      </c>
      <c r="H326">
        <v>6.55</v>
      </c>
      <c r="I326">
        <v>12.35</v>
      </c>
      <c r="J326">
        <v>12.2</v>
      </c>
      <c r="K326">
        <v>12.21</v>
      </c>
      <c r="L326">
        <v>72.05</v>
      </c>
      <c r="M326">
        <v>62.78</v>
      </c>
      <c r="N326">
        <v>67.599999999999994</v>
      </c>
      <c r="O326">
        <v>4.0999999999999996</v>
      </c>
      <c r="P326">
        <v>3.15</v>
      </c>
      <c r="Q326">
        <v>3.77</v>
      </c>
      <c r="R326">
        <v>71.02</v>
      </c>
      <c r="S326">
        <v>75.12</v>
      </c>
      <c r="T326">
        <v>73.02</v>
      </c>
      <c r="U326">
        <v>86.23</v>
      </c>
      <c r="V326">
        <v>48.28</v>
      </c>
      <c r="W326">
        <v>67.260000000000005</v>
      </c>
      <c r="X326">
        <v>0.63400000000000001</v>
      </c>
      <c r="Y326">
        <v>87.13</v>
      </c>
      <c r="Z326">
        <v>6382.19</v>
      </c>
      <c r="AA326">
        <v>137290</v>
      </c>
    </row>
    <row r="327" spans="1:27" x14ac:dyDescent="0.35">
      <c r="A327" t="s">
        <v>347</v>
      </c>
      <c r="B327" t="s">
        <v>909</v>
      </c>
      <c r="C327" t="s">
        <v>335</v>
      </c>
      <c r="D327" t="str">
        <f t="shared" si="5"/>
        <v>61</v>
      </c>
      <c r="E327" t="s">
        <v>587</v>
      </c>
      <c r="F327">
        <v>7.8</v>
      </c>
      <c r="G327">
        <v>7.18</v>
      </c>
      <c r="H327">
        <v>7.35</v>
      </c>
      <c r="I327">
        <v>13.88</v>
      </c>
      <c r="J327">
        <v>14.33</v>
      </c>
      <c r="K327">
        <v>13.91</v>
      </c>
      <c r="L327">
        <v>76.81</v>
      </c>
      <c r="M327">
        <v>66.709999999999994</v>
      </c>
      <c r="N327">
        <v>72.010000000000005</v>
      </c>
      <c r="O327">
        <v>6.99</v>
      </c>
      <c r="P327">
        <v>6.64</v>
      </c>
      <c r="Q327">
        <v>6.86</v>
      </c>
      <c r="R327">
        <v>71.430000000000007</v>
      </c>
      <c r="S327">
        <v>76</v>
      </c>
      <c r="T327">
        <v>73.66</v>
      </c>
      <c r="U327">
        <v>86.02</v>
      </c>
      <c r="V327">
        <v>51.51</v>
      </c>
      <c r="W327">
        <v>68.77</v>
      </c>
      <c r="X327">
        <v>0.52</v>
      </c>
      <c r="Y327">
        <v>86.85</v>
      </c>
      <c r="Z327">
        <v>44902.98</v>
      </c>
      <c r="AA327">
        <v>660374</v>
      </c>
    </row>
    <row r="328" spans="1:27" x14ac:dyDescent="0.35">
      <c r="A328" t="s">
        <v>348</v>
      </c>
      <c r="B328" t="s">
        <v>910</v>
      </c>
      <c r="C328" t="s">
        <v>335</v>
      </c>
      <c r="D328" t="str">
        <f t="shared" si="5"/>
        <v>61</v>
      </c>
      <c r="E328" t="s">
        <v>587</v>
      </c>
      <c r="F328">
        <v>10.74</v>
      </c>
      <c r="G328">
        <v>10.18</v>
      </c>
      <c r="H328">
        <v>10.48</v>
      </c>
      <c r="I328">
        <v>15.33</v>
      </c>
      <c r="J328">
        <v>15.06</v>
      </c>
      <c r="K328">
        <v>15.07</v>
      </c>
      <c r="L328">
        <v>86.08</v>
      </c>
      <c r="M328">
        <v>82.17</v>
      </c>
      <c r="N328">
        <v>82.8</v>
      </c>
      <c r="O328">
        <v>7.93</v>
      </c>
      <c r="P328">
        <v>7.89</v>
      </c>
      <c r="Q328">
        <v>7.91</v>
      </c>
      <c r="R328">
        <v>73.13</v>
      </c>
      <c r="S328">
        <v>78.92</v>
      </c>
      <c r="T328">
        <v>75.959999999999994</v>
      </c>
      <c r="U328">
        <v>76.25</v>
      </c>
      <c r="V328">
        <v>47.5</v>
      </c>
      <c r="W328">
        <v>61.88</v>
      </c>
      <c r="X328">
        <v>0.371</v>
      </c>
      <c r="Y328">
        <v>95.46</v>
      </c>
      <c r="Z328">
        <v>55426.78</v>
      </c>
      <c r="AA328">
        <v>686019</v>
      </c>
    </row>
    <row r="329" spans="1:27" x14ac:dyDescent="0.35">
      <c r="A329" t="s">
        <v>349</v>
      </c>
      <c r="B329" t="s">
        <v>911</v>
      </c>
      <c r="C329" t="s">
        <v>335</v>
      </c>
      <c r="D329" t="str">
        <f t="shared" si="5"/>
        <v>61</v>
      </c>
      <c r="E329" t="s">
        <v>587</v>
      </c>
      <c r="F329">
        <v>8.68</v>
      </c>
      <c r="G329">
        <v>8.43</v>
      </c>
      <c r="H329">
        <v>8.58</v>
      </c>
      <c r="I329">
        <v>12.92</v>
      </c>
      <c r="J329">
        <v>13.35</v>
      </c>
      <c r="K329">
        <v>12.96</v>
      </c>
      <c r="L329">
        <v>78.88</v>
      </c>
      <c r="M329">
        <v>74.2</v>
      </c>
      <c r="N329">
        <v>75.67</v>
      </c>
      <c r="O329">
        <v>8.18</v>
      </c>
      <c r="P329">
        <v>6.13</v>
      </c>
      <c r="Q329">
        <v>7.42</v>
      </c>
      <c r="R329">
        <v>72.53</v>
      </c>
      <c r="S329">
        <v>78.06</v>
      </c>
      <c r="T329">
        <v>75.23</v>
      </c>
      <c r="U329">
        <v>81.17</v>
      </c>
      <c r="V329">
        <v>49.96</v>
      </c>
      <c r="W329">
        <v>65.569999999999993</v>
      </c>
      <c r="X329">
        <v>0.35499999999999998</v>
      </c>
      <c r="Y329">
        <v>94.07</v>
      </c>
      <c r="Z329">
        <v>15177.83</v>
      </c>
      <c r="AA329">
        <v>253812</v>
      </c>
    </row>
    <row r="330" spans="1:27" x14ac:dyDescent="0.35">
      <c r="A330" t="s">
        <v>351</v>
      </c>
      <c r="B330" t="s">
        <v>912</v>
      </c>
      <c r="C330" t="s">
        <v>350</v>
      </c>
      <c r="D330" t="str">
        <f t="shared" si="5"/>
        <v>62</v>
      </c>
      <c r="E330" t="s">
        <v>587</v>
      </c>
      <c r="F330">
        <v>9</v>
      </c>
      <c r="G330">
        <v>8.7200000000000006</v>
      </c>
      <c r="H330">
        <v>8.8699999999999992</v>
      </c>
      <c r="I330">
        <v>12.91</v>
      </c>
      <c r="J330">
        <v>12.95</v>
      </c>
      <c r="K330">
        <v>12.92</v>
      </c>
      <c r="L330">
        <v>79.790000000000006</v>
      </c>
      <c r="M330">
        <v>74.38</v>
      </c>
      <c r="N330">
        <v>76.02</v>
      </c>
      <c r="O330">
        <v>3.58</v>
      </c>
      <c r="P330">
        <v>5.84</v>
      </c>
      <c r="Q330">
        <v>4.3899999999999997</v>
      </c>
      <c r="R330">
        <v>71.349999999999994</v>
      </c>
      <c r="S330">
        <v>75.819999999999993</v>
      </c>
      <c r="T330">
        <v>73.53</v>
      </c>
      <c r="U330">
        <v>86.56</v>
      </c>
      <c r="V330">
        <v>51.44</v>
      </c>
      <c r="W330">
        <v>69</v>
      </c>
      <c r="X330">
        <v>0.438</v>
      </c>
      <c r="Y330">
        <v>93.22</v>
      </c>
      <c r="Z330">
        <v>34636.559999999998</v>
      </c>
      <c r="AA330">
        <v>285737</v>
      </c>
    </row>
    <row r="331" spans="1:27" x14ac:dyDescent="0.35">
      <c r="A331" t="s">
        <v>352</v>
      </c>
      <c r="B331" t="s">
        <v>913</v>
      </c>
      <c r="C331" t="s">
        <v>350</v>
      </c>
      <c r="D331" t="str">
        <f t="shared" si="5"/>
        <v>62</v>
      </c>
      <c r="E331" t="s">
        <v>587</v>
      </c>
      <c r="F331">
        <v>8.6</v>
      </c>
      <c r="G331">
        <v>7.84</v>
      </c>
      <c r="H331">
        <v>8.25</v>
      </c>
      <c r="I331">
        <v>12.95</v>
      </c>
      <c r="J331">
        <v>12.9</v>
      </c>
      <c r="K331">
        <v>12.9</v>
      </c>
      <c r="L331">
        <v>79.42</v>
      </c>
      <c r="M331">
        <v>71.11</v>
      </c>
      <c r="N331">
        <v>74.959999999999994</v>
      </c>
      <c r="O331">
        <v>4.2300000000000004</v>
      </c>
      <c r="P331">
        <v>5.33</v>
      </c>
      <c r="Q331">
        <v>4.5599999999999996</v>
      </c>
      <c r="R331">
        <v>72.05</v>
      </c>
      <c r="S331">
        <v>77.290000000000006</v>
      </c>
      <c r="T331">
        <v>74.61</v>
      </c>
      <c r="U331">
        <v>86.65</v>
      </c>
      <c r="V331">
        <v>39.840000000000003</v>
      </c>
      <c r="W331">
        <v>63.25</v>
      </c>
      <c r="X331">
        <v>0.58199999999999996</v>
      </c>
      <c r="Y331">
        <v>89.54</v>
      </c>
      <c r="Z331">
        <v>42104.86</v>
      </c>
      <c r="AA331">
        <v>452867</v>
      </c>
    </row>
    <row r="332" spans="1:27" x14ac:dyDescent="0.35">
      <c r="A332" t="s">
        <v>353</v>
      </c>
      <c r="B332" t="s">
        <v>914</v>
      </c>
      <c r="C332" t="s">
        <v>350</v>
      </c>
      <c r="D332" t="str">
        <f t="shared" si="5"/>
        <v>62</v>
      </c>
      <c r="E332" t="s">
        <v>587</v>
      </c>
      <c r="F332">
        <v>8.36</v>
      </c>
      <c r="G332">
        <v>7.89</v>
      </c>
      <c r="H332">
        <v>8.0399999999999991</v>
      </c>
      <c r="I332">
        <v>12.96</v>
      </c>
      <c r="J332">
        <v>13.29</v>
      </c>
      <c r="K332">
        <v>13.02</v>
      </c>
      <c r="L332">
        <v>75.84</v>
      </c>
      <c r="M332">
        <v>72.680000000000007</v>
      </c>
      <c r="N332">
        <v>73.47</v>
      </c>
      <c r="O332">
        <v>3.9</v>
      </c>
      <c r="P332">
        <v>2.84</v>
      </c>
      <c r="Q332">
        <v>3.51</v>
      </c>
      <c r="R332">
        <v>71.02</v>
      </c>
      <c r="S332">
        <v>75.12</v>
      </c>
      <c r="T332">
        <v>73.02</v>
      </c>
      <c r="U332">
        <v>83.09</v>
      </c>
      <c r="V332">
        <v>51.82</v>
      </c>
      <c r="W332">
        <v>67.459999999999994</v>
      </c>
      <c r="X332">
        <v>0.55300000000000005</v>
      </c>
      <c r="Y332">
        <v>95.83</v>
      </c>
      <c r="Z332">
        <v>27038.83</v>
      </c>
      <c r="AA332">
        <v>435066</v>
      </c>
    </row>
    <row r="333" spans="1:27" x14ac:dyDescent="0.35">
      <c r="A333" t="s">
        <v>354</v>
      </c>
      <c r="B333" t="s">
        <v>915</v>
      </c>
      <c r="C333" t="s">
        <v>350</v>
      </c>
      <c r="D333" t="str">
        <f t="shared" si="5"/>
        <v>62</v>
      </c>
      <c r="E333" t="s">
        <v>587</v>
      </c>
      <c r="F333">
        <v>9.7799999999999994</v>
      </c>
      <c r="G333">
        <v>9.1</v>
      </c>
      <c r="H333">
        <v>9.35</v>
      </c>
      <c r="I333">
        <v>13</v>
      </c>
      <c r="J333">
        <v>13.15</v>
      </c>
      <c r="K333">
        <v>13.01</v>
      </c>
      <c r="L333">
        <v>79.12</v>
      </c>
      <c r="M333">
        <v>73.41</v>
      </c>
      <c r="N333">
        <v>75.209999999999994</v>
      </c>
      <c r="O333">
        <v>4.3499999999999996</v>
      </c>
      <c r="P333">
        <v>4.22</v>
      </c>
      <c r="Q333">
        <v>4.3</v>
      </c>
      <c r="R333">
        <v>71.010000000000005</v>
      </c>
      <c r="S333">
        <v>75.099999999999994</v>
      </c>
      <c r="T333">
        <v>73</v>
      </c>
      <c r="U333">
        <v>82.03</v>
      </c>
      <c r="V333">
        <v>48.32</v>
      </c>
      <c r="W333">
        <v>65.180000000000007</v>
      </c>
      <c r="X333">
        <v>0.47599999999999998</v>
      </c>
      <c r="Y333">
        <v>92.78</v>
      </c>
      <c r="Z333">
        <v>9378.75</v>
      </c>
      <c r="AA333">
        <v>137055</v>
      </c>
    </row>
    <row r="334" spans="1:27" x14ac:dyDescent="0.35">
      <c r="A334" t="s">
        <v>355</v>
      </c>
      <c r="B334" t="s">
        <v>916</v>
      </c>
      <c r="C334" t="s">
        <v>350</v>
      </c>
      <c r="D334" t="str">
        <f t="shared" si="5"/>
        <v>62</v>
      </c>
      <c r="E334" t="s">
        <v>587</v>
      </c>
      <c r="F334">
        <v>9.15</v>
      </c>
      <c r="G334">
        <v>8.6300000000000008</v>
      </c>
      <c r="H334">
        <v>8.93</v>
      </c>
      <c r="I334">
        <v>13.21</v>
      </c>
      <c r="J334">
        <v>12.46</v>
      </c>
      <c r="K334">
        <v>12.56</v>
      </c>
      <c r="L334">
        <v>78.209999999999994</v>
      </c>
      <c r="M334">
        <v>69.25</v>
      </c>
      <c r="N334">
        <v>73.58</v>
      </c>
      <c r="O334">
        <v>3.06</v>
      </c>
      <c r="P334">
        <v>6.87</v>
      </c>
      <c r="Q334">
        <v>4.54</v>
      </c>
      <c r="R334">
        <v>71.489999999999995</v>
      </c>
      <c r="S334">
        <v>76.12</v>
      </c>
      <c r="T334">
        <v>73.75</v>
      </c>
      <c r="U334">
        <v>86.41</v>
      </c>
      <c r="V334">
        <v>59.61</v>
      </c>
      <c r="W334">
        <v>73.010000000000005</v>
      </c>
      <c r="X334">
        <v>0.50900000000000001</v>
      </c>
      <c r="Y334">
        <v>88.54</v>
      </c>
      <c r="Z334">
        <v>14586.66</v>
      </c>
      <c r="AA334">
        <v>164621</v>
      </c>
    </row>
    <row r="335" spans="1:27" x14ac:dyDescent="0.35">
      <c r="A335" t="s">
        <v>356</v>
      </c>
      <c r="B335" t="s">
        <v>917</v>
      </c>
      <c r="C335" t="s">
        <v>350</v>
      </c>
      <c r="D335" t="str">
        <f t="shared" si="5"/>
        <v>62</v>
      </c>
      <c r="E335" t="s">
        <v>587</v>
      </c>
      <c r="F335">
        <v>8.6199999999999992</v>
      </c>
      <c r="G335">
        <v>7.97</v>
      </c>
      <c r="H335">
        <v>8.23</v>
      </c>
      <c r="I335">
        <v>12.47</v>
      </c>
      <c r="J335">
        <v>12.18</v>
      </c>
      <c r="K335">
        <v>12.18</v>
      </c>
      <c r="L335">
        <v>75.16</v>
      </c>
      <c r="M335">
        <v>69.86</v>
      </c>
      <c r="N335">
        <v>71.45</v>
      </c>
      <c r="O335">
        <v>2.2400000000000002</v>
      </c>
      <c r="P335">
        <v>8.48</v>
      </c>
      <c r="Q335">
        <v>4.47</v>
      </c>
      <c r="R335">
        <v>72.14</v>
      </c>
      <c r="S335">
        <v>77.48</v>
      </c>
      <c r="T335">
        <v>74.75</v>
      </c>
      <c r="U335">
        <v>85.85</v>
      </c>
      <c r="V335">
        <v>52.84</v>
      </c>
      <c r="W335">
        <v>69.349999999999994</v>
      </c>
      <c r="X335">
        <v>0.44700000000000001</v>
      </c>
      <c r="Y335">
        <v>92.95</v>
      </c>
      <c r="Z335">
        <v>7066.1</v>
      </c>
      <c r="AA335">
        <v>68978</v>
      </c>
    </row>
    <row r="336" spans="1:27" x14ac:dyDescent="0.35">
      <c r="A336" t="s">
        <v>357</v>
      </c>
      <c r="B336" t="s">
        <v>918</v>
      </c>
      <c r="C336" t="s">
        <v>350</v>
      </c>
      <c r="D336" t="str">
        <f t="shared" si="5"/>
        <v>62</v>
      </c>
      <c r="E336" t="s">
        <v>587</v>
      </c>
      <c r="F336">
        <v>9.0399999999999991</v>
      </c>
      <c r="G336">
        <v>8.5399999999999991</v>
      </c>
      <c r="H336">
        <v>8.83</v>
      </c>
      <c r="I336">
        <v>12.33</v>
      </c>
      <c r="J336">
        <v>12.7</v>
      </c>
      <c r="K336">
        <v>12.65</v>
      </c>
      <c r="L336">
        <v>77.66</v>
      </c>
      <c r="M336">
        <v>72.180000000000007</v>
      </c>
      <c r="N336">
        <v>74.459999999999994</v>
      </c>
      <c r="O336">
        <v>2.34</v>
      </c>
      <c r="P336">
        <v>4.5199999999999996</v>
      </c>
      <c r="Q336">
        <v>3.07</v>
      </c>
      <c r="R336">
        <v>71.66</v>
      </c>
      <c r="S336">
        <v>76.47</v>
      </c>
      <c r="T336">
        <v>74.010000000000005</v>
      </c>
      <c r="U336">
        <v>88.94</v>
      </c>
      <c r="V336">
        <v>52.75</v>
      </c>
      <c r="W336">
        <v>70.849999999999994</v>
      </c>
      <c r="X336">
        <v>0.53700000000000003</v>
      </c>
      <c r="Y336">
        <v>92.94</v>
      </c>
      <c r="Z336">
        <v>8852.3799999999992</v>
      </c>
      <c r="AA336">
        <v>105206</v>
      </c>
    </row>
    <row r="337" spans="1:27" x14ac:dyDescent="0.35">
      <c r="A337" t="s">
        <v>358</v>
      </c>
      <c r="B337" t="s">
        <v>919</v>
      </c>
      <c r="C337" t="s">
        <v>350</v>
      </c>
      <c r="D337" t="str">
        <f t="shared" si="5"/>
        <v>62</v>
      </c>
      <c r="E337" t="s">
        <v>587</v>
      </c>
      <c r="F337">
        <v>8.4499999999999993</v>
      </c>
      <c r="G337">
        <v>7.76</v>
      </c>
      <c r="H337">
        <v>8.08</v>
      </c>
      <c r="I337">
        <v>12.13</v>
      </c>
      <c r="J337">
        <v>12.43</v>
      </c>
      <c r="K337">
        <v>12.24</v>
      </c>
      <c r="L337">
        <v>75.63</v>
      </c>
      <c r="M337">
        <v>68.040000000000006</v>
      </c>
      <c r="N337">
        <v>71.239999999999995</v>
      </c>
      <c r="O337">
        <v>3.46</v>
      </c>
      <c r="P337">
        <v>3.39</v>
      </c>
      <c r="Q337">
        <v>3.44</v>
      </c>
      <c r="R337">
        <v>71.39</v>
      </c>
      <c r="S337">
        <v>75.900000000000006</v>
      </c>
      <c r="T337">
        <v>73.59</v>
      </c>
      <c r="U337">
        <v>87.12</v>
      </c>
      <c r="V337">
        <v>48.75</v>
      </c>
      <c r="W337">
        <v>67.94</v>
      </c>
      <c r="X337">
        <v>0.60899999999999999</v>
      </c>
      <c r="Y337">
        <v>89.96</v>
      </c>
      <c r="Z337">
        <v>13684.53</v>
      </c>
      <c r="AA337">
        <v>177322</v>
      </c>
    </row>
    <row r="338" spans="1:27" x14ac:dyDescent="0.35">
      <c r="A338" t="s">
        <v>359</v>
      </c>
      <c r="B338" t="s">
        <v>920</v>
      </c>
      <c r="C338" t="s">
        <v>350</v>
      </c>
      <c r="D338" t="str">
        <f t="shared" si="5"/>
        <v>62</v>
      </c>
      <c r="E338" t="s">
        <v>587</v>
      </c>
      <c r="F338">
        <v>9.0399999999999991</v>
      </c>
      <c r="G338">
        <v>8.9</v>
      </c>
      <c r="H338">
        <v>8.9600000000000009</v>
      </c>
      <c r="I338">
        <v>12.8</v>
      </c>
      <c r="J338">
        <v>13.31</v>
      </c>
      <c r="K338">
        <v>13.09</v>
      </c>
      <c r="L338">
        <v>78.540000000000006</v>
      </c>
      <c r="M338">
        <v>68.83</v>
      </c>
      <c r="N338">
        <v>74.680000000000007</v>
      </c>
      <c r="O338">
        <v>4.9400000000000004</v>
      </c>
      <c r="P338">
        <v>3.91</v>
      </c>
      <c r="Q338">
        <v>4.59</v>
      </c>
      <c r="R338">
        <v>71.91</v>
      </c>
      <c r="S338">
        <v>76.989999999999995</v>
      </c>
      <c r="T338">
        <v>74.39</v>
      </c>
      <c r="U338">
        <v>86.93</v>
      </c>
      <c r="V338">
        <v>47.87</v>
      </c>
      <c r="W338">
        <v>67.400000000000006</v>
      </c>
      <c r="X338">
        <v>0.61199999999999999</v>
      </c>
      <c r="Y338">
        <v>87.64</v>
      </c>
      <c r="Z338">
        <v>12745.77</v>
      </c>
      <c r="AA338">
        <v>174341</v>
      </c>
    </row>
    <row r="339" spans="1:27" x14ac:dyDescent="0.35">
      <c r="A339" t="s">
        <v>360</v>
      </c>
      <c r="B339" t="s">
        <v>921</v>
      </c>
      <c r="C339" t="s">
        <v>350</v>
      </c>
      <c r="D339" t="str">
        <f t="shared" si="5"/>
        <v>62</v>
      </c>
      <c r="E339" t="s">
        <v>587</v>
      </c>
      <c r="F339">
        <v>8.74</v>
      </c>
      <c r="G339">
        <v>8.2899999999999991</v>
      </c>
      <c r="H339">
        <v>8.4700000000000006</v>
      </c>
      <c r="I339">
        <v>12.59</v>
      </c>
      <c r="J339">
        <v>12.98</v>
      </c>
      <c r="K339">
        <v>12.61</v>
      </c>
      <c r="L339">
        <v>76.58</v>
      </c>
      <c r="M339">
        <v>70.790000000000006</v>
      </c>
      <c r="N339">
        <v>72.989999999999995</v>
      </c>
      <c r="O339">
        <v>1.95</v>
      </c>
      <c r="P339">
        <v>2.69</v>
      </c>
      <c r="Q339">
        <v>2.23</v>
      </c>
      <c r="R339">
        <v>71.41</v>
      </c>
      <c r="S339">
        <v>75.94</v>
      </c>
      <c r="T339">
        <v>73.62</v>
      </c>
      <c r="U339">
        <v>88.79</v>
      </c>
      <c r="V339">
        <v>57.96</v>
      </c>
      <c r="W339">
        <v>73.38</v>
      </c>
      <c r="X339">
        <v>0.52700000000000002</v>
      </c>
      <c r="Y339">
        <v>92.44</v>
      </c>
      <c r="Z339">
        <v>8257.92</v>
      </c>
      <c r="AA339">
        <v>140776</v>
      </c>
    </row>
    <row r="340" spans="1:27" x14ac:dyDescent="0.35">
      <c r="A340" t="s">
        <v>361</v>
      </c>
      <c r="B340" t="s">
        <v>922</v>
      </c>
      <c r="C340" t="s">
        <v>350</v>
      </c>
      <c r="D340" t="str">
        <f t="shared" si="5"/>
        <v>62</v>
      </c>
      <c r="E340" t="s">
        <v>587</v>
      </c>
      <c r="F340">
        <v>9.4499999999999993</v>
      </c>
      <c r="G340">
        <v>9.4</v>
      </c>
      <c r="H340">
        <v>9.4</v>
      </c>
      <c r="I340">
        <v>12</v>
      </c>
      <c r="J340">
        <v>12.88</v>
      </c>
      <c r="K340">
        <v>12.19</v>
      </c>
      <c r="L340">
        <v>77.739999999999995</v>
      </c>
      <c r="M340">
        <v>72.36</v>
      </c>
      <c r="N340">
        <v>74.459999999999994</v>
      </c>
      <c r="O340">
        <v>2.56</v>
      </c>
      <c r="P340">
        <v>4.95</v>
      </c>
      <c r="Q340">
        <v>3.31</v>
      </c>
      <c r="R340">
        <v>71.63</v>
      </c>
      <c r="S340">
        <v>76.42</v>
      </c>
      <c r="T340">
        <v>73.97</v>
      </c>
      <c r="U340">
        <v>87.81</v>
      </c>
      <c r="V340">
        <v>44.89</v>
      </c>
      <c r="W340">
        <v>66.349999999999994</v>
      </c>
      <c r="X340">
        <v>0.57499999999999996</v>
      </c>
      <c r="Y340">
        <v>93.08</v>
      </c>
      <c r="Z340">
        <v>10726.92</v>
      </c>
      <c r="AA340">
        <v>148233</v>
      </c>
    </row>
    <row r="341" spans="1:27" x14ac:dyDescent="0.35">
      <c r="A341" t="s">
        <v>362</v>
      </c>
      <c r="B341" t="s">
        <v>923</v>
      </c>
      <c r="C341" t="s">
        <v>350</v>
      </c>
      <c r="D341" t="str">
        <f t="shared" si="5"/>
        <v>62</v>
      </c>
      <c r="E341" t="s">
        <v>587</v>
      </c>
      <c r="F341">
        <v>9.99</v>
      </c>
      <c r="G341">
        <v>9.66</v>
      </c>
      <c r="H341">
        <v>9.7100000000000009</v>
      </c>
      <c r="I341">
        <v>13.19</v>
      </c>
      <c r="J341">
        <v>12.53</v>
      </c>
      <c r="K341">
        <v>12.89</v>
      </c>
      <c r="L341">
        <v>80</v>
      </c>
      <c r="M341">
        <v>72.09</v>
      </c>
      <c r="N341">
        <v>75.5</v>
      </c>
      <c r="O341">
        <v>3.98</v>
      </c>
      <c r="P341">
        <v>2.09</v>
      </c>
      <c r="Q341">
        <v>3.15</v>
      </c>
      <c r="R341">
        <v>70.52</v>
      </c>
      <c r="S341">
        <v>74.540000000000006</v>
      </c>
      <c r="T341">
        <v>72.48</v>
      </c>
      <c r="U341">
        <v>84.96</v>
      </c>
      <c r="V341">
        <v>69.2</v>
      </c>
      <c r="W341">
        <v>77.08</v>
      </c>
      <c r="X341">
        <v>0.44800000000000001</v>
      </c>
      <c r="Y341">
        <v>90.11</v>
      </c>
      <c r="Z341">
        <v>11304.92</v>
      </c>
      <c r="AA341">
        <v>120201</v>
      </c>
    </row>
    <row r="342" spans="1:27" x14ac:dyDescent="0.35">
      <c r="A342" t="s">
        <v>363</v>
      </c>
      <c r="B342" t="s">
        <v>924</v>
      </c>
      <c r="C342" t="s">
        <v>350</v>
      </c>
      <c r="D342" t="str">
        <f t="shared" si="5"/>
        <v>62</v>
      </c>
      <c r="E342" t="s">
        <v>587</v>
      </c>
      <c r="F342">
        <v>8.52</v>
      </c>
      <c r="G342">
        <v>8.0299999999999994</v>
      </c>
      <c r="H342">
        <v>8.1199999999999992</v>
      </c>
      <c r="I342">
        <v>12.17</v>
      </c>
      <c r="J342">
        <v>12.21</v>
      </c>
      <c r="K342">
        <v>12.2</v>
      </c>
      <c r="L342">
        <v>77.25</v>
      </c>
      <c r="M342">
        <v>66.069999999999993</v>
      </c>
      <c r="N342">
        <v>72.34</v>
      </c>
      <c r="O342">
        <v>1.88</v>
      </c>
      <c r="P342">
        <v>3.66</v>
      </c>
      <c r="Q342">
        <v>2.52</v>
      </c>
      <c r="R342">
        <v>71.48</v>
      </c>
      <c r="S342">
        <v>76.099999999999994</v>
      </c>
      <c r="T342">
        <v>73.73</v>
      </c>
      <c r="U342">
        <v>82.86</v>
      </c>
      <c r="V342">
        <v>50.14</v>
      </c>
      <c r="W342">
        <v>66.5</v>
      </c>
      <c r="X342">
        <v>0.57799999999999996</v>
      </c>
      <c r="Y342">
        <v>85.53</v>
      </c>
      <c r="Z342">
        <v>12378.36</v>
      </c>
      <c r="AA342">
        <v>120222</v>
      </c>
    </row>
    <row r="343" spans="1:27" x14ac:dyDescent="0.35">
      <c r="A343" t="s">
        <v>364</v>
      </c>
      <c r="B343" t="s">
        <v>925</v>
      </c>
      <c r="C343" t="s">
        <v>350</v>
      </c>
      <c r="D343" t="str">
        <f t="shared" si="5"/>
        <v>62</v>
      </c>
      <c r="E343" t="s">
        <v>587</v>
      </c>
      <c r="F343">
        <v>11.86</v>
      </c>
      <c r="G343">
        <v>11.65</v>
      </c>
      <c r="H343">
        <v>11.69</v>
      </c>
      <c r="I343">
        <v>15.14</v>
      </c>
      <c r="J343">
        <v>15.12</v>
      </c>
      <c r="K343">
        <v>15.14</v>
      </c>
      <c r="L343">
        <v>85.97</v>
      </c>
      <c r="M343">
        <v>82.8</v>
      </c>
      <c r="N343">
        <v>82.98</v>
      </c>
      <c r="O343">
        <v>5.32</v>
      </c>
      <c r="P343">
        <v>5.09</v>
      </c>
      <c r="Q343">
        <v>5.23</v>
      </c>
      <c r="R343">
        <v>72.28</v>
      </c>
      <c r="S343">
        <v>77.69</v>
      </c>
      <c r="T343">
        <v>74.92</v>
      </c>
      <c r="U343">
        <v>80.56</v>
      </c>
      <c r="V343">
        <v>51.11</v>
      </c>
      <c r="W343">
        <v>65.84</v>
      </c>
      <c r="X343">
        <v>0.46200000000000002</v>
      </c>
      <c r="Y343">
        <v>96.31</v>
      </c>
      <c r="Z343">
        <v>28273.64</v>
      </c>
      <c r="AA343">
        <v>314367</v>
      </c>
    </row>
    <row r="344" spans="1:27" x14ac:dyDescent="0.35">
      <c r="A344" t="s">
        <v>366</v>
      </c>
      <c r="B344" t="s">
        <v>926</v>
      </c>
      <c r="C344" t="s">
        <v>365</v>
      </c>
      <c r="D344" t="str">
        <f t="shared" si="5"/>
        <v>63</v>
      </c>
      <c r="E344" t="s">
        <v>587</v>
      </c>
      <c r="F344">
        <v>8.39</v>
      </c>
      <c r="G344">
        <v>7.62</v>
      </c>
      <c r="H344">
        <v>8.09</v>
      </c>
      <c r="I344">
        <v>12.81</v>
      </c>
      <c r="J344">
        <v>12.69</v>
      </c>
      <c r="K344">
        <v>12.7</v>
      </c>
      <c r="L344">
        <v>78.459999999999994</v>
      </c>
      <c r="M344">
        <v>70.03</v>
      </c>
      <c r="N344">
        <v>74.319999999999993</v>
      </c>
      <c r="O344">
        <v>3.35</v>
      </c>
      <c r="P344">
        <v>3.23</v>
      </c>
      <c r="Q344">
        <v>3.3</v>
      </c>
      <c r="R344">
        <v>72.25</v>
      </c>
      <c r="S344">
        <v>77.64</v>
      </c>
      <c r="T344">
        <v>74.88</v>
      </c>
      <c r="U344">
        <v>88.59</v>
      </c>
      <c r="V344">
        <v>54.61</v>
      </c>
      <c r="W344">
        <v>71.599999999999994</v>
      </c>
      <c r="X344">
        <v>0.41099999999999998</v>
      </c>
      <c r="Y344">
        <v>89.26</v>
      </c>
      <c r="Z344">
        <v>22772.9</v>
      </c>
      <c r="AA344">
        <v>368914</v>
      </c>
    </row>
    <row r="345" spans="1:27" x14ac:dyDescent="0.35">
      <c r="A345" t="s">
        <v>367</v>
      </c>
      <c r="B345" t="s">
        <v>927</v>
      </c>
      <c r="C345" t="s">
        <v>365</v>
      </c>
      <c r="D345" t="str">
        <f t="shared" si="5"/>
        <v>63</v>
      </c>
      <c r="E345" t="s">
        <v>587</v>
      </c>
      <c r="F345">
        <v>8.24</v>
      </c>
      <c r="G345">
        <v>7.51</v>
      </c>
      <c r="H345">
        <v>7.71</v>
      </c>
      <c r="I345">
        <v>12.23</v>
      </c>
      <c r="J345">
        <v>12.28</v>
      </c>
      <c r="K345">
        <v>12.23</v>
      </c>
      <c r="L345">
        <v>77.58</v>
      </c>
      <c r="M345">
        <v>66.77</v>
      </c>
      <c r="N345">
        <v>73.03</v>
      </c>
      <c r="O345">
        <v>5.87</v>
      </c>
      <c r="P345">
        <v>6.05</v>
      </c>
      <c r="Q345">
        <v>5.93</v>
      </c>
      <c r="R345">
        <v>71.680000000000007</v>
      </c>
      <c r="S345">
        <v>76.5</v>
      </c>
      <c r="T345">
        <v>74.03</v>
      </c>
      <c r="U345">
        <v>85.17</v>
      </c>
      <c r="V345">
        <v>44.26</v>
      </c>
      <c r="W345">
        <v>64.72</v>
      </c>
      <c r="X345">
        <v>0.55400000000000005</v>
      </c>
      <c r="Y345">
        <v>86.07</v>
      </c>
      <c r="Z345">
        <v>40064.39</v>
      </c>
      <c r="AA345">
        <v>348250</v>
      </c>
    </row>
    <row r="346" spans="1:27" x14ac:dyDescent="0.35">
      <c r="A346" t="s">
        <v>368</v>
      </c>
      <c r="B346" t="s">
        <v>928</v>
      </c>
      <c r="C346" t="s">
        <v>365</v>
      </c>
      <c r="D346" t="str">
        <f t="shared" si="5"/>
        <v>63</v>
      </c>
      <c r="E346" t="s">
        <v>587</v>
      </c>
      <c r="F346">
        <v>8.57</v>
      </c>
      <c r="G346">
        <v>7.74</v>
      </c>
      <c r="H346">
        <v>8.15</v>
      </c>
      <c r="I346">
        <v>13.03</v>
      </c>
      <c r="J346">
        <v>13.29</v>
      </c>
      <c r="K346">
        <v>13.05</v>
      </c>
      <c r="L346">
        <v>79.209999999999994</v>
      </c>
      <c r="M346">
        <v>73.599999999999994</v>
      </c>
      <c r="N346">
        <v>75.11</v>
      </c>
      <c r="O346">
        <v>2.83</v>
      </c>
      <c r="P346">
        <v>2.65</v>
      </c>
      <c r="Q346">
        <v>2.76</v>
      </c>
      <c r="R346">
        <v>71.569999999999993</v>
      </c>
      <c r="S346">
        <v>76.28</v>
      </c>
      <c r="T346">
        <v>73.87</v>
      </c>
      <c r="U346">
        <v>83.7</v>
      </c>
      <c r="V346">
        <v>55.62</v>
      </c>
      <c r="W346">
        <v>69.66</v>
      </c>
      <c r="X346">
        <v>0.48099999999999998</v>
      </c>
      <c r="Y346">
        <v>92.92</v>
      </c>
      <c r="Z346">
        <v>25600.21</v>
      </c>
      <c r="AA346">
        <v>609637</v>
      </c>
    </row>
    <row r="347" spans="1:27" x14ac:dyDescent="0.35">
      <c r="A347" t="s">
        <v>369</v>
      </c>
      <c r="B347" t="s">
        <v>929</v>
      </c>
      <c r="C347" t="s">
        <v>365</v>
      </c>
      <c r="D347" t="str">
        <f t="shared" si="5"/>
        <v>63</v>
      </c>
      <c r="E347" t="s">
        <v>587</v>
      </c>
      <c r="F347">
        <v>8.36</v>
      </c>
      <c r="G347">
        <v>7.62</v>
      </c>
      <c r="H347">
        <v>7.99</v>
      </c>
      <c r="I347">
        <v>12.68</v>
      </c>
      <c r="J347">
        <v>12.84</v>
      </c>
      <c r="K347">
        <v>12.69</v>
      </c>
      <c r="L347">
        <v>76.25</v>
      </c>
      <c r="M347">
        <v>69.05</v>
      </c>
      <c r="N347">
        <v>72.05</v>
      </c>
      <c r="O347">
        <v>3.32</v>
      </c>
      <c r="P347">
        <v>3.07</v>
      </c>
      <c r="Q347">
        <v>3.23</v>
      </c>
      <c r="R347">
        <v>70.88</v>
      </c>
      <c r="S347">
        <v>74.92</v>
      </c>
      <c r="T347">
        <v>72.849999999999994</v>
      </c>
      <c r="U347">
        <v>86.49</v>
      </c>
      <c r="V347">
        <v>57.18</v>
      </c>
      <c r="W347">
        <v>71.84</v>
      </c>
      <c r="X347">
        <v>0.46700000000000003</v>
      </c>
      <c r="Y347">
        <v>90.56</v>
      </c>
      <c r="Z347">
        <v>12199.11</v>
      </c>
      <c r="AA347">
        <v>335649</v>
      </c>
    </row>
    <row r="348" spans="1:27" x14ac:dyDescent="0.35">
      <c r="A348" t="s">
        <v>370</v>
      </c>
      <c r="B348" t="s">
        <v>930</v>
      </c>
      <c r="C348" t="s">
        <v>365</v>
      </c>
      <c r="D348" t="str">
        <f t="shared" si="5"/>
        <v>63</v>
      </c>
      <c r="E348" t="s">
        <v>587</v>
      </c>
      <c r="F348">
        <v>8.8699999999999992</v>
      </c>
      <c r="G348">
        <v>8</v>
      </c>
      <c r="H348">
        <v>8.3800000000000008</v>
      </c>
      <c r="I348">
        <v>12.46</v>
      </c>
      <c r="J348">
        <v>12.6</v>
      </c>
      <c r="K348">
        <v>12.6</v>
      </c>
      <c r="L348">
        <v>79.17</v>
      </c>
      <c r="M348">
        <v>68.430000000000007</v>
      </c>
      <c r="N348">
        <v>74.98</v>
      </c>
      <c r="O348">
        <v>4.1100000000000003</v>
      </c>
      <c r="P348">
        <v>3.06</v>
      </c>
      <c r="Q348">
        <v>3.69</v>
      </c>
      <c r="R348">
        <v>72.42</v>
      </c>
      <c r="S348">
        <v>77.89</v>
      </c>
      <c r="T348">
        <v>75.09</v>
      </c>
      <c r="U348">
        <v>84.59</v>
      </c>
      <c r="V348">
        <v>56.47</v>
      </c>
      <c r="W348">
        <v>70.53</v>
      </c>
      <c r="X348">
        <v>0.55400000000000005</v>
      </c>
      <c r="Y348">
        <v>86.43</v>
      </c>
      <c r="Z348">
        <v>15330.95</v>
      </c>
      <c r="AA348">
        <v>201201</v>
      </c>
    </row>
    <row r="349" spans="1:27" x14ac:dyDescent="0.35">
      <c r="A349" t="s">
        <v>371</v>
      </c>
      <c r="B349" t="s">
        <v>931</v>
      </c>
      <c r="C349" t="s">
        <v>365</v>
      </c>
      <c r="D349" t="str">
        <f t="shared" si="5"/>
        <v>63</v>
      </c>
      <c r="E349" t="s">
        <v>587</v>
      </c>
      <c r="F349">
        <v>8.4499999999999993</v>
      </c>
      <c r="G349">
        <v>8.1199999999999992</v>
      </c>
      <c r="H349">
        <v>8.18</v>
      </c>
      <c r="I349">
        <v>12.75</v>
      </c>
      <c r="J349">
        <v>13.2</v>
      </c>
      <c r="K349">
        <v>12.78</v>
      </c>
      <c r="L349">
        <v>78.67</v>
      </c>
      <c r="M349">
        <v>71.23</v>
      </c>
      <c r="N349">
        <v>74.81</v>
      </c>
      <c r="O349">
        <v>2.33</v>
      </c>
      <c r="P349">
        <v>2.0099999999999998</v>
      </c>
      <c r="Q349">
        <v>2.2000000000000002</v>
      </c>
      <c r="R349">
        <v>71.180000000000007</v>
      </c>
      <c r="S349">
        <v>75.459999999999994</v>
      </c>
      <c r="T349">
        <v>73.27</v>
      </c>
      <c r="U349">
        <v>82.3</v>
      </c>
      <c r="V349">
        <v>59.65</v>
      </c>
      <c r="W349">
        <v>70.98</v>
      </c>
      <c r="X349">
        <v>0.45800000000000002</v>
      </c>
      <c r="Y349">
        <v>90.54</v>
      </c>
      <c r="Z349">
        <v>10620.48</v>
      </c>
      <c r="AA349">
        <v>241528</v>
      </c>
    </row>
    <row r="350" spans="1:27" x14ac:dyDescent="0.35">
      <c r="A350" t="s">
        <v>372</v>
      </c>
      <c r="B350" t="s">
        <v>932</v>
      </c>
      <c r="C350" t="s">
        <v>365</v>
      </c>
      <c r="D350" t="str">
        <f t="shared" si="5"/>
        <v>63</v>
      </c>
      <c r="E350" t="s">
        <v>587</v>
      </c>
      <c r="F350">
        <v>8.75</v>
      </c>
      <c r="G350">
        <v>8.2100000000000009</v>
      </c>
      <c r="H350">
        <v>8.4499999999999993</v>
      </c>
      <c r="I350">
        <v>12.62</v>
      </c>
      <c r="J350">
        <v>12.55</v>
      </c>
      <c r="K350">
        <v>12.58</v>
      </c>
      <c r="L350">
        <v>75.89</v>
      </c>
      <c r="M350">
        <v>73.44</v>
      </c>
      <c r="N350">
        <v>74.260000000000005</v>
      </c>
      <c r="O350">
        <v>3.59</v>
      </c>
      <c r="P350">
        <v>2.4900000000000002</v>
      </c>
      <c r="Q350">
        <v>3.12</v>
      </c>
      <c r="R350">
        <v>71.02</v>
      </c>
      <c r="S350">
        <v>75.12</v>
      </c>
      <c r="T350">
        <v>73.02</v>
      </c>
      <c r="U350">
        <v>84.05</v>
      </c>
      <c r="V350">
        <v>62.56</v>
      </c>
      <c r="W350">
        <v>73.31</v>
      </c>
      <c r="X350">
        <v>0.23899999999999999</v>
      </c>
      <c r="Y350">
        <v>96.77</v>
      </c>
      <c r="Z350">
        <v>10194.43</v>
      </c>
      <c r="AA350">
        <v>271232</v>
      </c>
    </row>
    <row r="351" spans="1:27" x14ac:dyDescent="0.35">
      <c r="A351" t="s">
        <v>373</v>
      </c>
      <c r="B351" t="s">
        <v>933</v>
      </c>
      <c r="C351" t="s">
        <v>365</v>
      </c>
      <c r="D351" t="str">
        <f t="shared" si="5"/>
        <v>63</v>
      </c>
      <c r="E351" t="s">
        <v>587</v>
      </c>
      <c r="F351">
        <v>8.42</v>
      </c>
      <c r="G351">
        <v>7.74</v>
      </c>
      <c r="H351">
        <v>8</v>
      </c>
      <c r="I351">
        <v>13.22</v>
      </c>
      <c r="J351">
        <v>13.88</v>
      </c>
      <c r="K351">
        <v>13.47</v>
      </c>
      <c r="L351">
        <v>76.66</v>
      </c>
      <c r="M351">
        <v>71.19</v>
      </c>
      <c r="N351">
        <v>72.67</v>
      </c>
      <c r="O351">
        <v>4.4400000000000004</v>
      </c>
      <c r="P351">
        <v>2.88</v>
      </c>
      <c r="Q351">
        <v>3.79</v>
      </c>
      <c r="R351">
        <v>70.98</v>
      </c>
      <c r="S351">
        <v>75.03</v>
      </c>
      <c r="T351">
        <v>72.95</v>
      </c>
      <c r="U351">
        <v>83.22</v>
      </c>
      <c r="V351">
        <v>58.68</v>
      </c>
      <c r="W351">
        <v>70.95</v>
      </c>
      <c r="X351">
        <v>0.46</v>
      </c>
      <c r="Y351">
        <v>92.86</v>
      </c>
      <c r="Z351">
        <v>7160.07</v>
      </c>
      <c r="AA351">
        <v>239636</v>
      </c>
    </row>
    <row r="352" spans="1:27" x14ac:dyDescent="0.35">
      <c r="A352" t="s">
        <v>374</v>
      </c>
      <c r="B352" t="s">
        <v>934</v>
      </c>
      <c r="C352" t="s">
        <v>365</v>
      </c>
      <c r="D352" t="str">
        <f t="shared" si="5"/>
        <v>63</v>
      </c>
      <c r="E352" t="s">
        <v>587</v>
      </c>
      <c r="F352">
        <v>9.82</v>
      </c>
      <c r="G352">
        <v>9.0399999999999991</v>
      </c>
      <c r="H352">
        <v>9.3699999999999992</v>
      </c>
      <c r="I352">
        <v>13.15</v>
      </c>
      <c r="J352">
        <v>13.48</v>
      </c>
      <c r="K352">
        <v>13.18</v>
      </c>
      <c r="L352">
        <v>81.53</v>
      </c>
      <c r="M352">
        <v>71.67</v>
      </c>
      <c r="N352">
        <v>76.94</v>
      </c>
      <c r="O352">
        <v>4.25</v>
      </c>
      <c r="P352">
        <v>2.2999999999999998</v>
      </c>
      <c r="Q352">
        <v>3.48</v>
      </c>
      <c r="R352">
        <v>72.31</v>
      </c>
      <c r="S352">
        <v>77.73</v>
      </c>
      <c r="T352">
        <v>74.95</v>
      </c>
      <c r="U352">
        <v>85.16</v>
      </c>
      <c r="V352">
        <v>56.63</v>
      </c>
      <c r="W352">
        <v>70.900000000000006</v>
      </c>
      <c r="X352">
        <v>0.42199999999999999</v>
      </c>
      <c r="Y352">
        <v>87.91</v>
      </c>
      <c r="Z352">
        <v>34197.79</v>
      </c>
      <c r="AA352">
        <v>270295</v>
      </c>
    </row>
    <row r="353" spans="1:27" x14ac:dyDescent="0.35">
      <c r="A353" t="s">
        <v>375</v>
      </c>
      <c r="B353" t="s">
        <v>935</v>
      </c>
      <c r="C353" t="s">
        <v>365</v>
      </c>
      <c r="D353" t="str">
        <f t="shared" si="5"/>
        <v>63</v>
      </c>
      <c r="E353" t="s">
        <v>587</v>
      </c>
      <c r="F353">
        <v>8.91</v>
      </c>
      <c r="G353">
        <v>8.0299999999999994</v>
      </c>
      <c r="H353">
        <v>8.44</v>
      </c>
      <c r="I353">
        <v>12.75</v>
      </c>
      <c r="J353">
        <v>12.9</v>
      </c>
      <c r="K353">
        <v>12.8</v>
      </c>
      <c r="L353">
        <v>79.92</v>
      </c>
      <c r="M353">
        <v>69.569999999999993</v>
      </c>
      <c r="N353">
        <v>75.09</v>
      </c>
      <c r="O353">
        <v>5.55</v>
      </c>
      <c r="P353">
        <v>6.93</v>
      </c>
      <c r="Q353">
        <v>6.05</v>
      </c>
      <c r="R353">
        <v>72.099999999999994</v>
      </c>
      <c r="S353">
        <v>77.400000000000006</v>
      </c>
      <c r="T353">
        <v>74.680000000000007</v>
      </c>
      <c r="U353">
        <v>86.96</v>
      </c>
      <c r="V353">
        <v>51.96</v>
      </c>
      <c r="W353">
        <v>69.459999999999994</v>
      </c>
      <c r="X353">
        <v>0.57399999999999995</v>
      </c>
      <c r="Y353">
        <v>87.05</v>
      </c>
      <c r="Z353">
        <v>38332.07</v>
      </c>
      <c r="AA353">
        <v>347264</v>
      </c>
    </row>
    <row r="354" spans="1:27" x14ac:dyDescent="0.35">
      <c r="A354" t="s">
        <v>376</v>
      </c>
      <c r="B354" t="s">
        <v>936</v>
      </c>
      <c r="C354" t="s">
        <v>365</v>
      </c>
      <c r="D354" t="str">
        <f t="shared" si="5"/>
        <v>63</v>
      </c>
      <c r="E354" t="s">
        <v>587</v>
      </c>
      <c r="F354">
        <v>9.01</v>
      </c>
      <c r="G354">
        <v>7.85</v>
      </c>
      <c r="H354">
        <v>8.34</v>
      </c>
      <c r="I354">
        <v>13.35</v>
      </c>
      <c r="J354">
        <v>13.55</v>
      </c>
      <c r="K354">
        <v>13.35</v>
      </c>
      <c r="L354">
        <v>78.88</v>
      </c>
      <c r="M354">
        <v>74.06</v>
      </c>
      <c r="N354">
        <v>74.78</v>
      </c>
      <c r="O354">
        <v>3.34</v>
      </c>
      <c r="P354">
        <v>1.98</v>
      </c>
      <c r="Q354">
        <v>2.74</v>
      </c>
      <c r="R354">
        <v>71.75</v>
      </c>
      <c r="S354">
        <v>76.66</v>
      </c>
      <c r="T354">
        <v>74.14</v>
      </c>
      <c r="U354">
        <v>83.98</v>
      </c>
      <c r="V354">
        <v>66.099999999999994</v>
      </c>
      <c r="W354">
        <v>75.040000000000006</v>
      </c>
      <c r="X354">
        <v>0.55200000000000005</v>
      </c>
      <c r="Y354">
        <v>93.89</v>
      </c>
      <c r="Z354">
        <v>22942.05</v>
      </c>
      <c r="AA354">
        <v>140093</v>
      </c>
    </row>
    <row r="355" spans="1:27" x14ac:dyDescent="0.35">
      <c r="A355" t="s">
        <v>377</v>
      </c>
      <c r="B355" t="s">
        <v>937</v>
      </c>
      <c r="C355" t="s">
        <v>365</v>
      </c>
      <c r="D355" t="str">
        <f t="shared" si="5"/>
        <v>63</v>
      </c>
      <c r="E355" t="s">
        <v>587</v>
      </c>
      <c r="F355">
        <v>11.15</v>
      </c>
      <c r="G355">
        <v>10.08</v>
      </c>
      <c r="H355">
        <v>10.36</v>
      </c>
      <c r="I355">
        <v>13.98</v>
      </c>
      <c r="J355">
        <v>14.27</v>
      </c>
      <c r="K355">
        <v>14.02</v>
      </c>
      <c r="L355">
        <v>83.97</v>
      </c>
      <c r="M355">
        <v>80.180000000000007</v>
      </c>
      <c r="N355">
        <v>80.88</v>
      </c>
      <c r="O355">
        <v>6.92</v>
      </c>
      <c r="P355">
        <v>5.81</v>
      </c>
      <c r="Q355">
        <v>6.49</v>
      </c>
      <c r="R355">
        <v>72.66</v>
      </c>
      <c r="S355">
        <v>78.239999999999995</v>
      </c>
      <c r="T355">
        <v>75.38</v>
      </c>
      <c r="U355">
        <v>81.709999999999994</v>
      </c>
      <c r="V355">
        <v>51.64</v>
      </c>
      <c r="W355">
        <v>66.680000000000007</v>
      </c>
      <c r="X355">
        <v>0.249</v>
      </c>
      <c r="Y355">
        <v>95.49</v>
      </c>
      <c r="Z355">
        <v>49471.89</v>
      </c>
      <c r="AA355">
        <v>670836</v>
      </c>
    </row>
    <row r="356" spans="1:27" x14ac:dyDescent="0.35">
      <c r="A356" t="s">
        <v>378</v>
      </c>
      <c r="B356" t="s">
        <v>1113</v>
      </c>
      <c r="C356" t="s">
        <v>365</v>
      </c>
      <c r="D356" t="str">
        <f t="shared" si="5"/>
        <v>63</v>
      </c>
      <c r="E356" t="s">
        <v>587</v>
      </c>
      <c r="F356">
        <v>11.45</v>
      </c>
      <c r="G356">
        <v>10.87</v>
      </c>
      <c r="H356">
        <v>11.07</v>
      </c>
      <c r="I356">
        <v>15.75</v>
      </c>
      <c r="J356">
        <v>14.87</v>
      </c>
      <c r="K356">
        <v>14.87</v>
      </c>
      <c r="L356">
        <v>86.82</v>
      </c>
      <c r="M356">
        <v>81.64</v>
      </c>
      <c r="N356">
        <v>82.2</v>
      </c>
      <c r="O356">
        <v>5.58</v>
      </c>
      <c r="P356">
        <v>3.52</v>
      </c>
      <c r="Q356">
        <v>4.75</v>
      </c>
      <c r="R356">
        <v>72.709999999999994</v>
      </c>
      <c r="S356">
        <v>78.31</v>
      </c>
      <c r="T356">
        <v>75.44</v>
      </c>
      <c r="U356">
        <v>83.92</v>
      </c>
      <c r="V356">
        <v>56.17</v>
      </c>
      <c r="W356">
        <v>70.05</v>
      </c>
      <c r="X356">
        <v>0.39</v>
      </c>
      <c r="Y356">
        <v>94.03</v>
      </c>
      <c r="Z356">
        <v>15505.28</v>
      </c>
      <c r="AA356">
        <v>278795</v>
      </c>
    </row>
    <row r="357" spans="1:27" x14ac:dyDescent="0.35">
      <c r="A357" t="s">
        <v>380</v>
      </c>
      <c r="B357" t="s">
        <v>938</v>
      </c>
      <c r="C357" t="s">
        <v>379</v>
      </c>
      <c r="D357" t="str">
        <f t="shared" si="5"/>
        <v>64</v>
      </c>
      <c r="E357" t="s">
        <v>587</v>
      </c>
      <c r="F357">
        <v>9.3000000000000007</v>
      </c>
      <c r="G357">
        <v>8.77</v>
      </c>
      <c r="H357">
        <v>9.0399999999999991</v>
      </c>
      <c r="I357">
        <v>13.22</v>
      </c>
      <c r="J357">
        <v>13.63</v>
      </c>
      <c r="K357">
        <v>13.39</v>
      </c>
      <c r="L357">
        <v>80.36</v>
      </c>
      <c r="M357">
        <v>60.09</v>
      </c>
      <c r="N357">
        <v>75.849999999999994</v>
      </c>
      <c r="O357">
        <v>4.42</v>
      </c>
      <c r="P357">
        <v>5.07</v>
      </c>
      <c r="Q357">
        <v>4.62</v>
      </c>
      <c r="R357">
        <v>71.91</v>
      </c>
      <c r="S357">
        <v>77</v>
      </c>
      <c r="T357">
        <v>74.39</v>
      </c>
      <c r="U357">
        <v>85.11</v>
      </c>
      <c r="V357">
        <v>41.43</v>
      </c>
      <c r="W357">
        <v>63.27</v>
      </c>
      <c r="X357">
        <v>0.45100000000000001</v>
      </c>
      <c r="Y357">
        <v>74.78</v>
      </c>
      <c r="Z357">
        <v>56999.99</v>
      </c>
      <c r="AA357">
        <v>289748</v>
      </c>
    </row>
    <row r="358" spans="1:27" x14ac:dyDescent="0.35">
      <c r="A358" t="s">
        <v>381</v>
      </c>
      <c r="B358" t="s">
        <v>939</v>
      </c>
      <c r="C358" t="s">
        <v>379</v>
      </c>
      <c r="D358" t="str">
        <f t="shared" si="5"/>
        <v>64</v>
      </c>
      <c r="E358" t="s">
        <v>587</v>
      </c>
      <c r="F358">
        <v>9.5399999999999991</v>
      </c>
      <c r="G358">
        <v>8.6300000000000008</v>
      </c>
      <c r="H358">
        <v>9.01</v>
      </c>
      <c r="I358">
        <v>13.4</v>
      </c>
      <c r="J358">
        <v>13.4</v>
      </c>
      <c r="K358">
        <v>13.4</v>
      </c>
      <c r="L358">
        <v>79.86</v>
      </c>
      <c r="M358">
        <v>69.45</v>
      </c>
      <c r="N358">
        <v>75.38</v>
      </c>
      <c r="O358">
        <v>5.28</v>
      </c>
      <c r="P358">
        <v>5.0999999999999996</v>
      </c>
      <c r="Q358">
        <v>5.21</v>
      </c>
      <c r="R358">
        <v>71.81</v>
      </c>
      <c r="S358">
        <v>76.78</v>
      </c>
      <c r="T358">
        <v>74.23</v>
      </c>
      <c r="U358">
        <v>85.16</v>
      </c>
      <c r="V358">
        <v>56.76</v>
      </c>
      <c r="W358">
        <v>70.959999999999994</v>
      </c>
      <c r="X358">
        <v>0.40300000000000002</v>
      </c>
      <c r="Y358">
        <v>86.96</v>
      </c>
      <c r="Z358">
        <v>41406.449999999997</v>
      </c>
      <c r="AA358">
        <v>180305</v>
      </c>
    </row>
    <row r="359" spans="1:27" x14ac:dyDescent="0.35">
      <c r="A359" t="s">
        <v>382</v>
      </c>
      <c r="B359" t="s">
        <v>940</v>
      </c>
      <c r="C359" t="s">
        <v>379</v>
      </c>
      <c r="D359" t="str">
        <f t="shared" si="5"/>
        <v>64</v>
      </c>
      <c r="E359" t="s">
        <v>587</v>
      </c>
      <c r="F359">
        <v>9.6300000000000008</v>
      </c>
      <c r="G359">
        <v>8.85</v>
      </c>
      <c r="H359">
        <v>9.2799999999999994</v>
      </c>
      <c r="I359">
        <v>13.71</v>
      </c>
      <c r="J359">
        <v>14.18</v>
      </c>
      <c r="K359">
        <v>13.85</v>
      </c>
      <c r="L359">
        <v>81.75</v>
      </c>
      <c r="M359">
        <v>67.37</v>
      </c>
      <c r="N359">
        <v>77.25</v>
      </c>
      <c r="O359">
        <v>4.59</v>
      </c>
      <c r="P359">
        <v>4</v>
      </c>
      <c r="Q359">
        <v>4.4000000000000004</v>
      </c>
      <c r="R359">
        <v>72.08</v>
      </c>
      <c r="S359">
        <v>77.349999999999994</v>
      </c>
      <c r="T359">
        <v>74.650000000000006</v>
      </c>
      <c r="U359">
        <v>84.69</v>
      </c>
      <c r="V359">
        <v>44.38</v>
      </c>
      <c r="W359">
        <v>64.540000000000006</v>
      </c>
      <c r="X359">
        <v>0.34899999999999998</v>
      </c>
      <c r="Y359">
        <v>82.41</v>
      </c>
      <c r="Z359">
        <v>210653.44</v>
      </c>
      <c r="AA359">
        <v>845621</v>
      </c>
    </row>
    <row r="360" spans="1:27" x14ac:dyDescent="0.35">
      <c r="A360" t="s">
        <v>383</v>
      </c>
      <c r="B360" t="s">
        <v>941</v>
      </c>
      <c r="C360" t="s">
        <v>379</v>
      </c>
      <c r="D360" t="str">
        <f t="shared" si="5"/>
        <v>64</v>
      </c>
      <c r="E360" t="s">
        <v>587</v>
      </c>
      <c r="F360">
        <v>9.93</v>
      </c>
      <c r="G360">
        <v>9.02</v>
      </c>
      <c r="H360">
        <v>9.48</v>
      </c>
      <c r="I360">
        <v>13.06</v>
      </c>
      <c r="J360">
        <v>13.34</v>
      </c>
      <c r="K360">
        <v>13.22</v>
      </c>
      <c r="L360">
        <v>81.16</v>
      </c>
      <c r="M360">
        <v>64.47</v>
      </c>
      <c r="N360">
        <v>76.48</v>
      </c>
      <c r="O360">
        <v>5.23</v>
      </c>
      <c r="P360">
        <v>8.26</v>
      </c>
      <c r="Q360">
        <v>6.2</v>
      </c>
      <c r="R360">
        <v>72.239999999999995</v>
      </c>
      <c r="S360">
        <v>77.63</v>
      </c>
      <c r="T360">
        <v>74.87</v>
      </c>
      <c r="U360">
        <v>83.53</v>
      </c>
      <c r="V360">
        <v>46.27</v>
      </c>
      <c r="W360">
        <v>64.900000000000006</v>
      </c>
      <c r="X360">
        <v>0.47699999999999998</v>
      </c>
      <c r="Y360">
        <v>79.44</v>
      </c>
      <c r="Z360">
        <v>152913.82999999999</v>
      </c>
      <c r="AA360">
        <v>470396</v>
      </c>
    </row>
    <row r="361" spans="1:27" x14ac:dyDescent="0.35">
      <c r="A361" t="s">
        <v>384</v>
      </c>
      <c r="B361" t="s">
        <v>942</v>
      </c>
      <c r="C361" t="s">
        <v>379</v>
      </c>
      <c r="D361" t="str">
        <f t="shared" si="5"/>
        <v>64</v>
      </c>
      <c r="E361" t="s">
        <v>587</v>
      </c>
      <c r="F361">
        <v>10.06</v>
      </c>
      <c r="G361">
        <v>9.32</v>
      </c>
      <c r="H361">
        <v>9.58</v>
      </c>
      <c r="I361">
        <v>13.29</v>
      </c>
      <c r="J361">
        <v>14.27</v>
      </c>
      <c r="K361">
        <v>13.44</v>
      </c>
      <c r="L361">
        <v>82.13</v>
      </c>
      <c r="M361">
        <v>73.23</v>
      </c>
      <c r="N361">
        <v>77.72</v>
      </c>
      <c r="O361">
        <v>4</v>
      </c>
      <c r="P361">
        <v>5.0999999999999996</v>
      </c>
      <c r="Q361">
        <v>4.4000000000000004</v>
      </c>
      <c r="R361">
        <v>71.62</v>
      </c>
      <c r="S361">
        <v>76.39</v>
      </c>
      <c r="T361">
        <v>73.95</v>
      </c>
      <c r="U361">
        <v>85.51</v>
      </c>
      <c r="V361">
        <v>56.66</v>
      </c>
      <c r="W361">
        <v>71.09</v>
      </c>
      <c r="X361">
        <v>0.39600000000000002</v>
      </c>
      <c r="Y361">
        <v>89.16</v>
      </c>
      <c r="Z361">
        <v>51306.61</v>
      </c>
      <c r="AA361">
        <v>265300</v>
      </c>
    </row>
    <row r="362" spans="1:27" x14ac:dyDescent="0.35">
      <c r="A362" t="s">
        <v>385</v>
      </c>
      <c r="B362" t="s">
        <v>943</v>
      </c>
      <c r="C362" t="s">
        <v>379</v>
      </c>
      <c r="D362" t="str">
        <f t="shared" si="5"/>
        <v>64</v>
      </c>
      <c r="E362" t="s">
        <v>587</v>
      </c>
      <c r="F362">
        <v>9</v>
      </c>
      <c r="G362">
        <v>8.43</v>
      </c>
      <c r="H362">
        <v>8.7200000000000006</v>
      </c>
      <c r="I362">
        <v>13</v>
      </c>
      <c r="J362">
        <v>12.9</v>
      </c>
      <c r="K362">
        <v>13</v>
      </c>
      <c r="L362">
        <v>79.7</v>
      </c>
      <c r="M362">
        <v>70.39</v>
      </c>
      <c r="N362">
        <v>75.819999999999993</v>
      </c>
      <c r="O362">
        <v>4.09</v>
      </c>
      <c r="P362">
        <v>4.54</v>
      </c>
      <c r="Q362">
        <v>4.26</v>
      </c>
      <c r="R362">
        <v>72.05</v>
      </c>
      <c r="S362">
        <v>77.28</v>
      </c>
      <c r="T362">
        <v>74.599999999999994</v>
      </c>
      <c r="U362">
        <v>85.57</v>
      </c>
      <c r="V362">
        <v>57.34</v>
      </c>
      <c r="W362">
        <v>71.459999999999994</v>
      </c>
      <c r="X362">
        <v>0.32100000000000001</v>
      </c>
      <c r="Y362">
        <v>88.32</v>
      </c>
      <c r="Z362">
        <v>25525.599999999999</v>
      </c>
      <c r="AA362">
        <v>400031</v>
      </c>
    </row>
    <row r="363" spans="1:27" x14ac:dyDescent="0.35">
      <c r="A363" t="s">
        <v>386</v>
      </c>
      <c r="B363" t="s">
        <v>944</v>
      </c>
      <c r="C363" t="s">
        <v>379</v>
      </c>
      <c r="D363" t="str">
        <f t="shared" si="5"/>
        <v>64</v>
      </c>
      <c r="E363" t="s">
        <v>587</v>
      </c>
      <c r="F363">
        <v>9.1999999999999993</v>
      </c>
      <c r="G363">
        <v>8.58</v>
      </c>
      <c r="H363">
        <v>8.7100000000000009</v>
      </c>
      <c r="I363">
        <v>13.27</v>
      </c>
      <c r="J363">
        <v>12.84</v>
      </c>
      <c r="K363">
        <v>12.85</v>
      </c>
      <c r="L363">
        <v>77.13</v>
      </c>
      <c r="M363">
        <v>65.06</v>
      </c>
      <c r="N363">
        <v>71.53</v>
      </c>
      <c r="O363">
        <v>1.19</v>
      </c>
      <c r="P363">
        <v>5.19</v>
      </c>
      <c r="Q363">
        <v>2.84</v>
      </c>
      <c r="R363">
        <v>71.599999999999994</v>
      </c>
      <c r="S363">
        <v>76.34</v>
      </c>
      <c r="T363">
        <v>73.91</v>
      </c>
      <c r="U363">
        <v>87.64</v>
      </c>
      <c r="V363">
        <v>66.25</v>
      </c>
      <c r="W363">
        <v>76.95</v>
      </c>
      <c r="X363">
        <v>0.19</v>
      </c>
      <c r="Y363">
        <v>84.35</v>
      </c>
      <c r="Z363">
        <v>4122.25</v>
      </c>
      <c r="AA363">
        <v>34743</v>
      </c>
    </row>
    <row r="364" spans="1:27" x14ac:dyDescent="0.35">
      <c r="A364" t="s">
        <v>387</v>
      </c>
      <c r="B364" t="s">
        <v>945</v>
      </c>
      <c r="C364" t="s">
        <v>379</v>
      </c>
      <c r="D364" t="str">
        <f t="shared" si="5"/>
        <v>64</v>
      </c>
      <c r="E364" t="s">
        <v>587</v>
      </c>
      <c r="F364">
        <v>11.49</v>
      </c>
      <c r="G364">
        <v>10.82</v>
      </c>
      <c r="H364">
        <v>11.04</v>
      </c>
      <c r="I364">
        <v>14.26</v>
      </c>
      <c r="J364">
        <v>14.63</v>
      </c>
      <c r="K364">
        <v>14.26</v>
      </c>
      <c r="L364">
        <v>87.84</v>
      </c>
      <c r="M364">
        <v>80.56</v>
      </c>
      <c r="N364">
        <v>83.23</v>
      </c>
      <c r="O364">
        <v>6.38</v>
      </c>
      <c r="P364">
        <v>4.93</v>
      </c>
      <c r="Q364">
        <v>5.84</v>
      </c>
      <c r="R364">
        <v>74.13</v>
      </c>
      <c r="S364">
        <v>79.25</v>
      </c>
      <c r="T364">
        <v>76.239999999999995</v>
      </c>
      <c r="U364">
        <v>81.81</v>
      </c>
      <c r="V364">
        <v>50.66</v>
      </c>
      <c r="W364">
        <v>66.239999999999995</v>
      </c>
      <c r="X364">
        <v>0.153</v>
      </c>
      <c r="Y364">
        <v>91.71</v>
      </c>
      <c r="Z364">
        <v>169316.6</v>
      </c>
      <c r="AA364">
        <v>725442</v>
      </c>
    </row>
    <row r="365" spans="1:27" x14ac:dyDescent="0.35">
      <c r="A365" t="s">
        <v>388</v>
      </c>
      <c r="B365" t="s">
        <v>946</v>
      </c>
      <c r="C365" t="s">
        <v>379</v>
      </c>
      <c r="D365" t="str">
        <f t="shared" si="5"/>
        <v>64</v>
      </c>
      <c r="E365" t="s">
        <v>587</v>
      </c>
      <c r="F365">
        <v>11.56</v>
      </c>
      <c r="G365">
        <v>10.71</v>
      </c>
      <c r="H365">
        <v>11.04</v>
      </c>
      <c r="I365">
        <v>15.22</v>
      </c>
      <c r="J365">
        <v>15.77</v>
      </c>
      <c r="K365">
        <v>15.41</v>
      </c>
      <c r="L365">
        <v>87.64</v>
      </c>
      <c r="M365">
        <v>79.88</v>
      </c>
      <c r="N365">
        <v>83.53</v>
      </c>
      <c r="O365">
        <v>5.81</v>
      </c>
      <c r="P365">
        <v>4.42</v>
      </c>
      <c r="Q365">
        <v>5.31</v>
      </c>
      <c r="R365">
        <v>73.78</v>
      </c>
      <c r="S365">
        <v>78.84</v>
      </c>
      <c r="T365">
        <v>75.89</v>
      </c>
      <c r="U365">
        <v>79.989999999999995</v>
      </c>
      <c r="V365">
        <v>46.7</v>
      </c>
      <c r="W365">
        <v>63.35</v>
      </c>
      <c r="X365">
        <v>0.38400000000000001</v>
      </c>
      <c r="Y365">
        <v>91.15</v>
      </c>
      <c r="Z365">
        <v>106624.81</v>
      </c>
      <c r="AA365">
        <v>865306</v>
      </c>
    </row>
    <row r="366" spans="1:27" x14ac:dyDescent="0.35">
      <c r="A366" t="s">
        <v>389</v>
      </c>
      <c r="B366" t="s">
        <v>947</v>
      </c>
      <c r="C366" t="s">
        <v>379</v>
      </c>
      <c r="D366" t="str">
        <f t="shared" si="5"/>
        <v>64</v>
      </c>
      <c r="E366" t="s">
        <v>587</v>
      </c>
      <c r="F366">
        <v>11.25</v>
      </c>
      <c r="G366">
        <v>11</v>
      </c>
      <c r="H366">
        <v>11.03</v>
      </c>
      <c r="I366">
        <v>13.81</v>
      </c>
      <c r="J366">
        <v>13.74</v>
      </c>
      <c r="K366">
        <v>13.8</v>
      </c>
      <c r="L366">
        <v>86.76</v>
      </c>
      <c r="M366">
        <v>77.64</v>
      </c>
      <c r="N366">
        <v>83.04</v>
      </c>
      <c r="O366">
        <v>5.94</v>
      </c>
      <c r="P366">
        <v>7.02</v>
      </c>
      <c r="Q366">
        <v>6.36</v>
      </c>
      <c r="R366">
        <v>73.459999999999994</v>
      </c>
      <c r="S366">
        <v>78.209999999999994</v>
      </c>
      <c r="T366">
        <v>75.36</v>
      </c>
      <c r="U366">
        <v>82.95</v>
      </c>
      <c r="V366">
        <v>54.37</v>
      </c>
      <c r="W366">
        <v>68.66</v>
      </c>
      <c r="X366">
        <v>0.28699999999999998</v>
      </c>
      <c r="Y366">
        <v>89.49</v>
      </c>
      <c r="Z366">
        <v>70789.05</v>
      </c>
      <c r="AA366">
        <v>190706</v>
      </c>
    </row>
    <row r="367" spans="1:27" x14ac:dyDescent="0.35">
      <c r="A367" t="s">
        <v>391</v>
      </c>
      <c r="B367" t="s">
        <v>948</v>
      </c>
      <c r="C367" t="s">
        <v>390</v>
      </c>
      <c r="D367" t="str">
        <f t="shared" si="5"/>
        <v>65</v>
      </c>
      <c r="E367" t="s">
        <v>587</v>
      </c>
      <c r="F367">
        <v>9.91</v>
      </c>
      <c r="G367">
        <v>9.0500000000000007</v>
      </c>
      <c r="H367">
        <v>9.64</v>
      </c>
      <c r="I367">
        <v>13.47</v>
      </c>
      <c r="J367">
        <v>13.88</v>
      </c>
      <c r="K367">
        <v>13.58</v>
      </c>
      <c r="L367">
        <v>79.75</v>
      </c>
      <c r="M367">
        <v>67.61</v>
      </c>
      <c r="N367">
        <v>75.209999999999994</v>
      </c>
      <c r="O367">
        <v>3.23</v>
      </c>
      <c r="P367">
        <v>3.72</v>
      </c>
      <c r="Q367">
        <v>3.42</v>
      </c>
      <c r="R367">
        <v>72.02</v>
      </c>
      <c r="S367">
        <v>75.55</v>
      </c>
      <c r="T367">
        <v>73.33</v>
      </c>
      <c r="U367">
        <v>87.63</v>
      </c>
      <c r="V367">
        <v>63.74</v>
      </c>
      <c r="W367">
        <v>75.69</v>
      </c>
      <c r="X367">
        <v>0.44800000000000001</v>
      </c>
      <c r="Y367">
        <v>84.78</v>
      </c>
      <c r="Z367">
        <v>18842.47</v>
      </c>
      <c r="AA367">
        <v>87492</v>
      </c>
    </row>
    <row r="368" spans="1:27" x14ac:dyDescent="0.35">
      <c r="A368" t="s">
        <v>392</v>
      </c>
      <c r="B368" t="s">
        <v>949</v>
      </c>
      <c r="C368" t="s">
        <v>390</v>
      </c>
      <c r="D368" t="str">
        <f t="shared" si="5"/>
        <v>65</v>
      </c>
      <c r="E368" t="s">
        <v>587</v>
      </c>
      <c r="F368">
        <v>9.81</v>
      </c>
      <c r="G368">
        <v>9.2200000000000006</v>
      </c>
      <c r="H368">
        <v>9.42</v>
      </c>
      <c r="I368">
        <v>13.33</v>
      </c>
      <c r="J368">
        <v>13.26</v>
      </c>
      <c r="K368">
        <v>13.26</v>
      </c>
      <c r="L368">
        <v>79.599999999999994</v>
      </c>
      <c r="M368">
        <v>69.78</v>
      </c>
      <c r="N368">
        <v>74.53</v>
      </c>
      <c r="O368">
        <v>3.97</v>
      </c>
      <c r="P368">
        <v>4.43</v>
      </c>
      <c r="Q368">
        <v>4.1399999999999997</v>
      </c>
      <c r="R368">
        <v>72.38</v>
      </c>
      <c r="S368">
        <v>76.44</v>
      </c>
      <c r="T368">
        <v>73.989999999999995</v>
      </c>
      <c r="U368">
        <v>86.78</v>
      </c>
      <c r="V368">
        <v>57.08</v>
      </c>
      <c r="W368">
        <v>71.930000000000007</v>
      </c>
      <c r="X368">
        <v>0.38300000000000001</v>
      </c>
      <c r="Y368">
        <v>87.66</v>
      </c>
      <c r="Z368">
        <v>27606.37</v>
      </c>
      <c r="AA368">
        <v>162405</v>
      </c>
    </row>
    <row r="369" spans="1:27" x14ac:dyDescent="0.35">
      <c r="A369" t="s">
        <v>393</v>
      </c>
      <c r="B369" t="s">
        <v>950</v>
      </c>
      <c r="C369" t="s">
        <v>390</v>
      </c>
      <c r="D369" t="str">
        <f t="shared" si="5"/>
        <v>65</v>
      </c>
      <c r="E369" t="s">
        <v>587</v>
      </c>
      <c r="F369">
        <v>9.9600000000000009</v>
      </c>
      <c r="G369">
        <v>8.9</v>
      </c>
      <c r="H369">
        <v>9.41</v>
      </c>
      <c r="I369">
        <v>12.85</v>
      </c>
      <c r="J369">
        <v>12.75</v>
      </c>
      <c r="K369">
        <v>12.85</v>
      </c>
      <c r="L369">
        <v>76.540000000000006</v>
      </c>
      <c r="M369">
        <v>62.67</v>
      </c>
      <c r="N369">
        <v>71.86</v>
      </c>
      <c r="O369">
        <v>3.84</v>
      </c>
      <c r="P369">
        <v>3.41</v>
      </c>
      <c r="Q369">
        <v>3.68</v>
      </c>
      <c r="R369">
        <v>71.42</v>
      </c>
      <c r="S369">
        <v>75.98</v>
      </c>
      <c r="T369">
        <v>73.64</v>
      </c>
      <c r="U369">
        <v>85.82</v>
      </c>
      <c r="V369">
        <v>59.71</v>
      </c>
      <c r="W369">
        <v>72.77</v>
      </c>
      <c r="X369">
        <v>0.29199999999999998</v>
      </c>
      <c r="Y369">
        <v>81.88</v>
      </c>
      <c r="Z369">
        <v>9759.98</v>
      </c>
      <c r="AA369">
        <v>28824</v>
      </c>
    </row>
    <row r="370" spans="1:27" x14ac:dyDescent="0.35">
      <c r="A370" t="s">
        <v>394</v>
      </c>
      <c r="B370" t="s">
        <v>951</v>
      </c>
      <c r="C370" t="s">
        <v>390</v>
      </c>
      <c r="D370" t="str">
        <f t="shared" si="5"/>
        <v>65</v>
      </c>
      <c r="E370" t="s">
        <v>587</v>
      </c>
      <c r="F370">
        <v>8.64</v>
      </c>
      <c r="G370">
        <v>8.34</v>
      </c>
      <c r="H370">
        <v>8.4</v>
      </c>
      <c r="I370">
        <v>12.91</v>
      </c>
      <c r="J370">
        <v>12.76</v>
      </c>
      <c r="K370">
        <v>12.81</v>
      </c>
      <c r="L370">
        <v>74.17</v>
      </c>
      <c r="M370">
        <v>64.17</v>
      </c>
      <c r="N370">
        <v>69.87</v>
      </c>
      <c r="O370">
        <v>2.17</v>
      </c>
      <c r="P370">
        <v>3.43</v>
      </c>
      <c r="Q370">
        <v>2.61</v>
      </c>
      <c r="R370">
        <v>71.14</v>
      </c>
      <c r="S370">
        <v>75.38</v>
      </c>
      <c r="T370">
        <v>73.209999999999994</v>
      </c>
      <c r="U370">
        <v>87.93</v>
      </c>
      <c r="V370">
        <v>54.32</v>
      </c>
      <c r="W370">
        <v>71.13</v>
      </c>
      <c r="X370">
        <v>0.22</v>
      </c>
      <c r="Y370">
        <v>86.52</v>
      </c>
      <c r="Z370">
        <v>42735.54</v>
      </c>
      <c r="AA370">
        <v>213976</v>
      </c>
    </row>
    <row r="371" spans="1:27" x14ac:dyDescent="0.35">
      <c r="A371" t="s">
        <v>395</v>
      </c>
      <c r="B371" t="s">
        <v>952</v>
      </c>
      <c r="C371" t="s">
        <v>390</v>
      </c>
      <c r="D371" t="str">
        <f t="shared" si="5"/>
        <v>65</v>
      </c>
      <c r="E371" t="s">
        <v>587</v>
      </c>
      <c r="F371">
        <v>10.68</v>
      </c>
      <c r="G371">
        <v>10.39</v>
      </c>
      <c r="H371">
        <v>10.46</v>
      </c>
      <c r="I371">
        <v>13.58</v>
      </c>
      <c r="J371">
        <v>14.78</v>
      </c>
      <c r="K371">
        <v>14.23</v>
      </c>
      <c r="L371">
        <v>82.3</v>
      </c>
      <c r="M371">
        <v>77.63</v>
      </c>
      <c r="N371">
        <v>78.62</v>
      </c>
      <c r="O371">
        <v>4.63</v>
      </c>
      <c r="P371">
        <v>5.9</v>
      </c>
      <c r="Q371">
        <v>5.0599999999999996</v>
      </c>
      <c r="R371">
        <v>73.67</v>
      </c>
      <c r="S371">
        <v>77.010000000000005</v>
      </c>
      <c r="T371">
        <v>74.400000000000006</v>
      </c>
      <c r="U371">
        <v>80.06</v>
      </c>
      <c r="V371">
        <v>42.97</v>
      </c>
      <c r="W371">
        <v>61.52</v>
      </c>
      <c r="X371">
        <v>0.26500000000000001</v>
      </c>
      <c r="Y371">
        <v>94.33</v>
      </c>
      <c r="Z371">
        <v>59829.36</v>
      </c>
      <c r="AA371">
        <v>256670</v>
      </c>
    </row>
    <row r="372" spans="1:27" x14ac:dyDescent="0.35">
      <c r="A372" t="s">
        <v>397</v>
      </c>
      <c r="B372" t="s">
        <v>953</v>
      </c>
      <c r="C372" t="s">
        <v>396</v>
      </c>
      <c r="D372" t="str">
        <f t="shared" si="5"/>
        <v>71</v>
      </c>
      <c r="E372" t="s">
        <v>588</v>
      </c>
      <c r="F372">
        <v>8.41</v>
      </c>
      <c r="G372">
        <v>8.51</v>
      </c>
      <c r="H372">
        <v>8.49</v>
      </c>
      <c r="I372">
        <v>11.66</v>
      </c>
      <c r="J372">
        <v>12.52</v>
      </c>
      <c r="K372">
        <v>11.82</v>
      </c>
      <c r="L372">
        <v>75.38</v>
      </c>
      <c r="M372">
        <v>67.28</v>
      </c>
      <c r="N372">
        <v>71.83</v>
      </c>
      <c r="O372">
        <v>4.7</v>
      </c>
      <c r="P372">
        <v>5.46</v>
      </c>
      <c r="Q372">
        <v>4.97</v>
      </c>
      <c r="R372">
        <v>70.52</v>
      </c>
      <c r="S372">
        <v>74.53</v>
      </c>
      <c r="T372">
        <v>72.48</v>
      </c>
      <c r="U372">
        <v>87.6</v>
      </c>
      <c r="V372">
        <v>54.19</v>
      </c>
      <c r="W372">
        <v>70.900000000000006</v>
      </c>
      <c r="X372">
        <v>0.46300000000000002</v>
      </c>
      <c r="Y372">
        <v>89.25</v>
      </c>
      <c r="Z372">
        <v>12539.06</v>
      </c>
      <c r="AA372">
        <v>259359</v>
      </c>
    </row>
    <row r="373" spans="1:27" x14ac:dyDescent="0.35">
      <c r="A373" t="s">
        <v>398</v>
      </c>
      <c r="B373" t="s">
        <v>954</v>
      </c>
      <c r="C373" t="s">
        <v>396</v>
      </c>
      <c r="D373" t="str">
        <f t="shared" si="5"/>
        <v>71</v>
      </c>
      <c r="E373" t="s">
        <v>588</v>
      </c>
      <c r="F373">
        <v>10.07</v>
      </c>
      <c r="G373">
        <v>10.46</v>
      </c>
      <c r="H373">
        <v>10.25</v>
      </c>
      <c r="I373">
        <v>14.19</v>
      </c>
      <c r="J373">
        <v>14.56</v>
      </c>
      <c r="K373">
        <v>14.2</v>
      </c>
      <c r="L373">
        <v>81.459999999999994</v>
      </c>
      <c r="M373">
        <v>79.73</v>
      </c>
      <c r="N373">
        <v>79.73</v>
      </c>
      <c r="O373">
        <v>6.89</v>
      </c>
      <c r="P373">
        <v>9.17</v>
      </c>
      <c r="Q373">
        <v>7.74</v>
      </c>
      <c r="R373">
        <v>72.84</v>
      </c>
      <c r="S373">
        <v>78.489999999999995</v>
      </c>
      <c r="T373">
        <v>75.599999999999994</v>
      </c>
      <c r="U373">
        <v>80.13</v>
      </c>
      <c r="V373">
        <v>48.9</v>
      </c>
      <c r="W373">
        <v>64.52</v>
      </c>
      <c r="X373">
        <v>0.155</v>
      </c>
      <c r="Y373">
        <v>97.88</v>
      </c>
      <c r="Z373">
        <v>26178.62</v>
      </c>
      <c r="AA373">
        <v>355115</v>
      </c>
    </row>
    <row r="374" spans="1:27" x14ac:dyDescent="0.35">
      <c r="A374" t="s">
        <v>399</v>
      </c>
      <c r="B374" t="s">
        <v>955</v>
      </c>
      <c r="C374" t="s">
        <v>396</v>
      </c>
      <c r="D374" t="str">
        <f t="shared" si="5"/>
        <v>71</v>
      </c>
      <c r="E374" t="s">
        <v>588</v>
      </c>
      <c r="F374">
        <v>8.4499999999999993</v>
      </c>
      <c r="G374">
        <v>9</v>
      </c>
      <c r="H374">
        <v>8.6999999999999993</v>
      </c>
      <c r="I374">
        <v>12.45</v>
      </c>
      <c r="J374">
        <v>13.4</v>
      </c>
      <c r="K374">
        <v>12.8</v>
      </c>
      <c r="L374">
        <v>76.87</v>
      </c>
      <c r="M374">
        <v>74.38</v>
      </c>
      <c r="N374">
        <v>75.180000000000007</v>
      </c>
      <c r="O374">
        <v>2.68</v>
      </c>
      <c r="P374">
        <v>2.57</v>
      </c>
      <c r="Q374">
        <v>2.64</v>
      </c>
      <c r="R374">
        <v>72.36</v>
      </c>
      <c r="S374">
        <v>77.81</v>
      </c>
      <c r="T374">
        <v>75.02</v>
      </c>
      <c r="U374">
        <v>81.25</v>
      </c>
      <c r="V374">
        <v>54.52</v>
      </c>
      <c r="W374">
        <v>67.89</v>
      </c>
      <c r="X374">
        <v>0.40799999999999997</v>
      </c>
      <c r="Y374">
        <v>96.76</v>
      </c>
      <c r="Z374">
        <v>6798.69</v>
      </c>
      <c r="AA374">
        <v>143653</v>
      </c>
    </row>
    <row r="375" spans="1:27" x14ac:dyDescent="0.35">
      <c r="A375" t="s">
        <v>400</v>
      </c>
      <c r="B375" t="s">
        <v>956</v>
      </c>
      <c r="C375" t="s">
        <v>396</v>
      </c>
      <c r="D375" t="str">
        <f t="shared" si="5"/>
        <v>71</v>
      </c>
      <c r="E375" t="s">
        <v>588</v>
      </c>
      <c r="F375">
        <v>10.09</v>
      </c>
      <c r="G375">
        <v>9.9700000000000006</v>
      </c>
      <c r="H375">
        <v>9.9700000000000006</v>
      </c>
      <c r="I375">
        <v>12.72</v>
      </c>
      <c r="J375">
        <v>13.26</v>
      </c>
      <c r="K375">
        <v>12.84</v>
      </c>
      <c r="L375">
        <v>74.55</v>
      </c>
      <c r="M375">
        <v>73.44</v>
      </c>
      <c r="N375">
        <v>73.680000000000007</v>
      </c>
      <c r="O375">
        <v>3.49</v>
      </c>
      <c r="P375">
        <v>3.23</v>
      </c>
      <c r="Q375">
        <v>3.4</v>
      </c>
      <c r="R375">
        <v>71.599999999999994</v>
      </c>
      <c r="S375">
        <v>76.349999999999994</v>
      </c>
      <c r="T375">
        <v>73.92</v>
      </c>
      <c r="U375">
        <v>80.98</v>
      </c>
      <c r="V375">
        <v>50.82</v>
      </c>
      <c r="W375">
        <v>65.900000000000006</v>
      </c>
      <c r="X375">
        <v>0.49399999999999999</v>
      </c>
      <c r="Y375">
        <v>98.51</v>
      </c>
      <c r="Z375">
        <v>3398.5</v>
      </c>
      <c r="AA375">
        <v>99280</v>
      </c>
    </row>
    <row r="376" spans="1:27" x14ac:dyDescent="0.35">
      <c r="A376" t="s">
        <v>401</v>
      </c>
      <c r="B376" t="s">
        <v>957</v>
      </c>
      <c r="C376" t="s">
        <v>396</v>
      </c>
      <c r="D376" t="str">
        <f t="shared" si="5"/>
        <v>71</v>
      </c>
      <c r="E376" t="s">
        <v>588</v>
      </c>
      <c r="F376">
        <v>9.51</v>
      </c>
      <c r="G376">
        <v>9.76</v>
      </c>
      <c r="H376">
        <v>9.5299999999999994</v>
      </c>
      <c r="I376">
        <v>12.75</v>
      </c>
      <c r="J376">
        <v>13.42</v>
      </c>
      <c r="K376">
        <v>13.03</v>
      </c>
      <c r="L376">
        <v>79.63</v>
      </c>
      <c r="M376">
        <v>72.22</v>
      </c>
      <c r="N376">
        <v>76.47</v>
      </c>
      <c r="O376">
        <v>4.0199999999999996</v>
      </c>
      <c r="P376">
        <v>6.11</v>
      </c>
      <c r="Q376">
        <v>4.7699999999999996</v>
      </c>
      <c r="R376">
        <v>72.14</v>
      </c>
      <c r="S376">
        <v>77.48</v>
      </c>
      <c r="T376">
        <v>74.739999999999995</v>
      </c>
      <c r="U376">
        <v>84.39</v>
      </c>
      <c r="V376">
        <v>49.98</v>
      </c>
      <c r="W376">
        <v>67.19</v>
      </c>
      <c r="X376">
        <v>0.41599999999999998</v>
      </c>
      <c r="Y376">
        <v>90.69</v>
      </c>
      <c r="Z376">
        <v>13730.75</v>
      </c>
      <c r="AA376">
        <v>242488</v>
      </c>
    </row>
    <row r="377" spans="1:27" x14ac:dyDescent="0.35">
      <c r="A377" t="s">
        <v>402</v>
      </c>
      <c r="B377" t="s">
        <v>958</v>
      </c>
      <c r="C377" t="s">
        <v>396</v>
      </c>
      <c r="D377" t="str">
        <f t="shared" si="5"/>
        <v>71</v>
      </c>
      <c r="E377" t="s">
        <v>588</v>
      </c>
      <c r="F377">
        <v>10.39</v>
      </c>
      <c r="G377">
        <v>10.34</v>
      </c>
      <c r="H377">
        <v>10.36</v>
      </c>
      <c r="I377">
        <v>12.9</v>
      </c>
      <c r="J377">
        <v>13.58</v>
      </c>
      <c r="K377">
        <v>13.27</v>
      </c>
      <c r="L377">
        <v>79.650000000000006</v>
      </c>
      <c r="M377">
        <v>77.48</v>
      </c>
      <c r="N377">
        <v>77.760000000000005</v>
      </c>
      <c r="O377">
        <v>4.82</v>
      </c>
      <c r="P377">
        <v>10.27</v>
      </c>
      <c r="Q377">
        <v>6.8</v>
      </c>
      <c r="R377">
        <v>72.36</v>
      </c>
      <c r="S377">
        <v>77.81</v>
      </c>
      <c r="T377">
        <v>75.02</v>
      </c>
      <c r="U377">
        <v>84.92</v>
      </c>
      <c r="V377">
        <v>49.55</v>
      </c>
      <c r="W377">
        <v>67.239999999999995</v>
      </c>
      <c r="X377">
        <v>0.19700000000000001</v>
      </c>
      <c r="Y377">
        <v>97.28</v>
      </c>
      <c r="Z377">
        <v>22365.81</v>
      </c>
      <c r="AA377">
        <v>235625</v>
      </c>
    </row>
    <row r="378" spans="1:27" x14ac:dyDescent="0.35">
      <c r="A378" t="s">
        <v>403</v>
      </c>
      <c r="B378" t="s">
        <v>959</v>
      </c>
      <c r="C378" t="s">
        <v>396</v>
      </c>
      <c r="D378" t="str">
        <f t="shared" si="5"/>
        <v>71</v>
      </c>
      <c r="E378" t="s">
        <v>588</v>
      </c>
      <c r="F378">
        <v>8.34</v>
      </c>
      <c r="G378">
        <v>8.8800000000000008</v>
      </c>
      <c r="H378">
        <v>8.6300000000000008</v>
      </c>
      <c r="I378">
        <v>12.36</v>
      </c>
      <c r="J378">
        <v>13.04</v>
      </c>
      <c r="K378">
        <v>12.58</v>
      </c>
      <c r="L378">
        <v>76.650000000000006</v>
      </c>
      <c r="M378">
        <v>67.81</v>
      </c>
      <c r="N378">
        <v>72.28</v>
      </c>
      <c r="O378">
        <v>3.6</v>
      </c>
      <c r="P378">
        <v>4.82</v>
      </c>
      <c r="Q378">
        <v>4.07</v>
      </c>
      <c r="R378">
        <v>71.61</v>
      </c>
      <c r="S378">
        <v>76.37</v>
      </c>
      <c r="T378">
        <v>73.930000000000007</v>
      </c>
      <c r="U378">
        <v>87.14</v>
      </c>
      <c r="V378">
        <v>56.62</v>
      </c>
      <c r="W378">
        <v>71.88</v>
      </c>
      <c r="X378">
        <v>0.33300000000000002</v>
      </c>
      <c r="Y378">
        <v>88.47</v>
      </c>
      <c r="Z378">
        <v>3861.01</v>
      </c>
      <c r="AA378">
        <v>88270</v>
      </c>
    </row>
    <row r="379" spans="1:27" x14ac:dyDescent="0.35">
      <c r="A379" t="s">
        <v>599</v>
      </c>
      <c r="B379" t="s">
        <v>960</v>
      </c>
      <c r="C379" t="s">
        <v>396</v>
      </c>
      <c r="D379" t="str">
        <f t="shared" si="5"/>
        <v>71</v>
      </c>
      <c r="E379" t="s">
        <v>588</v>
      </c>
      <c r="F379">
        <v>9.42</v>
      </c>
      <c r="G379">
        <v>9.7799999999999994</v>
      </c>
      <c r="H379">
        <v>9.51</v>
      </c>
      <c r="I379">
        <v>11.72</v>
      </c>
      <c r="J379">
        <v>12.46</v>
      </c>
      <c r="K379">
        <v>12.05</v>
      </c>
      <c r="L379">
        <v>75.91</v>
      </c>
      <c r="M379">
        <v>68.73</v>
      </c>
      <c r="N379">
        <v>72.17</v>
      </c>
      <c r="O379">
        <v>2.25</v>
      </c>
      <c r="P379">
        <v>2.63</v>
      </c>
      <c r="Q379">
        <v>2.41</v>
      </c>
      <c r="R379">
        <v>72.430000000000007</v>
      </c>
      <c r="S379">
        <v>77.91</v>
      </c>
      <c r="T379">
        <v>75.099999999999994</v>
      </c>
      <c r="U379">
        <v>81.11</v>
      </c>
      <c r="V379">
        <v>62.19</v>
      </c>
      <c r="W379">
        <v>71.650000000000006</v>
      </c>
      <c r="X379">
        <v>0.13600000000000001</v>
      </c>
      <c r="Y379">
        <v>90.54</v>
      </c>
      <c r="Z379">
        <v>3705.94</v>
      </c>
      <c r="AA379">
        <v>74448</v>
      </c>
    </row>
    <row r="380" spans="1:27" x14ac:dyDescent="0.35">
      <c r="A380" t="s">
        <v>405</v>
      </c>
      <c r="B380" t="s">
        <v>961</v>
      </c>
      <c r="C380" t="s">
        <v>396</v>
      </c>
      <c r="D380" t="str">
        <f t="shared" si="5"/>
        <v>71</v>
      </c>
      <c r="E380" t="s">
        <v>588</v>
      </c>
      <c r="F380">
        <v>8.93</v>
      </c>
      <c r="G380">
        <v>9.31</v>
      </c>
      <c r="H380">
        <v>9.16</v>
      </c>
      <c r="I380">
        <v>12.45</v>
      </c>
      <c r="J380">
        <v>13</v>
      </c>
      <c r="K380">
        <v>12.61</v>
      </c>
      <c r="L380">
        <v>77.400000000000006</v>
      </c>
      <c r="M380">
        <v>72.25</v>
      </c>
      <c r="N380">
        <v>74.28</v>
      </c>
      <c r="O380">
        <v>3.15</v>
      </c>
      <c r="P380">
        <v>3.81</v>
      </c>
      <c r="Q380">
        <v>3.38</v>
      </c>
      <c r="R380">
        <v>71.47</v>
      </c>
      <c r="S380">
        <v>76.069999999999993</v>
      </c>
      <c r="T380">
        <v>73.709999999999994</v>
      </c>
      <c r="U380">
        <v>88.19</v>
      </c>
      <c r="V380">
        <v>50.74</v>
      </c>
      <c r="W380">
        <v>69.47</v>
      </c>
      <c r="X380">
        <v>0.40899999999999997</v>
      </c>
      <c r="Y380">
        <v>93.35</v>
      </c>
      <c r="Z380">
        <v>7994.48</v>
      </c>
      <c r="AA380">
        <v>121523</v>
      </c>
    </row>
    <row r="381" spans="1:27" x14ac:dyDescent="0.35">
      <c r="A381" t="s">
        <v>406</v>
      </c>
      <c r="B381" t="s">
        <v>962</v>
      </c>
      <c r="C381" t="s">
        <v>396</v>
      </c>
      <c r="D381" t="str">
        <f t="shared" si="5"/>
        <v>71</v>
      </c>
      <c r="E381" t="s">
        <v>588</v>
      </c>
      <c r="F381">
        <v>8.3000000000000007</v>
      </c>
      <c r="G381">
        <v>8.43</v>
      </c>
      <c r="H381">
        <v>8.3800000000000008</v>
      </c>
      <c r="I381">
        <v>12.25</v>
      </c>
      <c r="J381">
        <v>12.48</v>
      </c>
      <c r="K381">
        <v>12.35</v>
      </c>
      <c r="L381">
        <v>75.13</v>
      </c>
      <c r="M381">
        <v>61.82</v>
      </c>
      <c r="N381">
        <v>70.540000000000006</v>
      </c>
      <c r="O381">
        <v>1.42</v>
      </c>
      <c r="P381">
        <v>5.85</v>
      </c>
      <c r="Q381">
        <v>2.91</v>
      </c>
      <c r="R381">
        <v>69.209999999999994</v>
      </c>
      <c r="S381">
        <v>73.17</v>
      </c>
      <c r="T381">
        <v>71.14</v>
      </c>
      <c r="U381">
        <v>88.5</v>
      </c>
      <c r="V381">
        <v>48.74</v>
      </c>
      <c r="W381">
        <v>68.62</v>
      </c>
      <c r="X381">
        <v>0.46600000000000003</v>
      </c>
      <c r="Y381">
        <v>82.28</v>
      </c>
      <c r="Z381">
        <v>3222.31</v>
      </c>
      <c r="AA381">
        <v>73702</v>
      </c>
    </row>
    <row r="382" spans="1:27" x14ac:dyDescent="0.35">
      <c r="A382" t="s">
        <v>407</v>
      </c>
      <c r="B382" t="s">
        <v>963</v>
      </c>
      <c r="C382" t="s">
        <v>396</v>
      </c>
      <c r="D382" t="str">
        <f t="shared" si="5"/>
        <v>71</v>
      </c>
      <c r="E382" t="s">
        <v>588</v>
      </c>
      <c r="F382">
        <v>8.2899999999999991</v>
      </c>
      <c r="G382">
        <v>8.42</v>
      </c>
      <c r="H382">
        <v>8.3000000000000007</v>
      </c>
      <c r="I382">
        <v>11.91</v>
      </c>
      <c r="J382">
        <v>12.6</v>
      </c>
      <c r="K382">
        <v>12.11</v>
      </c>
      <c r="L382">
        <v>74.81</v>
      </c>
      <c r="M382">
        <v>69.17</v>
      </c>
      <c r="N382">
        <v>71.430000000000007</v>
      </c>
      <c r="O382">
        <v>3.14</v>
      </c>
      <c r="P382">
        <v>11.21</v>
      </c>
      <c r="Q382">
        <v>5.28</v>
      </c>
      <c r="R382">
        <v>71.48</v>
      </c>
      <c r="S382">
        <v>76.09</v>
      </c>
      <c r="T382">
        <v>73.73</v>
      </c>
      <c r="U382">
        <v>84.94</v>
      </c>
      <c r="V382">
        <v>33.57</v>
      </c>
      <c r="W382">
        <v>59.26</v>
      </c>
      <c r="X382">
        <v>0.49299999999999999</v>
      </c>
      <c r="Y382">
        <v>92.46</v>
      </c>
      <c r="Z382">
        <v>4643.8599999999997</v>
      </c>
      <c r="AA382">
        <v>93227</v>
      </c>
    </row>
    <row r="383" spans="1:27" x14ac:dyDescent="0.35">
      <c r="A383" t="s">
        <v>408</v>
      </c>
      <c r="B383" t="s">
        <v>964</v>
      </c>
      <c r="C383" t="s">
        <v>396</v>
      </c>
      <c r="D383" t="str">
        <f t="shared" si="5"/>
        <v>71</v>
      </c>
      <c r="E383" t="s">
        <v>588</v>
      </c>
      <c r="F383">
        <v>11.67</v>
      </c>
      <c r="G383">
        <v>11.52</v>
      </c>
      <c r="H383">
        <v>11.52</v>
      </c>
      <c r="I383">
        <v>14.14</v>
      </c>
      <c r="J383">
        <v>14.86</v>
      </c>
      <c r="K383">
        <v>14.21</v>
      </c>
      <c r="L383">
        <v>84.05</v>
      </c>
      <c r="M383">
        <v>82.37</v>
      </c>
      <c r="N383">
        <v>82.4</v>
      </c>
      <c r="O383">
        <v>7.38</v>
      </c>
      <c r="P383">
        <v>10.29</v>
      </c>
      <c r="Q383">
        <v>8.51</v>
      </c>
      <c r="R383">
        <v>72.83</v>
      </c>
      <c r="S383">
        <v>78.48</v>
      </c>
      <c r="T383">
        <v>75.58</v>
      </c>
      <c r="U383">
        <v>79.400000000000006</v>
      </c>
      <c r="V383">
        <v>49.99</v>
      </c>
      <c r="W383">
        <v>64.7</v>
      </c>
      <c r="X383">
        <v>0.29199999999999998</v>
      </c>
      <c r="Y383">
        <v>98</v>
      </c>
      <c r="Z383">
        <v>57496.65</v>
      </c>
      <c r="AA383">
        <v>462084</v>
      </c>
    </row>
    <row r="384" spans="1:27" x14ac:dyDescent="0.35">
      <c r="A384" t="s">
        <v>409</v>
      </c>
      <c r="B384" t="s">
        <v>965</v>
      </c>
      <c r="C384" t="s">
        <v>396</v>
      </c>
      <c r="D384" t="str">
        <f t="shared" si="5"/>
        <v>71</v>
      </c>
      <c r="E384" t="s">
        <v>588</v>
      </c>
      <c r="F384">
        <v>10.09</v>
      </c>
      <c r="G384">
        <v>10.02</v>
      </c>
      <c r="H384">
        <v>10.050000000000001</v>
      </c>
      <c r="I384">
        <v>12.42</v>
      </c>
      <c r="J384">
        <v>13.25</v>
      </c>
      <c r="K384">
        <v>12.88</v>
      </c>
      <c r="L384">
        <v>79.849999999999994</v>
      </c>
      <c r="M384">
        <v>76.37</v>
      </c>
      <c r="N384">
        <v>77.569999999999993</v>
      </c>
      <c r="O384">
        <v>7.35</v>
      </c>
      <c r="P384">
        <v>7.33</v>
      </c>
      <c r="Q384">
        <v>7.35</v>
      </c>
      <c r="R384">
        <v>72.150000000000006</v>
      </c>
      <c r="S384">
        <v>77.5</v>
      </c>
      <c r="T384">
        <v>74.760000000000005</v>
      </c>
      <c r="U384">
        <v>84.3</v>
      </c>
      <c r="V384">
        <v>46.64</v>
      </c>
      <c r="W384">
        <v>65.47</v>
      </c>
      <c r="X384">
        <v>0.21099999999999999</v>
      </c>
      <c r="Y384">
        <v>95.64</v>
      </c>
      <c r="Z384">
        <v>27403.71</v>
      </c>
      <c r="AA384">
        <v>237434</v>
      </c>
    </row>
    <row r="385" spans="1:27" x14ac:dyDescent="0.35">
      <c r="A385" t="s">
        <v>410</v>
      </c>
      <c r="B385" t="s">
        <v>966</v>
      </c>
      <c r="C385" t="s">
        <v>396</v>
      </c>
      <c r="D385" t="str">
        <f t="shared" si="5"/>
        <v>71</v>
      </c>
      <c r="E385" t="s">
        <v>588</v>
      </c>
      <c r="F385">
        <v>10.92</v>
      </c>
      <c r="G385">
        <v>11.22</v>
      </c>
      <c r="H385">
        <v>11.04</v>
      </c>
      <c r="I385">
        <v>13.76</v>
      </c>
      <c r="J385">
        <v>14.89</v>
      </c>
      <c r="K385">
        <v>14.39</v>
      </c>
      <c r="L385">
        <v>80.56</v>
      </c>
      <c r="M385">
        <v>81.17</v>
      </c>
      <c r="N385">
        <v>80.650000000000006</v>
      </c>
      <c r="O385">
        <v>7.25</v>
      </c>
      <c r="P385">
        <v>8.69</v>
      </c>
      <c r="Q385">
        <v>7.8</v>
      </c>
      <c r="R385">
        <v>73.16</v>
      </c>
      <c r="S385">
        <v>78.97</v>
      </c>
      <c r="T385">
        <v>75.989999999999995</v>
      </c>
      <c r="U385">
        <v>79.58</v>
      </c>
      <c r="V385">
        <v>49.15</v>
      </c>
      <c r="W385">
        <v>64.37</v>
      </c>
      <c r="X385">
        <v>0.17</v>
      </c>
      <c r="Y385">
        <v>100.76</v>
      </c>
      <c r="Z385">
        <v>6386.85</v>
      </c>
      <c r="AA385">
        <v>104822</v>
      </c>
    </row>
    <row r="386" spans="1:27" x14ac:dyDescent="0.35">
      <c r="A386" t="s">
        <v>411</v>
      </c>
      <c r="B386" t="s">
        <v>967</v>
      </c>
      <c r="C386" t="s">
        <v>396</v>
      </c>
      <c r="D386" t="str">
        <f t="shared" si="5"/>
        <v>71</v>
      </c>
      <c r="E386" t="s">
        <v>588</v>
      </c>
      <c r="F386">
        <v>10.37</v>
      </c>
      <c r="G386">
        <v>10.3</v>
      </c>
      <c r="H386">
        <v>10.36</v>
      </c>
      <c r="I386">
        <v>12.95</v>
      </c>
      <c r="J386">
        <v>13.92</v>
      </c>
      <c r="K386">
        <v>13.25</v>
      </c>
      <c r="L386">
        <v>80.02</v>
      </c>
      <c r="M386">
        <v>77.319999999999993</v>
      </c>
      <c r="N386">
        <v>77.489999999999995</v>
      </c>
      <c r="O386">
        <v>5.12</v>
      </c>
      <c r="P386">
        <v>7.3</v>
      </c>
      <c r="Q386">
        <v>5.97</v>
      </c>
      <c r="R386">
        <v>72.650000000000006</v>
      </c>
      <c r="S386">
        <v>78.22</v>
      </c>
      <c r="T386">
        <v>75.37</v>
      </c>
      <c r="U386">
        <v>86.45</v>
      </c>
      <c r="V386">
        <v>57.59</v>
      </c>
      <c r="W386">
        <v>72.02</v>
      </c>
      <c r="X386">
        <v>0.23300000000000001</v>
      </c>
      <c r="Y386">
        <v>96.63</v>
      </c>
      <c r="Z386">
        <v>5646.99</v>
      </c>
      <c r="AA386">
        <v>130408</v>
      </c>
    </row>
    <row r="387" spans="1:27" x14ac:dyDescent="0.35">
      <c r="A387" t="s">
        <v>413</v>
      </c>
      <c r="B387" t="s">
        <v>968</v>
      </c>
      <c r="C387" t="s">
        <v>412</v>
      </c>
      <c r="D387" t="str">
        <f t="shared" ref="D387:D450" si="6">LEFT(B387,2)</f>
        <v>72</v>
      </c>
      <c r="E387" t="s">
        <v>588</v>
      </c>
      <c r="F387">
        <v>9.25</v>
      </c>
      <c r="G387">
        <v>8.76</v>
      </c>
      <c r="H387">
        <v>8.8800000000000008</v>
      </c>
      <c r="I387">
        <v>13.13</v>
      </c>
      <c r="J387">
        <v>12.96</v>
      </c>
      <c r="K387">
        <v>13.12</v>
      </c>
      <c r="L387">
        <v>72.75</v>
      </c>
      <c r="M387">
        <v>67.739999999999995</v>
      </c>
      <c r="N387">
        <v>68.44</v>
      </c>
      <c r="O387">
        <v>0.9</v>
      </c>
      <c r="P387">
        <v>2.76</v>
      </c>
      <c r="Q387">
        <v>1.67</v>
      </c>
      <c r="R387">
        <v>65.89</v>
      </c>
      <c r="S387">
        <v>69.87</v>
      </c>
      <c r="T387">
        <v>67.83</v>
      </c>
      <c r="U387">
        <v>84.88</v>
      </c>
      <c r="V387">
        <v>61.61</v>
      </c>
      <c r="W387">
        <v>73.25</v>
      </c>
      <c r="X387">
        <v>0.53500000000000003</v>
      </c>
      <c r="Y387">
        <v>93.11</v>
      </c>
      <c r="Z387">
        <v>5887.34</v>
      </c>
      <c r="AA387">
        <v>125719</v>
      </c>
    </row>
    <row r="388" spans="1:27" x14ac:dyDescent="0.35">
      <c r="A388" t="s">
        <v>414</v>
      </c>
      <c r="B388" t="s">
        <v>969</v>
      </c>
      <c r="C388" t="s">
        <v>412</v>
      </c>
      <c r="D388" t="str">
        <f t="shared" si="6"/>
        <v>72</v>
      </c>
      <c r="E388" t="s">
        <v>588</v>
      </c>
      <c r="F388">
        <v>9.15</v>
      </c>
      <c r="G388">
        <v>8.81</v>
      </c>
      <c r="H388">
        <v>8.94</v>
      </c>
      <c r="I388">
        <v>13.12</v>
      </c>
      <c r="J388">
        <v>13.63</v>
      </c>
      <c r="K388">
        <v>13.43</v>
      </c>
      <c r="L388">
        <v>77.349999999999994</v>
      </c>
      <c r="M388">
        <v>70.98</v>
      </c>
      <c r="N388">
        <v>73.44</v>
      </c>
      <c r="O388">
        <v>3.37</v>
      </c>
      <c r="P388">
        <v>2.62</v>
      </c>
      <c r="Q388">
        <v>3.07</v>
      </c>
      <c r="R388">
        <v>70.56</v>
      </c>
      <c r="S388">
        <v>74.58</v>
      </c>
      <c r="T388">
        <v>72.52</v>
      </c>
      <c r="U388">
        <v>89.45</v>
      </c>
      <c r="V388">
        <v>59.54</v>
      </c>
      <c r="W388">
        <v>74.5</v>
      </c>
      <c r="X388">
        <v>0.33600000000000002</v>
      </c>
      <c r="Y388">
        <v>91.76</v>
      </c>
      <c r="Z388">
        <v>44528.03</v>
      </c>
      <c r="AA388">
        <v>381405</v>
      </c>
    </row>
    <row r="389" spans="1:27" x14ac:dyDescent="0.35">
      <c r="A389" t="s">
        <v>415</v>
      </c>
      <c r="B389" t="s">
        <v>970</v>
      </c>
      <c r="C389" t="s">
        <v>412</v>
      </c>
      <c r="D389" t="str">
        <f t="shared" si="6"/>
        <v>72</v>
      </c>
      <c r="E389" t="s">
        <v>588</v>
      </c>
      <c r="F389">
        <v>9.76</v>
      </c>
      <c r="G389">
        <v>9.27</v>
      </c>
      <c r="H389">
        <v>9.39</v>
      </c>
      <c r="I389">
        <v>13.65</v>
      </c>
      <c r="J389">
        <v>13.4</v>
      </c>
      <c r="K389">
        <v>13.4</v>
      </c>
      <c r="L389">
        <v>79.709999999999994</v>
      </c>
      <c r="M389">
        <v>68.63</v>
      </c>
      <c r="N389">
        <v>74.7</v>
      </c>
      <c r="O389">
        <v>1.23</v>
      </c>
      <c r="P389">
        <v>7.67</v>
      </c>
      <c r="Q389">
        <v>2.81</v>
      </c>
      <c r="R389">
        <v>69.41</v>
      </c>
      <c r="S389">
        <v>73.38</v>
      </c>
      <c r="T389">
        <v>71.34</v>
      </c>
      <c r="U389">
        <v>88.29</v>
      </c>
      <c r="V389">
        <v>36.950000000000003</v>
      </c>
      <c r="W389">
        <v>62.62</v>
      </c>
      <c r="X389">
        <v>0.30199999999999999</v>
      </c>
      <c r="Y389">
        <v>86.1</v>
      </c>
      <c r="Z389">
        <v>188862.05</v>
      </c>
      <c r="AA389">
        <v>176083</v>
      </c>
    </row>
    <row r="390" spans="1:27" x14ac:dyDescent="0.35">
      <c r="A390" t="s">
        <v>416</v>
      </c>
      <c r="B390" t="s">
        <v>971</v>
      </c>
      <c r="C390" t="s">
        <v>412</v>
      </c>
      <c r="D390" t="str">
        <f t="shared" si="6"/>
        <v>72</v>
      </c>
      <c r="E390" t="s">
        <v>588</v>
      </c>
      <c r="F390">
        <v>9.91</v>
      </c>
      <c r="G390">
        <v>9.77</v>
      </c>
      <c r="H390">
        <v>9.84</v>
      </c>
      <c r="I390">
        <v>13.52</v>
      </c>
      <c r="J390">
        <v>14.34</v>
      </c>
      <c r="K390">
        <v>13.76</v>
      </c>
      <c r="L390">
        <v>76.03</v>
      </c>
      <c r="M390">
        <v>74.069999999999993</v>
      </c>
      <c r="N390">
        <v>74.55</v>
      </c>
      <c r="O390">
        <v>1.61</v>
      </c>
      <c r="P390">
        <v>2.0099999999999998</v>
      </c>
      <c r="Q390">
        <v>1.76</v>
      </c>
      <c r="R390">
        <v>71.23</v>
      </c>
      <c r="S390">
        <v>75.56</v>
      </c>
      <c r="T390">
        <v>73.34</v>
      </c>
      <c r="U390">
        <v>85.03</v>
      </c>
      <c r="V390">
        <v>55.5</v>
      </c>
      <c r="W390">
        <v>70.27</v>
      </c>
      <c r="X390">
        <v>0.38300000000000001</v>
      </c>
      <c r="Y390">
        <v>97.42</v>
      </c>
      <c r="Z390">
        <v>13817.09</v>
      </c>
      <c r="AA390">
        <v>256435</v>
      </c>
    </row>
    <row r="391" spans="1:27" x14ac:dyDescent="0.35">
      <c r="A391" t="s">
        <v>417</v>
      </c>
      <c r="B391" t="s">
        <v>972</v>
      </c>
      <c r="C391" t="s">
        <v>412</v>
      </c>
      <c r="D391" t="str">
        <f t="shared" si="6"/>
        <v>72</v>
      </c>
      <c r="E391" t="s">
        <v>588</v>
      </c>
      <c r="F391">
        <v>8.5299999999999994</v>
      </c>
      <c r="G391">
        <v>7.87</v>
      </c>
      <c r="H391">
        <v>8.01</v>
      </c>
      <c r="I391">
        <v>12.45</v>
      </c>
      <c r="J391">
        <v>13.13</v>
      </c>
      <c r="K391">
        <v>12.75</v>
      </c>
      <c r="L391">
        <v>73.2</v>
      </c>
      <c r="M391">
        <v>65.56</v>
      </c>
      <c r="N391">
        <v>69.23</v>
      </c>
      <c r="O391">
        <v>1.95</v>
      </c>
      <c r="P391">
        <v>4.25</v>
      </c>
      <c r="Q391">
        <v>2.78</v>
      </c>
      <c r="R391">
        <v>69.099999999999994</v>
      </c>
      <c r="S391">
        <v>73.06</v>
      </c>
      <c r="T391">
        <v>71.03</v>
      </c>
      <c r="U391">
        <v>86.24</v>
      </c>
      <c r="V391">
        <v>52.51</v>
      </c>
      <c r="W391">
        <v>69.38</v>
      </c>
      <c r="X391">
        <v>0.503</v>
      </c>
      <c r="Y391">
        <v>89.56</v>
      </c>
      <c r="Z391">
        <v>18222.02</v>
      </c>
      <c r="AA391">
        <v>313620</v>
      </c>
    </row>
    <row r="392" spans="1:27" x14ac:dyDescent="0.35">
      <c r="A392" t="s">
        <v>598</v>
      </c>
      <c r="B392" t="s">
        <v>973</v>
      </c>
      <c r="C392" t="s">
        <v>412</v>
      </c>
      <c r="D392" t="str">
        <f t="shared" si="6"/>
        <v>72</v>
      </c>
      <c r="E392" t="s">
        <v>588</v>
      </c>
      <c r="F392">
        <v>9.06</v>
      </c>
      <c r="G392">
        <v>8.8000000000000007</v>
      </c>
      <c r="H392">
        <v>9</v>
      </c>
      <c r="I392">
        <v>13.16</v>
      </c>
      <c r="J392">
        <v>13.56</v>
      </c>
      <c r="K392">
        <v>13.18</v>
      </c>
      <c r="L392">
        <v>74.900000000000006</v>
      </c>
      <c r="M392">
        <v>68.11</v>
      </c>
      <c r="N392">
        <v>71.09</v>
      </c>
      <c r="O392">
        <v>2.71</v>
      </c>
      <c r="P392">
        <v>3.76</v>
      </c>
      <c r="Q392">
        <v>3.09</v>
      </c>
      <c r="R392">
        <v>69.680000000000007</v>
      </c>
      <c r="S392">
        <v>73.66</v>
      </c>
      <c r="T392">
        <v>71.62</v>
      </c>
      <c r="U392">
        <v>85.67</v>
      </c>
      <c r="V392">
        <v>51.65</v>
      </c>
      <c r="W392">
        <v>68.66</v>
      </c>
      <c r="X392">
        <v>0.219</v>
      </c>
      <c r="Y392">
        <v>90.93</v>
      </c>
      <c r="Z392">
        <v>11900.53</v>
      </c>
      <c r="AA392">
        <v>236021</v>
      </c>
    </row>
    <row r="393" spans="1:27" x14ac:dyDescent="0.35">
      <c r="A393" t="s">
        <v>419</v>
      </c>
      <c r="B393" t="s">
        <v>974</v>
      </c>
      <c r="C393" t="s">
        <v>412</v>
      </c>
      <c r="D393" t="str">
        <f t="shared" si="6"/>
        <v>72</v>
      </c>
      <c r="E393" t="s">
        <v>588</v>
      </c>
      <c r="F393">
        <v>9.25</v>
      </c>
      <c r="G393">
        <v>9.2100000000000009</v>
      </c>
      <c r="H393">
        <v>9.2100000000000009</v>
      </c>
      <c r="I393">
        <v>13.17</v>
      </c>
      <c r="J393">
        <v>14.51</v>
      </c>
      <c r="K393">
        <v>13.19</v>
      </c>
      <c r="L393">
        <v>75.53</v>
      </c>
      <c r="M393">
        <v>68.62</v>
      </c>
      <c r="N393">
        <v>71.47</v>
      </c>
      <c r="O393">
        <v>3.09</v>
      </c>
      <c r="P393">
        <v>3.13</v>
      </c>
      <c r="Q393">
        <v>3.11</v>
      </c>
      <c r="R393">
        <v>69.680000000000007</v>
      </c>
      <c r="S393">
        <v>73.66</v>
      </c>
      <c r="T393">
        <v>71.62</v>
      </c>
      <c r="U393">
        <v>87.34</v>
      </c>
      <c r="V393">
        <v>56.55</v>
      </c>
      <c r="W393">
        <v>71.95</v>
      </c>
      <c r="X393">
        <v>0.30099999999999999</v>
      </c>
      <c r="Y393">
        <v>90.85</v>
      </c>
      <c r="Z393">
        <v>8652.51</v>
      </c>
      <c r="AA393">
        <v>154156</v>
      </c>
    </row>
    <row r="394" spans="1:27" x14ac:dyDescent="0.35">
      <c r="A394" t="s">
        <v>420</v>
      </c>
      <c r="B394" t="s">
        <v>975</v>
      </c>
      <c r="C394" t="s">
        <v>412</v>
      </c>
      <c r="D394" t="str">
        <f t="shared" si="6"/>
        <v>72</v>
      </c>
      <c r="E394" t="s">
        <v>588</v>
      </c>
      <c r="F394">
        <v>8.31</v>
      </c>
      <c r="G394">
        <v>8.0399999999999991</v>
      </c>
      <c r="H394">
        <v>8.07</v>
      </c>
      <c r="I394">
        <v>12.09</v>
      </c>
      <c r="J394">
        <v>13.04</v>
      </c>
      <c r="K394">
        <v>12.53</v>
      </c>
      <c r="L394">
        <v>72.67</v>
      </c>
      <c r="M394">
        <v>67.599999999999994</v>
      </c>
      <c r="N394">
        <v>69.989999999999995</v>
      </c>
      <c r="O394">
        <v>2.15</v>
      </c>
      <c r="P394">
        <v>2.02</v>
      </c>
      <c r="Q394">
        <v>2.1</v>
      </c>
      <c r="R394">
        <v>67.150000000000006</v>
      </c>
      <c r="S394">
        <v>71.12</v>
      </c>
      <c r="T394">
        <v>69.09</v>
      </c>
      <c r="U394">
        <v>87.17</v>
      </c>
      <c r="V394">
        <v>65.44</v>
      </c>
      <c r="W394">
        <v>76.31</v>
      </c>
      <c r="X394">
        <v>0.45</v>
      </c>
      <c r="Y394">
        <v>93.02</v>
      </c>
      <c r="Z394">
        <v>25512.38</v>
      </c>
      <c r="AA394">
        <v>464772</v>
      </c>
    </row>
    <row r="395" spans="1:27" x14ac:dyDescent="0.35">
      <c r="A395" t="s">
        <v>421</v>
      </c>
      <c r="B395" t="s">
        <v>976</v>
      </c>
      <c r="C395" t="s">
        <v>412</v>
      </c>
      <c r="D395" t="str">
        <f t="shared" si="6"/>
        <v>72</v>
      </c>
      <c r="E395" t="s">
        <v>588</v>
      </c>
      <c r="F395">
        <v>8.58</v>
      </c>
      <c r="G395">
        <v>8.75</v>
      </c>
      <c r="H395">
        <v>8.58</v>
      </c>
      <c r="I395">
        <v>12.6</v>
      </c>
      <c r="J395">
        <v>13.1</v>
      </c>
      <c r="K395">
        <v>12.62</v>
      </c>
      <c r="L395">
        <v>73.989999999999995</v>
      </c>
      <c r="M395">
        <v>68.319999999999993</v>
      </c>
      <c r="N395">
        <v>69.760000000000005</v>
      </c>
      <c r="O395">
        <v>2.77</v>
      </c>
      <c r="P395">
        <v>2.67</v>
      </c>
      <c r="Q395">
        <v>2.73</v>
      </c>
      <c r="R395">
        <v>69.37</v>
      </c>
      <c r="S395">
        <v>73.33</v>
      </c>
      <c r="T395">
        <v>71.3</v>
      </c>
      <c r="U395">
        <v>86.97</v>
      </c>
      <c r="V395">
        <v>62.19</v>
      </c>
      <c r="W395">
        <v>74.58</v>
      </c>
      <c r="X395">
        <v>0.52500000000000002</v>
      </c>
      <c r="Y395">
        <v>92.34</v>
      </c>
      <c r="Z395">
        <v>8035.37</v>
      </c>
      <c r="AA395">
        <v>172601</v>
      </c>
    </row>
    <row r="396" spans="1:27" x14ac:dyDescent="0.35">
      <c r="A396" t="s">
        <v>422</v>
      </c>
      <c r="B396" t="s">
        <v>977</v>
      </c>
      <c r="C396" t="s">
        <v>412</v>
      </c>
      <c r="D396" t="str">
        <f t="shared" si="6"/>
        <v>72</v>
      </c>
      <c r="E396" t="s">
        <v>588</v>
      </c>
      <c r="F396">
        <v>9.0500000000000007</v>
      </c>
      <c r="G396">
        <v>9.1</v>
      </c>
      <c r="H396">
        <v>9.0500000000000007</v>
      </c>
      <c r="I396">
        <v>13.04</v>
      </c>
      <c r="J396">
        <v>13.49</v>
      </c>
      <c r="K396">
        <v>13.3</v>
      </c>
      <c r="L396">
        <v>74.66</v>
      </c>
      <c r="M396">
        <v>70.72</v>
      </c>
      <c r="N396">
        <v>71.680000000000007</v>
      </c>
      <c r="O396">
        <v>1.9</v>
      </c>
      <c r="P396">
        <v>2.88</v>
      </c>
      <c r="Q396">
        <v>2.2999999999999998</v>
      </c>
      <c r="R396">
        <v>69.69</v>
      </c>
      <c r="S396">
        <v>73.67</v>
      </c>
      <c r="T396">
        <v>71.63</v>
      </c>
      <c r="U396">
        <v>87.92</v>
      </c>
      <c r="V396">
        <v>63.64</v>
      </c>
      <c r="W396">
        <v>75.78</v>
      </c>
      <c r="X396">
        <v>0.374</v>
      </c>
      <c r="Y396">
        <v>94.72</v>
      </c>
      <c r="Z396">
        <v>13589.21</v>
      </c>
      <c r="AA396">
        <v>273243</v>
      </c>
    </row>
    <row r="397" spans="1:27" x14ac:dyDescent="0.35">
      <c r="A397" t="s">
        <v>423</v>
      </c>
      <c r="B397" t="s">
        <v>978</v>
      </c>
      <c r="C397" t="s">
        <v>412</v>
      </c>
      <c r="D397" t="str">
        <f t="shared" si="6"/>
        <v>72</v>
      </c>
      <c r="E397" t="s">
        <v>588</v>
      </c>
      <c r="F397">
        <v>9.18</v>
      </c>
      <c r="G397">
        <v>8.36</v>
      </c>
      <c r="H397">
        <v>8.66</v>
      </c>
      <c r="I397">
        <v>13.08</v>
      </c>
      <c r="J397">
        <v>13.19</v>
      </c>
      <c r="K397">
        <v>13.17</v>
      </c>
      <c r="L397">
        <v>74.540000000000006</v>
      </c>
      <c r="M397">
        <v>69.400000000000006</v>
      </c>
      <c r="N397">
        <v>70.459999999999994</v>
      </c>
      <c r="O397">
        <v>3.21</v>
      </c>
      <c r="P397">
        <v>4.4000000000000004</v>
      </c>
      <c r="Q397">
        <v>3.69</v>
      </c>
      <c r="R397">
        <v>69.510000000000005</v>
      </c>
      <c r="S397">
        <v>73.489999999999995</v>
      </c>
      <c r="T397">
        <v>71.45</v>
      </c>
      <c r="U397">
        <v>81.64</v>
      </c>
      <c r="V397">
        <v>55.34</v>
      </c>
      <c r="W397">
        <v>68.489999999999995</v>
      </c>
      <c r="X397">
        <v>0.52400000000000002</v>
      </c>
      <c r="Y397">
        <v>93.1</v>
      </c>
      <c r="Z397">
        <v>3530.44</v>
      </c>
      <c r="AA397">
        <v>74937</v>
      </c>
    </row>
    <row r="398" spans="1:27" x14ac:dyDescent="0.35">
      <c r="A398" t="s">
        <v>424</v>
      </c>
      <c r="B398" t="s">
        <v>979</v>
      </c>
      <c r="C398" t="s">
        <v>412</v>
      </c>
      <c r="D398" t="str">
        <f t="shared" si="6"/>
        <v>72</v>
      </c>
      <c r="E398" t="s">
        <v>588</v>
      </c>
      <c r="F398">
        <v>9.39</v>
      </c>
      <c r="G398">
        <v>9.09</v>
      </c>
      <c r="H398">
        <v>9.14</v>
      </c>
      <c r="I398">
        <v>12.33</v>
      </c>
      <c r="J398">
        <v>13</v>
      </c>
      <c r="K398">
        <v>12.6</v>
      </c>
      <c r="L398">
        <v>74.11</v>
      </c>
      <c r="M398">
        <v>72.05</v>
      </c>
      <c r="N398">
        <v>72.16</v>
      </c>
      <c r="O398">
        <v>2.0299999999999998</v>
      </c>
      <c r="P398">
        <v>3.01</v>
      </c>
      <c r="Q398">
        <v>2.38</v>
      </c>
      <c r="R398">
        <v>70.64</v>
      </c>
      <c r="S398">
        <v>74.67</v>
      </c>
      <c r="T398">
        <v>72.61</v>
      </c>
      <c r="U398">
        <v>86.28</v>
      </c>
      <c r="V398">
        <v>52.88</v>
      </c>
      <c r="W398">
        <v>69.58</v>
      </c>
      <c r="X398">
        <v>0.372</v>
      </c>
      <c r="Y398">
        <v>97.22</v>
      </c>
      <c r="Z398">
        <v>37856.79</v>
      </c>
      <c r="AA398">
        <v>129638</v>
      </c>
    </row>
    <row r="399" spans="1:27" x14ac:dyDescent="0.35">
      <c r="A399" t="s">
        <v>425</v>
      </c>
      <c r="B399" t="s">
        <v>980</v>
      </c>
      <c r="C399" t="s">
        <v>412</v>
      </c>
      <c r="D399" t="str">
        <f t="shared" si="6"/>
        <v>72</v>
      </c>
      <c r="E399" t="s">
        <v>588</v>
      </c>
      <c r="F399">
        <v>12.12</v>
      </c>
      <c r="G399">
        <v>11.4</v>
      </c>
      <c r="H399">
        <v>11.76</v>
      </c>
      <c r="I399">
        <v>16.100000000000001</v>
      </c>
      <c r="J399">
        <v>16.98</v>
      </c>
      <c r="K399">
        <v>16.53</v>
      </c>
      <c r="L399">
        <v>85.07</v>
      </c>
      <c r="M399">
        <v>84.38</v>
      </c>
      <c r="N399">
        <v>84.53</v>
      </c>
      <c r="O399">
        <v>6.05</v>
      </c>
      <c r="P399">
        <v>5</v>
      </c>
      <c r="Q399">
        <v>5.59</v>
      </c>
      <c r="R399">
        <v>71.819999999999993</v>
      </c>
      <c r="S399">
        <v>76.8</v>
      </c>
      <c r="T399">
        <v>74.25</v>
      </c>
      <c r="U399">
        <v>79.56</v>
      </c>
      <c r="V399">
        <v>61.63</v>
      </c>
      <c r="W399">
        <v>70.599999999999994</v>
      </c>
      <c r="X399">
        <v>0.27200000000000002</v>
      </c>
      <c r="Y399">
        <v>99.19</v>
      </c>
      <c r="Z399">
        <v>35129.83</v>
      </c>
      <c r="AA399">
        <v>397472</v>
      </c>
    </row>
    <row r="400" spans="1:27" x14ac:dyDescent="0.35">
      <c r="A400" t="s">
        <v>427</v>
      </c>
      <c r="B400" t="s">
        <v>981</v>
      </c>
      <c r="C400" t="s">
        <v>426</v>
      </c>
      <c r="D400" t="str">
        <f t="shared" si="6"/>
        <v>73</v>
      </c>
      <c r="E400" t="s">
        <v>588</v>
      </c>
      <c r="F400">
        <v>8.85</v>
      </c>
      <c r="G400">
        <v>8.6300000000000008</v>
      </c>
      <c r="H400">
        <v>8.64</v>
      </c>
      <c r="I400">
        <v>12.64</v>
      </c>
      <c r="J400">
        <v>13.89</v>
      </c>
      <c r="K400">
        <v>12.96</v>
      </c>
      <c r="L400">
        <v>77.239999999999995</v>
      </c>
      <c r="M400">
        <v>72.209999999999994</v>
      </c>
      <c r="N400">
        <v>72.78</v>
      </c>
      <c r="O400">
        <v>2.76</v>
      </c>
      <c r="P400">
        <v>2.08</v>
      </c>
      <c r="Q400">
        <v>2.48</v>
      </c>
      <c r="R400">
        <v>71.52</v>
      </c>
      <c r="S400">
        <v>76.180000000000007</v>
      </c>
      <c r="T400">
        <v>73.790000000000006</v>
      </c>
      <c r="U400">
        <v>81.95</v>
      </c>
      <c r="V400">
        <v>53.73</v>
      </c>
      <c r="W400">
        <v>67.84</v>
      </c>
      <c r="X400">
        <v>0.40799999999999997</v>
      </c>
      <c r="Y400">
        <v>93.49</v>
      </c>
      <c r="Z400">
        <v>8958.66</v>
      </c>
      <c r="AA400">
        <v>144232</v>
      </c>
    </row>
    <row r="401" spans="1:27" x14ac:dyDescent="0.35">
      <c r="A401" t="s">
        <v>428</v>
      </c>
      <c r="B401" t="s">
        <v>982</v>
      </c>
      <c r="C401" t="s">
        <v>426</v>
      </c>
      <c r="D401" t="str">
        <f t="shared" si="6"/>
        <v>73</v>
      </c>
      <c r="E401" t="s">
        <v>588</v>
      </c>
      <c r="F401">
        <v>8.76</v>
      </c>
      <c r="G401">
        <v>8.61</v>
      </c>
      <c r="H401">
        <v>8.66</v>
      </c>
      <c r="I401">
        <v>13.23</v>
      </c>
      <c r="J401">
        <v>13.64</v>
      </c>
      <c r="K401">
        <v>13.46</v>
      </c>
      <c r="L401">
        <v>77.59</v>
      </c>
      <c r="M401">
        <v>75.180000000000007</v>
      </c>
      <c r="N401">
        <v>75.260000000000005</v>
      </c>
      <c r="O401">
        <v>2.75</v>
      </c>
      <c r="P401">
        <v>1.32</v>
      </c>
      <c r="Q401">
        <v>2.12</v>
      </c>
      <c r="R401">
        <v>71.94</v>
      </c>
      <c r="S401">
        <v>77.05</v>
      </c>
      <c r="T401">
        <v>74.430000000000007</v>
      </c>
      <c r="U401">
        <v>87.28</v>
      </c>
      <c r="V401">
        <v>63.86</v>
      </c>
      <c r="W401">
        <v>75.569999999999993</v>
      </c>
      <c r="X401">
        <v>0.26900000000000002</v>
      </c>
      <c r="Y401">
        <v>96.89</v>
      </c>
      <c r="Z401">
        <v>21625.16</v>
      </c>
      <c r="AA401">
        <v>458997</v>
      </c>
    </row>
    <row r="402" spans="1:27" x14ac:dyDescent="0.35">
      <c r="A402" t="s">
        <v>429</v>
      </c>
      <c r="B402" t="s">
        <v>983</v>
      </c>
      <c r="C402" t="s">
        <v>426</v>
      </c>
      <c r="D402" t="str">
        <f t="shared" si="6"/>
        <v>73</v>
      </c>
      <c r="E402" t="s">
        <v>588</v>
      </c>
      <c r="F402">
        <v>7.66</v>
      </c>
      <c r="G402">
        <v>7.43</v>
      </c>
      <c r="H402">
        <v>7.43</v>
      </c>
      <c r="I402">
        <v>12.87</v>
      </c>
      <c r="J402">
        <v>12.93</v>
      </c>
      <c r="K402">
        <v>12.92</v>
      </c>
      <c r="L402">
        <v>73.94</v>
      </c>
      <c r="M402">
        <v>70.77</v>
      </c>
      <c r="N402">
        <v>73.12</v>
      </c>
      <c r="O402">
        <v>3.85</v>
      </c>
      <c r="P402">
        <v>3.59</v>
      </c>
      <c r="Q402">
        <v>3.74</v>
      </c>
      <c r="R402">
        <v>71.08</v>
      </c>
      <c r="S402">
        <v>75.25</v>
      </c>
      <c r="T402">
        <v>73.11</v>
      </c>
      <c r="U402">
        <v>87.65</v>
      </c>
      <c r="V402">
        <v>65.27</v>
      </c>
      <c r="W402">
        <v>76.459999999999994</v>
      </c>
      <c r="X402">
        <v>0.42499999999999999</v>
      </c>
      <c r="Y402">
        <v>95.71</v>
      </c>
      <c r="Z402">
        <v>14247.82</v>
      </c>
      <c r="AA402">
        <v>207651</v>
      </c>
    </row>
    <row r="403" spans="1:27" x14ac:dyDescent="0.35">
      <c r="A403" t="s">
        <v>430</v>
      </c>
      <c r="B403" t="s">
        <v>984</v>
      </c>
      <c r="C403" t="s">
        <v>426</v>
      </c>
      <c r="D403" t="str">
        <f t="shared" si="6"/>
        <v>73</v>
      </c>
      <c r="E403" t="s">
        <v>588</v>
      </c>
      <c r="F403">
        <v>6.99</v>
      </c>
      <c r="G403">
        <v>7.02</v>
      </c>
      <c r="H403">
        <v>7.02</v>
      </c>
      <c r="I403">
        <v>12.4</v>
      </c>
      <c r="J403">
        <v>12.17</v>
      </c>
      <c r="K403">
        <v>12.28</v>
      </c>
      <c r="L403">
        <v>74.3</v>
      </c>
      <c r="M403">
        <v>69.12</v>
      </c>
      <c r="N403">
        <v>70.25</v>
      </c>
      <c r="O403">
        <v>2.48</v>
      </c>
      <c r="P403">
        <v>1.01</v>
      </c>
      <c r="Q403">
        <v>1.88</v>
      </c>
      <c r="R403">
        <v>71.84</v>
      </c>
      <c r="S403">
        <v>76.84</v>
      </c>
      <c r="T403">
        <v>74.28</v>
      </c>
      <c r="U403">
        <v>86.64</v>
      </c>
      <c r="V403">
        <v>57.49</v>
      </c>
      <c r="W403">
        <v>72.069999999999993</v>
      </c>
      <c r="X403">
        <v>0.20899999999999999</v>
      </c>
      <c r="Y403">
        <v>93.03</v>
      </c>
      <c r="Z403">
        <v>14441.63</v>
      </c>
      <c r="AA403">
        <v>423370</v>
      </c>
    </row>
    <row r="404" spans="1:27" x14ac:dyDescent="0.35">
      <c r="A404" t="s">
        <v>431</v>
      </c>
      <c r="B404" t="s">
        <v>985</v>
      </c>
      <c r="C404" t="s">
        <v>426</v>
      </c>
      <c r="D404" t="str">
        <f t="shared" si="6"/>
        <v>73</v>
      </c>
      <c r="E404" t="s">
        <v>588</v>
      </c>
      <c r="F404">
        <v>7.99</v>
      </c>
      <c r="G404">
        <v>7.77</v>
      </c>
      <c r="H404">
        <v>7.84</v>
      </c>
      <c r="I404">
        <v>12.61</v>
      </c>
      <c r="J404">
        <v>12.97</v>
      </c>
      <c r="K404">
        <v>12.62</v>
      </c>
      <c r="L404">
        <v>77.040000000000006</v>
      </c>
      <c r="M404">
        <v>68.61</v>
      </c>
      <c r="N404">
        <v>72.790000000000006</v>
      </c>
      <c r="O404">
        <v>3.4</v>
      </c>
      <c r="P404">
        <v>4.3</v>
      </c>
      <c r="Q404">
        <v>3.76</v>
      </c>
      <c r="R404">
        <v>71.709999999999994</v>
      </c>
      <c r="S404">
        <v>76.569999999999993</v>
      </c>
      <c r="T404">
        <v>74.08</v>
      </c>
      <c r="U404">
        <v>86.89</v>
      </c>
      <c r="V404">
        <v>53.63</v>
      </c>
      <c r="W404">
        <v>70.260000000000005</v>
      </c>
      <c r="X404">
        <v>0.307</v>
      </c>
      <c r="Y404">
        <v>89.06</v>
      </c>
      <c r="Z404">
        <v>14390.57</v>
      </c>
      <c r="AA404">
        <v>321144</v>
      </c>
    </row>
    <row r="405" spans="1:27" x14ac:dyDescent="0.35">
      <c r="A405" t="s">
        <v>432</v>
      </c>
      <c r="B405" t="s">
        <v>986</v>
      </c>
      <c r="C405" t="s">
        <v>426</v>
      </c>
      <c r="D405" t="str">
        <f t="shared" si="6"/>
        <v>73</v>
      </c>
      <c r="E405" t="s">
        <v>588</v>
      </c>
      <c r="F405">
        <v>8.67</v>
      </c>
      <c r="G405">
        <v>8.4499999999999993</v>
      </c>
      <c r="H405">
        <v>8.5399999999999991</v>
      </c>
      <c r="I405">
        <v>13.51</v>
      </c>
      <c r="J405">
        <v>14.13</v>
      </c>
      <c r="K405">
        <v>13.72</v>
      </c>
      <c r="L405">
        <v>78.36</v>
      </c>
      <c r="M405">
        <v>70.260000000000005</v>
      </c>
      <c r="N405">
        <v>74.22</v>
      </c>
      <c r="O405">
        <v>3.56</v>
      </c>
      <c r="P405">
        <v>5.38</v>
      </c>
      <c r="Q405">
        <v>4.25</v>
      </c>
      <c r="R405">
        <v>71.94</v>
      </c>
      <c r="S405">
        <v>77.05</v>
      </c>
      <c r="T405">
        <v>74.430000000000007</v>
      </c>
      <c r="U405">
        <v>85.81</v>
      </c>
      <c r="V405">
        <v>51.22</v>
      </c>
      <c r="W405">
        <v>68.52</v>
      </c>
      <c r="X405">
        <v>0.26</v>
      </c>
      <c r="Y405">
        <v>89.66</v>
      </c>
      <c r="Z405">
        <v>34196.68</v>
      </c>
      <c r="AA405">
        <v>826957</v>
      </c>
    </row>
    <row r="406" spans="1:27" x14ac:dyDescent="0.35">
      <c r="A406" t="s">
        <v>433</v>
      </c>
      <c r="B406" t="s">
        <v>987</v>
      </c>
      <c r="C406" t="s">
        <v>426</v>
      </c>
      <c r="D406" t="str">
        <f t="shared" si="6"/>
        <v>73</v>
      </c>
      <c r="E406" t="s">
        <v>588</v>
      </c>
      <c r="F406">
        <v>8.14</v>
      </c>
      <c r="G406">
        <v>7.97</v>
      </c>
      <c r="H406">
        <v>7.97</v>
      </c>
      <c r="I406">
        <v>13.38</v>
      </c>
      <c r="J406">
        <v>13.88</v>
      </c>
      <c r="K406">
        <v>13.46</v>
      </c>
      <c r="L406">
        <v>73.78</v>
      </c>
      <c r="M406">
        <v>72.66</v>
      </c>
      <c r="N406">
        <v>72.760000000000005</v>
      </c>
      <c r="O406">
        <v>2.62</v>
      </c>
      <c r="P406">
        <v>1.46</v>
      </c>
      <c r="Q406">
        <v>2.1</v>
      </c>
      <c r="R406">
        <v>71.239999999999995</v>
      </c>
      <c r="S406">
        <v>75.59</v>
      </c>
      <c r="T406">
        <v>73.36</v>
      </c>
      <c r="U406">
        <v>88.05</v>
      </c>
      <c r="V406">
        <v>71.150000000000006</v>
      </c>
      <c r="W406">
        <v>79.599999999999994</v>
      </c>
      <c r="X406">
        <v>0.379</v>
      </c>
      <c r="Y406">
        <v>98.48</v>
      </c>
      <c r="Z406">
        <v>17618.2</v>
      </c>
      <c r="AA406">
        <v>273313</v>
      </c>
    </row>
    <row r="407" spans="1:27" x14ac:dyDescent="0.35">
      <c r="A407" t="s">
        <v>434</v>
      </c>
      <c r="B407" t="s">
        <v>988</v>
      </c>
      <c r="C407" t="s">
        <v>426</v>
      </c>
      <c r="D407" t="str">
        <f t="shared" si="6"/>
        <v>73</v>
      </c>
      <c r="E407" t="s">
        <v>588</v>
      </c>
      <c r="F407">
        <v>8.7799999999999994</v>
      </c>
      <c r="G407">
        <v>7.99</v>
      </c>
      <c r="H407">
        <v>8.1999999999999993</v>
      </c>
      <c r="I407">
        <v>13.44</v>
      </c>
      <c r="J407">
        <v>13.65</v>
      </c>
      <c r="K407">
        <v>13.52</v>
      </c>
      <c r="L407">
        <v>79.48</v>
      </c>
      <c r="M407">
        <v>71.72</v>
      </c>
      <c r="N407">
        <v>74.790000000000006</v>
      </c>
      <c r="O407">
        <v>3.95</v>
      </c>
      <c r="P407">
        <v>4.4000000000000004</v>
      </c>
      <c r="Q407">
        <v>4.13</v>
      </c>
      <c r="R407">
        <v>71.72</v>
      </c>
      <c r="S407">
        <v>76.599999999999994</v>
      </c>
      <c r="T407">
        <v>74.099999999999994</v>
      </c>
      <c r="U407">
        <v>81.77</v>
      </c>
      <c r="V407">
        <v>51.65</v>
      </c>
      <c r="W407">
        <v>66.709999999999994</v>
      </c>
      <c r="X407">
        <v>0.251</v>
      </c>
      <c r="Y407">
        <v>90.24</v>
      </c>
      <c r="Z407">
        <v>29910.42</v>
      </c>
      <c r="AA407">
        <v>419148</v>
      </c>
    </row>
    <row r="408" spans="1:27" x14ac:dyDescent="0.35">
      <c r="A408" t="s">
        <v>435</v>
      </c>
      <c r="B408" t="s">
        <v>989</v>
      </c>
      <c r="C408" t="s">
        <v>426</v>
      </c>
      <c r="D408" t="str">
        <f t="shared" si="6"/>
        <v>73</v>
      </c>
      <c r="E408" t="s">
        <v>588</v>
      </c>
      <c r="F408">
        <v>8.75</v>
      </c>
      <c r="G408">
        <v>8.4</v>
      </c>
      <c r="H408">
        <v>8.48</v>
      </c>
      <c r="I408">
        <v>12.7</v>
      </c>
      <c r="J408">
        <v>13.28</v>
      </c>
      <c r="K408">
        <v>12.94</v>
      </c>
      <c r="L408">
        <v>78.88</v>
      </c>
      <c r="M408">
        <v>72.84</v>
      </c>
      <c r="N408">
        <v>74.62</v>
      </c>
      <c r="O408">
        <v>3.6</v>
      </c>
      <c r="P408">
        <v>4.34</v>
      </c>
      <c r="Q408">
        <v>3.9</v>
      </c>
      <c r="R408">
        <v>71.319999999999993</v>
      </c>
      <c r="S408">
        <v>75.75</v>
      </c>
      <c r="T408">
        <v>73.48</v>
      </c>
      <c r="U408">
        <v>83.69</v>
      </c>
      <c r="V408">
        <v>54.52</v>
      </c>
      <c r="W408">
        <v>69.11</v>
      </c>
      <c r="X408">
        <v>0.246</v>
      </c>
      <c r="Y408">
        <v>92.34</v>
      </c>
      <c r="Z408">
        <v>37972.39</v>
      </c>
      <c r="AA408">
        <v>362692</v>
      </c>
    </row>
    <row r="409" spans="1:27" x14ac:dyDescent="0.35">
      <c r="A409" t="s">
        <v>436</v>
      </c>
      <c r="B409" t="s">
        <v>990</v>
      </c>
      <c r="C409" t="s">
        <v>426</v>
      </c>
      <c r="D409" t="str">
        <f t="shared" si="6"/>
        <v>73</v>
      </c>
      <c r="E409" t="s">
        <v>588</v>
      </c>
      <c r="F409">
        <v>8.9700000000000006</v>
      </c>
      <c r="G409">
        <v>8.85</v>
      </c>
      <c r="H409">
        <v>8.93</v>
      </c>
      <c r="I409">
        <v>13.74</v>
      </c>
      <c r="J409">
        <v>13.97</v>
      </c>
      <c r="K409">
        <v>13.76</v>
      </c>
      <c r="L409">
        <v>78.02</v>
      </c>
      <c r="M409">
        <v>75.05</v>
      </c>
      <c r="N409">
        <v>75.41</v>
      </c>
      <c r="O409">
        <v>4.49</v>
      </c>
      <c r="P409">
        <v>6.03</v>
      </c>
      <c r="Q409">
        <v>5.07</v>
      </c>
      <c r="R409">
        <v>71.12</v>
      </c>
      <c r="S409">
        <v>75.34</v>
      </c>
      <c r="T409">
        <v>73.180000000000007</v>
      </c>
      <c r="U409">
        <v>82.14</v>
      </c>
      <c r="V409">
        <v>46.79</v>
      </c>
      <c r="W409">
        <v>64.47</v>
      </c>
      <c r="X409">
        <v>0.186</v>
      </c>
      <c r="Y409">
        <v>96.19</v>
      </c>
      <c r="Z409">
        <v>10740.51</v>
      </c>
      <c r="AA409">
        <v>190465</v>
      </c>
    </row>
    <row r="410" spans="1:27" x14ac:dyDescent="0.35">
      <c r="A410" t="s">
        <v>437</v>
      </c>
      <c r="B410" t="s">
        <v>991</v>
      </c>
      <c r="C410" t="s">
        <v>426</v>
      </c>
      <c r="D410" t="str">
        <f t="shared" si="6"/>
        <v>73</v>
      </c>
      <c r="E410" t="s">
        <v>588</v>
      </c>
      <c r="F410">
        <v>7.82</v>
      </c>
      <c r="G410">
        <v>7.7</v>
      </c>
      <c r="H410">
        <v>7.7</v>
      </c>
      <c r="I410">
        <v>12.57</v>
      </c>
      <c r="J410">
        <v>13.63</v>
      </c>
      <c r="K410">
        <v>13.03</v>
      </c>
      <c r="L410">
        <v>74.900000000000006</v>
      </c>
      <c r="M410">
        <v>70.709999999999994</v>
      </c>
      <c r="N410">
        <v>71.63</v>
      </c>
      <c r="O410">
        <v>3.4</v>
      </c>
      <c r="P410">
        <v>1.68</v>
      </c>
      <c r="Q410">
        <v>2.75</v>
      </c>
      <c r="R410">
        <v>71.55</v>
      </c>
      <c r="S410">
        <v>76.239999999999995</v>
      </c>
      <c r="T410">
        <v>73.84</v>
      </c>
      <c r="U410">
        <v>83</v>
      </c>
      <c r="V410">
        <v>46.99</v>
      </c>
      <c r="W410">
        <v>65</v>
      </c>
      <c r="X410">
        <v>0.42699999999999999</v>
      </c>
      <c r="Y410">
        <v>94.41</v>
      </c>
      <c r="Z410">
        <v>54209.29</v>
      </c>
      <c r="AA410">
        <v>837104</v>
      </c>
    </row>
    <row r="411" spans="1:27" x14ac:dyDescent="0.35">
      <c r="A411" t="s">
        <v>438</v>
      </c>
      <c r="B411" t="s">
        <v>992</v>
      </c>
      <c r="C411" t="s">
        <v>426</v>
      </c>
      <c r="D411" t="str">
        <f t="shared" si="6"/>
        <v>73</v>
      </c>
      <c r="E411" t="s">
        <v>588</v>
      </c>
      <c r="F411">
        <v>8.5500000000000007</v>
      </c>
      <c r="G411">
        <v>8.73</v>
      </c>
      <c r="H411">
        <v>8.59</v>
      </c>
      <c r="I411">
        <v>13.38</v>
      </c>
      <c r="J411">
        <v>13.52</v>
      </c>
      <c r="K411">
        <v>13.4</v>
      </c>
      <c r="L411">
        <v>74.97</v>
      </c>
      <c r="M411">
        <v>73.48</v>
      </c>
      <c r="N411">
        <v>73.69</v>
      </c>
      <c r="O411">
        <v>3.83</v>
      </c>
      <c r="P411">
        <v>4.29</v>
      </c>
      <c r="Q411">
        <v>4.01</v>
      </c>
      <c r="R411">
        <v>71.790000000000006</v>
      </c>
      <c r="S411">
        <v>76.739999999999995</v>
      </c>
      <c r="T411">
        <v>74.209999999999994</v>
      </c>
      <c r="U411">
        <v>77.760000000000005</v>
      </c>
      <c r="V411">
        <v>44.92</v>
      </c>
      <c r="W411">
        <v>61.34</v>
      </c>
      <c r="X411">
        <v>0.28100000000000003</v>
      </c>
      <c r="Y411">
        <v>98.01</v>
      </c>
      <c r="Z411">
        <v>17397.8</v>
      </c>
      <c r="AA411">
        <v>240424</v>
      </c>
    </row>
    <row r="412" spans="1:27" x14ac:dyDescent="0.35">
      <c r="A412" t="s">
        <v>439</v>
      </c>
      <c r="B412" t="s">
        <v>993</v>
      </c>
      <c r="C412" t="s">
        <v>426</v>
      </c>
      <c r="D412" t="str">
        <f t="shared" si="6"/>
        <v>73</v>
      </c>
      <c r="E412" t="s">
        <v>588</v>
      </c>
      <c r="F412">
        <v>7.84</v>
      </c>
      <c r="G412">
        <v>7.35</v>
      </c>
      <c r="H412">
        <v>7.72</v>
      </c>
      <c r="I412">
        <v>13.28</v>
      </c>
      <c r="J412">
        <v>13.72</v>
      </c>
      <c r="K412">
        <v>13.34</v>
      </c>
      <c r="L412">
        <v>79.180000000000007</v>
      </c>
      <c r="M412">
        <v>72.06</v>
      </c>
      <c r="N412">
        <v>74.72</v>
      </c>
      <c r="O412">
        <v>4.13</v>
      </c>
      <c r="P412">
        <v>2.5099999999999998</v>
      </c>
      <c r="Q412">
        <v>3.47</v>
      </c>
      <c r="R412">
        <v>71.510000000000005</v>
      </c>
      <c r="S412">
        <v>76.150000000000006</v>
      </c>
      <c r="T412">
        <v>73.77</v>
      </c>
      <c r="U412">
        <v>82.58</v>
      </c>
      <c r="V412">
        <v>53.05</v>
      </c>
      <c r="W412">
        <v>67.819999999999993</v>
      </c>
      <c r="X412">
        <v>0.39900000000000002</v>
      </c>
      <c r="Y412">
        <v>91.01</v>
      </c>
      <c r="Z412">
        <v>28755.53</v>
      </c>
      <c r="AA412">
        <v>391456</v>
      </c>
    </row>
    <row r="413" spans="1:27" x14ac:dyDescent="0.35">
      <c r="A413" t="s">
        <v>440</v>
      </c>
      <c r="B413" t="s">
        <v>994</v>
      </c>
      <c r="C413" t="s">
        <v>426</v>
      </c>
      <c r="D413" t="str">
        <f t="shared" si="6"/>
        <v>73</v>
      </c>
      <c r="E413" t="s">
        <v>588</v>
      </c>
      <c r="F413">
        <v>8.5299999999999994</v>
      </c>
      <c r="G413">
        <v>8.3000000000000007</v>
      </c>
      <c r="H413">
        <v>8.36</v>
      </c>
      <c r="I413">
        <v>12.75</v>
      </c>
      <c r="J413">
        <v>13.64</v>
      </c>
      <c r="K413">
        <v>13.11</v>
      </c>
      <c r="L413">
        <v>79.180000000000007</v>
      </c>
      <c r="M413">
        <v>74.23</v>
      </c>
      <c r="N413">
        <v>75.489999999999995</v>
      </c>
      <c r="O413">
        <v>4.01</v>
      </c>
      <c r="P413">
        <v>2.02</v>
      </c>
      <c r="Q413">
        <v>3.36</v>
      </c>
      <c r="R413">
        <v>72.099999999999994</v>
      </c>
      <c r="S413">
        <v>77.400000000000006</v>
      </c>
      <c r="T413">
        <v>74.69</v>
      </c>
      <c r="U413">
        <v>79.91</v>
      </c>
      <c r="V413">
        <v>37.03</v>
      </c>
      <c r="W413">
        <v>58.47</v>
      </c>
      <c r="X413">
        <v>0.373</v>
      </c>
      <c r="Y413">
        <v>93.75</v>
      </c>
      <c r="Z413">
        <v>21727.93</v>
      </c>
      <c r="AA413">
        <v>333524</v>
      </c>
    </row>
    <row r="414" spans="1:27" x14ac:dyDescent="0.35">
      <c r="A414" t="s">
        <v>441</v>
      </c>
      <c r="B414" t="s">
        <v>995</v>
      </c>
      <c r="C414" t="s">
        <v>426</v>
      </c>
      <c r="D414" t="str">
        <f t="shared" si="6"/>
        <v>73</v>
      </c>
      <c r="E414" t="s">
        <v>588</v>
      </c>
      <c r="F414">
        <v>8.69</v>
      </c>
      <c r="G414">
        <v>8.35</v>
      </c>
      <c r="H414">
        <v>8.5399999999999991</v>
      </c>
      <c r="I414">
        <v>12.61</v>
      </c>
      <c r="J414">
        <v>14.07</v>
      </c>
      <c r="K414">
        <v>13.29</v>
      </c>
      <c r="L414">
        <v>77.709999999999994</v>
      </c>
      <c r="M414">
        <v>75.349999999999994</v>
      </c>
      <c r="N414">
        <v>75.87</v>
      </c>
      <c r="O414">
        <v>3.16</v>
      </c>
      <c r="P414">
        <v>4.5199999999999996</v>
      </c>
      <c r="Q414">
        <v>3.65</v>
      </c>
      <c r="R414">
        <v>72.239999999999995</v>
      </c>
      <c r="S414">
        <v>77.63</v>
      </c>
      <c r="T414">
        <v>74.87</v>
      </c>
      <c r="U414">
        <v>81.48</v>
      </c>
      <c r="V414">
        <v>44.86</v>
      </c>
      <c r="W414">
        <v>63.17</v>
      </c>
      <c r="X414">
        <v>0.27300000000000002</v>
      </c>
      <c r="Y414">
        <v>96.96</v>
      </c>
      <c r="Z414">
        <v>28756.99</v>
      </c>
      <c r="AA414">
        <v>429891</v>
      </c>
    </row>
    <row r="415" spans="1:27" x14ac:dyDescent="0.35">
      <c r="A415" t="s">
        <v>442</v>
      </c>
      <c r="B415" t="s">
        <v>996</v>
      </c>
      <c r="C415" t="s">
        <v>426</v>
      </c>
      <c r="D415" t="str">
        <f t="shared" si="6"/>
        <v>73</v>
      </c>
      <c r="E415" t="s">
        <v>588</v>
      </c>
      <c r="F415">
        <v>9.4600000000000009</v>
      </c>
      <c r="G415">
        <v>9</v>
      </c>
      <c r="H415">
        <v>9.26</v>
      </c>
      <c r="I415">
        <v>13.9</v>
      </c>
      <c r="J415">
        <v>14.43</v>
      </c>
      <c r="K415">
        <v>13.9</v>
      </c>
      <c r="L415">
        <v>77.06</v>
      </c>
      <c r="M415">
        <v>76.13</v>
      </c>
      <c r="N415">
        <v>76.5</v>
      </c>
      <c r="O415">
        <v>1.98</v>
      </c>
      <c r="P415">
        <v>1.53</v>
      </c>
      <c r="Q415">
        <v>1.78</v>
      </c>
      <c r="R415">
        <v>71.849999999999994</v>
      </c>
      <c r="S415">
        <v>76.87</v>
      </c>
      <c r="T415">
        <v>74.3</v>
      </c>
      <c r="U415">
        <v>86.2</v>
      </c>
      <c r="V415">
        <v>68.239999999999995</v>
      </c>
      <c r="W415">
        <v>77.22</v>
      </c>
      <c r="X415">
        <v>0.33300000000000002</v>
      </c>
      <c r="Y415">
        <v>98.79</v>
      </c>
      <c r="Z415">
        <v>11341.4</v>
      </c>
      <c r="AA415">
        <v>241667</v>
      </c>
    </row>
    <row r="416" spans="1:27" x14ac:dyDescent="0.35">
      <c r="A416" t="s">
        <v>443</v>
      </c>
      <c r="B416" t="s">
        <v>997</v>
      </c>
      <c r="C416" t="s">
        <v>426</v>
      </c>
      <c r="D416" t="str">
        <f t="shared" si="6"/>
        <v>73</v>
      </c>
      <c r="E416" t="s">
        <v>588</v>
      </c>
      <c r="F416">
        <v>9.01</v>
      </c>
      <c r="G416">
        <v>8.9</v>
      </c>
      <c r="H416">
        <v>8.9600000000000009</v>
      </c>
      <c r="I416">
        <v>13.09</v>
      </c>
      <c r="J416">
        <v>13.82</v>
      </c>
      <c r="K416">
        <v>13.44</v>
      </c>
      <c r="L416">
        <v>77.84</v>
      </c>
      <c r="M416">
        <v>72.92</v>
      </c>
      <c r="N416">
        <v>74.66</v>
      </c>
      <c r="O416">
        <v>3.39</v>
      </c>
      <c r="P416">
        <v>4.2300000000000004</v>
      </c>
      <c r="Q416">
        <v>3.71</v>
      </c>
      <c r="R416">
        <v>71.56</v>
      </c>
      <c r="S416">
        <v>76.25</v>
      </c>
      <c r="T416">
        <v>73.849999999999994</v>
      </c>
      <c r="U416">
        <v>83.59</v>
      </c>
      <c r="V416">
        <v>51.72</v>
      </c>
      <c r="W416">
        <v>67.66</v>
      </c>
      <c r="X416">
        <v>0.48199999999999998</v>
      </c>
      <c r="Y416">
        <v>93.68</v>
      </c>
      <c r="Z416">
        <v>24699.39</v>
      </c>
      <c r="AA416">
        <v>389256</v>
      </c>
    </row>
    <row r="417" spans="1:27" x14ac:dyDescent="0.35">
      <c r="A417" t="s">
        <v>444</v>
      </c>
      <c r="B417" t="s">
        <v>998</v>
      </c>
      <c r="C417" t="s">
        <v>426</v>
      </c>
      <c r="D417" t="str">
        <f t="shared" si="6"/>
        <v>73</v>
      </c>
      <c r="E417" t="s">
        <v>588</v>
      </c>
      <c r="F417">
        <v>9.07</v>
      </c>
      <c r="G417">
        <v>8.83</v>
      </c>
      <c r="H417">
        <v>8.92</v>
      </c>
      <c r="I417">
        <v>14.25</v>
      </c>
      <c r="J417">
        <v>14.57</v>
      </c>
      <c r="K417">
        <v>14.25</v>
      </c>
      <c r="L417">
        <v>77.02</v>
      </c>
      <c r="M417">
        <v>69.180000000000007</v>
      </c>
      <c r="N417">
        <v>72.77</v>
      </c>
      <c r="O417">
        <v>2.46</v>
      </c>
      <c r="P417">
        <v>4.6399999999999997</v>
      </c>
      <c r="Q417">
        <v>3.44</v>
      </c>
      <c r="R417">
        <v>73.16</v>
      </c>
      <c r="S417">
        <v>77.989999999999995</v>
      </c>
      <c r="T417">
        <v>75.17</v>
      </c>
      <c r="U417">
        <v>81.900000000000006</v>
      </c>
      <c r="V417">
        <v>71.59</v>
      </c>
      <c r="W417">
        <v>76.75</v>
      </c>
      <c r="X417">
        <v>0.495</v>
      </c>
      <c r="Y417">
        <v>89.82</v>
      </c>
      <c r="Z417">
        <v>10923.13</v>
      </c>
      <c r="AA417">
        <v>295345</v>
      </c>
    </row>
    <row r="418" spans="1:27" x14ac:dyDescent="0.35">
      <c r="A418" t="s">
        <v>445</v>
      </c>
      <c r="B418" t="s">
        <v>999</v>
      </c>
      <c r="C418" t="s">
        <v>426</v>
      </c>
      <c r="D418" t="str">
        <f t="shared" si="6"/>
        <v>73</v>
      </c>
      <c r="E418" t="s">
        <v>588</v>
      </c>
      <c r="F418">
        <v>8.6999999999999993</v>
      </c>
      <c r="G418">
        <v>8.34</v>
      </c>
      <c r="H418">
        <v>8.51</v>
      </c>
      <c r="I418">
        <v>12.61</v>
      </c>
      <c r="J418">
        <v>12.8</v>
      </c>
      <c r="K418">
        <v>12.63</v>
      </c>
      <c r="L418">
        <v>78.14</v>
      </c>
      <c r="M418">
        <v>71.25</v>
      </c>
      <c r="N418">
        <v>74.81</v>
      </c>
      <c r="O418">
        <v>2.23</v>
      </c>
      <c r="P418">
        <v>2.2599999999999998</v>
      </c>
      <c r="Q418">
        <v>2.2400000000000002</v>
      </c>
      <c r="R418">
        <v>71.819999999999993</v>
      </c>
      <c r="S418">
        <v>76.8</v>
      </c>
      <c r="T418">
        <v>74.25</v>
      </c>
      <c r="U418">
        <v>86.34</v>
      </c>
      <c r="V418">
        <v>60.12</v>
      </c>
      <c r="W418">
        <v>73.23</v>
      </c>
      <c r="X418">
        <v>0.41099999999999998</v>
      </c>
      <c r="Y418">
        <v>91.18</v>
      </c>
      <c r="Z418">
        <v>22042</v>
      </c>
      <c r="AA418">
        <v>341516</v>
      </c>
    </row>
    <row r="419" spans="1:27" x14ac:dyDescent="0.35">
      <c r="A419" t="s">
        <v>446</v>
      </c>
      <c r="B419" t="s">
        <v>1000</v>
      </c>
      <c r="C419" t="s">
        <v>426</v>
      </c>
      <c r="D419" t="str">
        <f t="shared" si="6"/>
        <v>73</v>
      </c>
      <c r="E419" t="s">
        <v>588</v>
      </c>
      <c r="F419">
        <v>9.17</v>
      </c>
      <c r="G419">
        <v>9.0399999999999991</v>
      </c>
      <c r="H419">
        <v>9.0399999999999991</v>
      </c>
      <c r="I419">
        <v>13.3</v>
      </c>
      <c r="J419">
        <v>13.44</v>
      </c>
      <c r="K419">
        <v>13.38</v>
      </c>
      <c r="L419">
        <v>81.150000000000006</v>
      </c>
      <c r="M419">
        <v>74.14</v>
      </c>
      <c r="N419">
        <v>77.28</v>
      </c>
      <c r="O419">
        <v>4.2</v>
      </c>
      <c r="P419">
        <v>2.91</v>
      </c>
      <c r="Q419">
        <v>3.7</v>
      </c>
      <c r="R419">
        <v>72.239999999999995</v>
      </c>
      <c r="S419">
        <v>77.62</v>
      </c>
      <c r="T419">
        <v>74.86</v>
      </c>
      <c r="U419">
        <v>84.76</v>
      </c>
      <c r="V419">
        <v>55.05</v>
      </c>
      <c r="W419">
        <v>69.91</v>
      </c>
      <c r="X419">
        <v>0.25</v>
      </c>
      <c r="Y419">
        <v>91.36</v>
      </c>
      <c r="Z419">
        <v>31649.16</v>
      </c>
      <c r="AA419">
        <v>316894</v>
      </c>
    </row>
    <row r="420" spans="1:27" x14ac:dyDescent="0.35">
      <c r="A420" t="s">
        <v>447</v>
      </c>
      <c r="B420" t="s">
        <v>1001</v>
      </c>
      <c r="C420" t="s">
        <v>426</v>
      </c>
      <c r="D420" t="str">
        <f t="shared" si="6"/>
        <v>73</v>
      </c>
      <c r="E420" t="s">
        <v>588</v>
      </c>
      <c r="F420">
        <v>8.94</v>
      </c>
      <c r="G420">
        <v>8.6</v>
      </c>
      <c r="H420">
        <v>8.7200000000000006</v>
      </c>
      <c r="I420">
        <v>13.3</v>
      </c>
      <c r="J420">
        <v>13.87</v>
      </c>
      <c r="K420">
        <v>13.53</v>
      </c>
      <c r="L420">
        <v>76.75</v>
      </c>
      <c r="M420">
        <v>68.45</v>
      </c>
      <c r="N420">
        <v>73.239999999999995</v>
      </c>
      <c r="O420">
        <v>2.8</v>
      </c>
      <c r="P420">
        <v>1.04</v>
      </c>
      <c r="Q420">
        <v>2.0099999999999998</v>
      </c>
      <c r="R420">
        <v>72.55</v>
      </c>
      <c r="S420">
        <v>78.08</v>
      </c>
      <c r="T420">
        <v>75.239999999999995</v>
      </c>
      <c r="U420">
        <v>81.59</v>
      </c>
      <c r="V420">
        <v>69.03</v>
      </c>
      <c r="W420">
        <v>75.31</v>
      </c>
      <c r="X420">
        <v>0.441</v>
      </c>
      <c r="Y420">
        <v>89.19</v>
      </c>
      <c r="Z420">
        <v>14288.46</v>
      </c>
      <c r="AA420">
        <v>282236</v>
      </c>
    </row>
    <row r="421" spans="1:27" x14ac:dyDescent="0.35">
      <c r="A421" t="s">
        <v>572</v>
      </c>
      <c r="B421" t="s">
        <v>1002</v>
      </c>
      <c r="C421" t="s">
        <v>426</v>
      </c>
      <c r="D421" t="str">
        <f t="shared" si="6"/>
        <v>73</v>
      </c>
      <c r="E421" t="s">
        <v>588</v>
      </c>
      <c r="F421">
        <v>11.8</v>
      </c>
      <c r="G421">
        <v>11.55</v>
      </c>
      <c r="H421">
        <v>11.59</v>
      </c>
      <c r="I421">
        <v>15.58</v>
      </c>
      <c r="J421">
        <v>16.13</v>
      </c>
      <c r="K421">
        <v>15.63</v>
      </c>
      <c r="L421">
        <v>87.52</v>
      </c>
      <c r="M421">
        <v>83.99</v>
      </c>
      <c r="N421">
        <v>85.66</v>
      </c>
      <c r="O421">
        <v>10.039999999999999</v>
      </c>
      <c r="P421">
        <v>8.84</v>
      </c>
      <c r="Q421">
        <v>9.6</v>
      </c>
      <c r="R421">
        <v>72.84</v>
      </c>
      <c r="S421">
        <v>78.5</v>
      </c>
      <c r="T421">
        <v>75.599999999999994</v>
      </c>
      <c r="U421">
        <v>77.5</v>
      </c>
      <c r="V421">
        <v>44.26</v>
      </c>
      <c r="W421">
        <v>60.88</v>
      </c>
      <c r="X421">
        <v>0.27500000000000002</v>
      </c>
      <c r="Y421">
        <v>95.97</v>
      </c>
      <c r="Z421">
        <v>261375.69</v>
      </c>
      <c r="AA421">
        <v>1473907</v>
      </c>
    </row>
    <row r="422" spans="1:27" x14ac:dyDescent="0.35">
      <c r="A422" t="s">
        <v>449</v>
      </c>
      <c r="B422" t="s">
        <v>1003</v>
      </c>
      <c r="C422" t="s">
        <v>426</v>
      </c>
      <c r="D422" t="str">
        <f t="shared" si="6"/>
        <v>73</v>
      </c>
      <c r="E422" t="s">
        <v>588</v>
      </c>
      <c r="F422">
        <v>11.2</v>
      </c>
      <c r="G422">
        <v>10.79</v>
      </c>
      <c r="H422">
        <v>10.89</v>
      </c>
      <c r="I422">
        <v>14.24</v>
      </c>
      <c r="J422">
        <v>14.9</v>
      </c>
      <c r="K422">
        <v>14.62</v>
      </c>
      <c r="L422">
        <v>82.95</v>
      </c>
      <c r="M422">
        <v>81.489999999999995</v>
      </c>
      <c r="N422">
        <v>81.5</v>
      </c>
      <c r="O422">
        <v>5.29</v>
      </c>
      <c r="P422">
        <v>4.5599999999999996</v>
      </c>
      <c r="Q422">
        <v>4.9800000000000004</v>
      </c>
      <c r="R422">
        <v>72.27</v>
      </c>
      <c r="S422">
        <v>77.67</v>
      </c>
      <c r="T422">
        <v>74.900000000000006</v>
      </c>
      <c r="U422">
        <v>78.930000000000007</v>
      </c>
      <c r="V422">
        <v>55.67</v>
      </c>
      <c r="W422">
        <v>67.3</v>
      </c>
      <c r="X422">
        <v>0.27200000000000002</v>
      </c>
      <c r="Y422">
        <v>98.24</v>
      </c>
      <c r="Z422">
        <v>10624.01</v>
      </c>
      <c r="AA422">
        <v>163404</v>
      </c>
    </row>
    <row r="423" spans="1:27" x14ac:dyDescent="0.35">
      <c r="A423" t="s">
        <v>450</v>
      </c>
      <c r="B423" t="s">
        <v>1004</v>
      </c>
      <c r="C423" t="s">
        <v>426</v>
      </c>
      <c r="D423" t="str">
        <f t="shared" si="6"/>
        <v>73</v>
      </c>
      <c r="E423" t="s">
        <v>588</v>
      </c>
      <c r="F423">
        <v>11.31</v>
      </c>
      <c r="G423">
        <v>11.13</v>
      </c>
      <c r="H423">
        <v>11.17</v>
      </c>
      <c r="I423">
        <v>14.27</v>
      </c>
      <c r="J423">
        <v>15.86</v>
      </c>
      <c r="K423">
        <v>15.14</v>
      </c>
      <c r="L423">
        <v>82.9</v>
      </c>
      <c r="M423">
        <v>81.59</v>
      </c>
      <c r="N423">
        <v>81.739999999999995</v>
      </c>
      <c r="O423">
        <v>7.75</v>
      </c>
      <c r="P423">
        <v>7.22</v>
      </c>
      <c r="Q423">
        <v>7.53</v>
      </c>
      <c r="R423">
        <v>71.959999999999994</v>
      </c>
      <c r="S423">
        <v>77.11</v>
      </c>
      <c r="T423">
        <v>74.47</v>
      </c>
      <c r="U423">
        <v>78.790000000000006</v>
      </c>
      <c r="V423">
        <v>54.67</v>
      </c>
      <c r="W423">
        <v>66.73</v>
      </c>
      <c r="X423">
        <v>0.22900000000000001</v>
      </c>
      <c r="Y423">
        <v>98.42</v>
      </c>
      <c r="Z423">
        <v>11787.5</v>
      </c>
      <c r="AA423">
        <v>198534</v>
      </c>
    </row>
    <row r="424" spans="1:27" x14ac:dyDescent="0.35">
      <c r="A424" t="s">
        <v>452</v>
      </c>
      <c r="B424" t="s">
        <v>1005</v>
      </c>
      <c r="C424" t="s">
        <v>451</v>
      </c>
      <c r="D424" t="str">
        <f t="shared" si="6"/>
        <v>74</v>
      </c>
      <c r="E424" t="s">
        <v>588</v>
      </c>
      <c r="F424">
        <v>9.64</v>
      </c>
      <c r="G424">
        <v>8.1199999999999992</v>
      </c>
      <c r="H424">
        <v>8.69</v>
      </c>
      <c r="I424">
        <v>14.38</v>
      </c>
      <c r="J424">
        <v>13.96</v>
      </c>
      <c r="K424">
        <v>13.97</v>
      </c>
      <c r="L424">
        <v>77.19</v>
      </c>
      <c r="M424">
        <v>63.81</v>
      </c>
      <c r="N424">
        <v>70.22</v>
      </c>
      <c r="O424">
        <v>3.6</v>
      </c>
      <c r="P424">
        <v>2.81</v>
      </c>
      <c r="Q424">
        <v>3.3</v>
      </c>
      <c r="R424">
        <v>68.739999999999995</v>
      </c>
      <c r="S424">
        <v>72.680000000000007</v>
      </c>
      <c r="T424">
        <v>70.66</v>
      </c>
      <c r="U424">
        <v>76.62</v>
      </c>
      <c r="V424">
        <v>48.19</v>
      </c>
      <c r="W424">
        <v>62.41</v>
      </c>
      <c r="X424">
        <v>0.503</v>
      </c>
      <c r="Y424">
        <v>82.67</v>
      </c>
      <c r="Z424">
        <v>5575.58</v>
      </c>
      <c r="AA424">
        <v>123845</v>
      </c>
    </row>
    <row r="425" spans="1:27" x14ac:dyDescent="0.35">
      <c r="A425" t="s">
        <v>453</v>
      </c>
      <c r="B425" t="s">
        <v>1006</v>
      </c>
      <c r="C425" t="s">
        <v>451</v>
      </c>
      <c r="D425" t="str">
        <f t="shared" si="6"/>
        <v>74</v>
      </c>
      <c r="E425" t="s">
        <v>588</v>
      </c>
      <c r="F425">
        <v>9.59</v>
      </c>
      <c r="G425">
        <v>8.33</v>
      </c>
      <c r="H425">
        <v>8.86</v>
      </c>
      <c r="I425">
        <v>14.18</v>
      </c>
      <c r="J425">
        <v>14.31</v>
      </c>
      <c r="K425">
        <v>14.18</v>
      </c>
      <c r="L425">
        <v>77.180000000000007</v>
      </c>
      <c r="M425">
        <v>68.510000000000005</v>
      </c>
      <c r="N425">
        <v>72.23</v>
      </c>
      <c r="O425">
        <v>3.92</v>
      </c>
      <c r="P425">
        <v>4.41</v>
      </c>
      <c r="Q425">
        <v>4.1399999999999997</v>
      </c>
      <c r="R425">
        <v>69.83</v>
      </c>
      <c r="S425">
        <v>73.819999999999993</v>
      </c>
      <c r="T425">
        <v>71.77</v>
      </c>
      <c r="U425">
        <v>76.92</v>
      </c>
      <c r="V425">
        <v>62.1</v>
      </c>
      <c r="W425">
        <v>69.510000000000005</v>
      </c>
      <c r="X425">
        <v>0.56000000000000005</v>
      </c>
      <c r="Y425">
        <v>88.77</v>
      </c>
      <c r="Z425">
        <v>10090.129999999999</v>
      </c>
      <c r="AA425">
        <v>231267</v>
      </c>
    </row>
    <row r="426" spans="1:27" x14ac:dyDescent="0.35">
      <c r="A426" t="s">
        <v>454</v>
      </c>
      <c r="B426" t="s">
        <v>1007</v>
      </c>
      <c r="C426" t="s">
        <v>451</v>
      </c>
      <c r="D426" t="str">
        <f t="shared" si="6"/>
        <v>74</v>
      </c>
      <c r="E426" t="s">
        <v>588</v>
      </c>
      <c r="F426">
        <v>10</v>
      </c>
      <c r="G426">
        <v>9.66</v>
      </c>
      <c r="H426">
        <v>9.8000000000000007</v>
      </c>
      <c r="I426">
        <v>12.76</v>
      </c>
      <c r="J426">
        <v>13.56</v>
      </c>
      <c r="K426">
        <v>13.11</v>
      </c>
      <c r="L426">
        <v>78.72</v>
      </c>
      <c r="M426">
        <v>74.319999999999993</v>
      </c>
      <c r="N426">
        <v>75.09</v>
      </c>
      <c r="O426">
        <v>1.76</v>
      </c>
      <c r="P426">
        <v>4.37</v>
      </c>
      <c r="Q426">
        <v>2.81</v>
      </c>
      <c r="R426">
        <v>71.03</v>
      </c>
      <c r="S426">
        <v>75.150000000000006</v>
      </c>
      <c r="T426">
        <v>73.040000000000006</v>
      </c>
      <c r="U426">
        <v>88.95</v>
      </c>
      <c r="V426">
        <v>63.8</v>
      </c>
      <c r="W426">
        <v>76.38</v>
      </c>
      <c r="X426">
        <v>0.502</v>
      </c>
      <c r="Y426">
        <v>94.41</v>
      </c>
      <c r="Z426">
        <v>24076.6</v>
      </c>
      <c r="AA426">
        <v>278549</v>
      </c>
    </row>
    <row r="427" spans="1:27" x14ac:dyDescent="0.35">
      <c r="A427" t="s">
        <v>455</v>
      </c>
      <c r="B427" t="s">
        <v>1008</v>
      </c>
      <c r="C427" t="s">
        <v>451</v>
      </c>
      <c r="D427" t="str">
        <f t="shared" si="6"/>
        <v>74</v>
      </c>
      <c r="E427" t="s">
        <v>588</v>
      </c>
      <c r="F427">
        <v>9.76</v>
      </c>
      <c r="G427">
        <v>9.35</v>
      </c>
      <c r="H427">
        <v>9.5500000000000007</v>
      </c>
      <c r="I427">
        <v>13.07</v>
      </c>
      <c r="J427">
        <v>13.85</v>
      </c>
      <c r="K427">
        <v>13.17</v>
      </c>
      <c r="L427">
        <v>80.52</v>
      </c>
      <c r="M427">
        <v>73.3</v>
      </c>
      <c r="N427">
        <v>76.92</v>
      </c>
      <c r="O427">
        <v>1.37</v>
      </c>
      <c r="P427">
        <v>3.58</v>
      </c>
      <c r="Q427">
        <v>2.25</v>
      </c>
      <c r="R427">
        <v>71.56</v>
      </c>
      <c r="S427">
        <v>76.27</v>
      </c>
      <c r="T427">
        <v>73.86</v>
      </c>
      <c r="U427">
        <v>89.12</v>
      </c>
      <c r="V427">
        <v>62.44</v>
      </c>
      <c r="W427">
        <v>75.78</v>
      </c>
      <c r="X427">
        <v>0.34399999999999997</v>
      </c>
      <c r="Y427">
        <v>91.03</v>
      </c>
      <c r="Z427">
        <v>40885.81</v>
      </c>
      <c r="AA427">
        <v>251538</v>
      </c>
    </row>
    <row r="428" spans="1:27" x14ac:dyDescent="0.35">
      <c r="A428" t="s">
        <v>456</v>
      </c>
      <c r="B428" t="s">
        <v>1009</v>
      </c>
      <c r="C428" t="s">
        <v>451</v>
      </c>
      <c r="D428" t="str">
        <f t="shared" si="6"/>
        <v>74</v>
      </c>
      <c r="E428" t="s">
        <v>588</v>
      </c>
      <c r="F428">
        <v>9.1999999999999993</v>
      </c>
      <c r="G428">
        <v>8.58</v>
      </c>
      <c r="H428">
        <v>8.9700000000000006</v>
      </c>
      <c r="I428">
        <v>12.73</v>
      </c>
      <c r="J428">
        <v>13.39</v>
      </c>
      <c r="K428">
        <v>12.95</v>
      </c>
      <c r="L428">
        <v>76.36</v>
      </c>
      <c r="M428">
        <v>67.98</v>
      </c>
      <c r="N428">
        <v>72.319999999999993</v>
      </c>
      <c r="O428">
        <v>2.59</v>
      </c>
      <c r="P428">
        <v>4.3</v>
      </c>
      <c r="Q428">
        <v>3.23</v>
      </c>
      <c r="R428">
        <v>70</v>
      </c>
      <c r="S428">
        <v>74</v>
      </c>
      <c r="T428">
        <v>71.95</v>
      </c>
      <c r="U428">
        <v>85.96</v>
      </c>
      <c r="V428">
        <v>54.61</v>
      </c>
      <c r="W428">
        <v>70.290000000000006</v>
      </c>
      <c r="X428">
        <v>0.498</v>
      </c>
      <c r="Y428">
        <v>89.03</v>
      </c>
      <c r="Z428">
        <v>19224.78</v>
      </c>
      <c r="AA428">
        <v>334616</v>
      </c>
    </row>
    <row r="429" spans="1:27" x14ac:dyDescent="0.35">
      <c r="A429" t="s">
        <v>457</v>
      </c>
      <c r="B429" t="s">
        <v>1010</v>
      </c>
      <c r="C429" t="s">
        <v>451</v>
      </c>
      <c r="D429" t="str">
        <f t="shared" si="6"/>
        <v>74</v>
      </c>
      <c r="E429" t="s">
        <v>588</v>
      </c>
      <c r="F429">
        <v>8.5</v>
      </c>
      <c r="G429">
        <v>8.1999999999999993</v>
      </c>
      <c r="H429">
        <v>8.27</v>
      </c>
      <c r="I429">
        <v>11.91</v>
      </c>
      <c r="J429">
        <v>12.58</v>
      </c>
      <c r="K429">
        <v>11.98</v>
      </c>
      <c r="L429">
        <v>73.92</v>
      </c>
      <c r="M429">
        <v>64</v>
      </c>
      <c r="N429">
        <v>69.540000000000006</v>
      </c>
      <c r="O429">
        <v>3.05</v>
      </c>
      <c r="P429">
        <v>1.69</v>
      </c>
      <c r="Q429">
        <v>2.52</v>
      </c>
      <c r="R429">
        <v>69.37</v>
      </c>
      <c r="S429">
        <v>73.34</v>
      </c>
      <c r="T429">
        <v>71.31</v>
      </c>
      <c r="U429">
        <v>86.25</v>
      </c>
      <c r="V429">
        <v>56.51</v>
      </c>
      <c r="W429">
        <v>71.38</v>
      </c>
      <c r="X429">
        <v>0.52400000000000002</v>
      </c>
      <c r="Y429">
        <v>86.58</v>
      </c>
      <c r="Z429">
        <v>9754.81</v>
      </c>
      <c r="AA429">
        <v>163160</v>
      </c>
    </row>
    <row r="430" spans="1:27" x14ac:dyDescent="0.35">
      <c r="A430" t="s">
        <v>458</v>
      </c>
      <c r="B430" t="s">
        <v>1011</v>
      </c>
      <c r="C430" t="s">
        <v>451</v>
      </c>
      <c r="D430" t="str">
        <f t="shared" si="6"/>
        <v>74</v>
      </c>
      <c r="E430" t="s">
        <v>588</v>
      </c>
      <c r="F430">
        <v>9.09</v>
      </c>
      <c r="G430">
        <v>8.36</v>
      </c>
      <c r="H430">
        <v>8.5399999999999991</v>
      </c>
      <c r="I430">
        <v>13.71</v>
      </c>
      <c r="J430">
        <v>13.5</v>
      </c>
      <c r="K430">
        <v>13.55</v>
      </c>
      <c r="L430">
        <v>77.209999999999994</v>
      </c>
      <c r="M430">
        <v>69.27</v>
      </c>
      <c r="N430">
        <v>72.59</v>
      </c>
      <c r="O430">
        <v>3.26</v>
      </c>
      <c r="P430">
        <v>4.5199999999999996</v>
      </c>
      <c r="Q430">
        <v>3.82</v>
      </c>
      <c r="R430">
        <v>69.17</v>
      </c>
      <c r="S430">
        <v>73.13</v>
      </c>
      <c r="T430">
        <v>71.099999999999994</v>
      </c>
      <c r="U430">
        <v>82</v>
      </c>
      <c r="V430">
        <v>65.52</v>
      </c>
      <c r="W430">
        <v>73.760000000000005</v>
      </c>
      <c r="X430">
        <v>0.442</v>
      </c>
      <c r="Y430">
        <v>89.72</v>
      </c>
      <c r="Z430">
        <v>6494.66</v>
      </c>
      <c r="AA430">
        <v>120039</v>
      </c>
    </row>
    <row r="431" spans="1:27" x14ac:dyDescent="0.35">
      <c r="A431" t="s">
        <v>459</v>
      </c>
      <c r="B431" t="s">
        <v>1012</v>
      </c>
      <c r="C431" t="s">
        <v>451</v>
      </c>
      <c r="D431" t="str">
        <f t="shared" si="6"/>
        <v>74</v>
      </c>
      <c r="E431" t="s">
        <v>588</v>
      </c>
      <c r="F431">
        <v>8.82</v>
      </c>
      <c r="G431">
        <v>9.2200000000000006</v>
      </c>
      <c r="H431">
        <v>9.06</v>
      </c>
      <c r="I431">
        <v>12.25</v>
      </c>
      <c r="J431">
        <v>12.55</v>
      </c>
      <c r="K431">
        <v>12.25</v>
      </c>
      <c r="L431">
        <v>72.95</v>
      </c>
      <c r="M431">
        <v>72.22</v>
      </c>
      <c r="N431">
        <v>72.37</v>
      </c>
      <c r="O431">
        <v>1.19</v>
      </c>
      <c r="P431">
        <v>2.2000000000000002</v>
      </c>
      <c r="Q431">
        <v>1.62</v>
      </c>
      <c r="R431">
        <v>68.84</v>
      </c>
      <c r="S431">
        <v>72.790000000000006</v>
      </c>
      <c r="T431">
        <v>70.77</v>
      </c>
      <c r="U431">
        <v>89.13</v>
      </c>
      <c r="V431">
        <v>67.930000000000007</v>
      </c>
      <c r="W431">
        <v>78.53</v>
      </c>
      <c r="X431">
        <v>0.218</v>
      </c>
      <c r="Y431">
        <v>99</v>
      </c>
      <c r="Z431">
        <v>13243.64</v>
      </c>
      <c r="AA431">
        <v>151357</v>
      </c>
    </row>
    <row r="432" spans="1:27" x14ac:dyDescent="0.35">
      <c r="A432" t="s">
        <v>460</v>
      </c>
      <c r="B432" t="s">
        <v>1013</v>
      </c>
      <c r="C432" t="s">
        <v>451</v>
      </c>
      <c r="D432" t="str">
        <f t="shared" si="6"/>
        <v>74</v>
      </c>
      <c r="E432" t="s">
        <v>588</v>
      </c>
      <c r="F432">
        <v>9.81</v>
      </c>
      <c r="G432">
        <v>8.94</v>
      </c>
      <c r="H432">
        <v>9.2799999999999994</v>
      </c>
      <c r="I432">
        <v>13.54</v>
      </c>
      <c r="J432">
        <v>13.31</v>
      </c>
      <c r="K432">
        <v>13.33</v>
      </c>
      <c r="L432">
        <v>75.23</v>
      </c>
      <c r="M432">
        <v>69.790000000000006</v>
      </c>
      <c r="N432">
        <v>71.290000000000006</v>
      </c>
      <c r="O432">
        <v>1.01</v>
      </c>
      <c r="P432">
        <v>3.18</v>
      </c>
      <c r="Q432">
        <v>1.98</v>
      </c>
      <c r="R432">
        <v>69.53</v>
      </c>
      <c r="S432">
        <v>73.5</v>
      </c>
      <c r="T432">
        <v>71.47</v>
      </c>
      <c r="U432">
        <v>88.93</v>
      </c>
      <c r="V432">
        <v>74.87</v>
      </c>
      <c r="W432">
        <v>81.900000000000006</v>
      </c>
      <c r="X432">
        <v>0.442</v>
      </c>
      <c r="Y432">
        <v>92.77</v>
      </c>
      <c r="Z432">
        <v>4569.87</v>
      </c>
      <c r="AA432">
        <v>70615</v>
      </c>
    </row>
    <row r="433" spans="1:27" x14ac:dyDescent="0.35">
      <c r="A433" t="s">
        <v>461</v>
      </c>
      <c r="B433" t="s">
        <v>1014</v>
      </c>
      <c r="C433" t="s">
        <v>451</v>
      </c>
      <c r="D433" t="str">
        <f t="shared" si="6"/>
        <v>74</v>
      </c>
      <c r="E433" t="s">
        <v>588</v>
      </c>
      <c r="F433">
        <v>10.220000000000001</v>
      </c>
      <c r="G433">
        <v>9.42</v>
      </c>
      <c r="H433">
        <v>9.7899999999999991</v>
      </c>
      <c r="I433">
        <v>12.92</v>
      </c>
      <c r="J433">
        <v>13.39</v>
      </c>
      <c r="K433">
        <v>13.15</v>
      </c>
      <c r="L433">
        <v>77.72</v>
      </c>
      <c r="M433">
        <v>68.069999999999993</v>
      </c>
      <c r="N433">
        <v>73.42</v>
      </c>
      <c r="O433">
        <v>3.95</v>
      </c>
      <c r="P433">
        <v>4.05</v>
      </c>
      <c r="Q433">
        <v>3.99</v>
      </c>
      <c r="R433">
        <v>68.81</v>
      </c>
      <c r="S433">
        <v>72.75</v>
      </c>
      <c r="T433">
        <v>70.73</v>
      </c>
      <c r="U433">
        <v>85.83</v>
      </c>
      <c r="V433">
        <v>59.06</v>
      </c>
      <c r="W433">
        <v>72.45</v>
      </c>
      <c r="X433">
        <v>0.50900000000000001</v>
      </c>
      <c r="Y433">
        <v>87.58</v>
      </c>
      <c r="Z433">
        <v>6164.67</v>
      </c>
      <c r="AA433">
        <v>75395</v>
      </c>
    </row>
    <row r="434" spans="1:27" x14ac:dyDescent="0.35">
      <c r="A434" t="s">
        <v>462</v>
      </c>
      <c r="B434" t="s">
        <v>1015</v>
      </c>
      <c r="C434" t="s">
        <v>451</v>
      </c>
      <c r="D434" t="str">
        <f t="shared" si="6"/>
        <v>74</v>
      </c>
      <c r="E434" t="s">
        <v>588</v>
      </c>
      <c r="F434">
        <v>8.69</v>
      </c>
      <c r="G434">
        <v>8.3000000000000007</v>
      </c>
      <c r="H434">
        <v>8.65</v>
      </c>
      <c r="I434">
        <v>12.73</v>
      </c>
      <c r="J434">
        <v>12.71</v>
      </c>
      <c r="K434">
        <v>12.73</v>
      </c>
      <c r="L434">
        <v>71.39</v>
      </c>
      <c r="M434">
        <v>70.930000000000007</v>
      </c>
      <c r="N434">
        <v>71.19</v>
      </c>
      <c r="O434">
        <v>1.73</v>
      </c>
      <c r="P434">
        <v>2.94</v>
      </c>
      <c r="Q434">
        <v>2.2000000000000002</v>
      </c>
      <c r="R434">
        <v>71.31</v>
      </c>
      <c r="S434">
        <v>75.739999999999995</v>
      </c>
      <c r="T434">
        <v>73.47</v>
      </c>
      <c r="U434">
        <v>90.05</v>
      </c>
      <c r="V434">
        <v>59.76</v>
      </c>
      <c r="W434">
        <v>74.91</v>
      </c>
      <c r="X434">
        <v>0.46100000000000002</v>
      </c>
      <c r="Y434">
        <v>99.36</v>
      </c>
      <c r="Z434">
        <v>6541.92</v>
      </c>
      <c r="AA434">
        <v>129312</v>
      </c>
    </row>
    <row r="435" spans="1:27" x14ac:dyDescent="0.35">
      <c r="A435" t="s">
        <v>463</v>
      </c>
      <c r="B435" t="s">
        <v>1016</v>
      </c>
      <c r="C435" t="s">
        <v>451</v>
      </c>
      <c r="D435" t="str">
        <f t="shared" si="6"/>
        <v>74</v>
      </c>
      <c r="E435" t="s">
        <v>588</v>
      </c>
      <c r="F435">
        <v>10.07</v>
      </c>
      <c r="G435">
        <v>9.19</v>
      </c>
      <c r="H435">
        <v>9.61</v>
      </c>
      <c r="I435">
        <v>12.32</v>
      </c>
      <c r="J435">
        <v>13.07</v>
      </c>
      <c r="K435">
        <v>12.57</v>
      </c>
      <c r="L435">
        <v>74.39</v>
      </c>
      <c r="M435">
        <v>64.69</v>
      </c>
      <c r="N435">
        <v>69.39</v>
      </c>
      <c r="O435">
        <v>2.14</v>
      </c>
      <c r="P435">
        <v>0.63</v>
      </c>
      <c r="Q435">
        <v>1.52</v>
      </c>
      <c r="R435">
        <v>68.47</v>
      </c>
      <c r="S435">
        <v>72.400000000000006</v>
      </c>
      <c r="T435">
        <v>70.38</v>
      </c>
      <c r="U435">
        <v>89.34</v>
      </c>
      <c r="V435">
        <v>64.55</v>
      </c>
      <c r="W435">
        <v>76.95</v>
      </c>
      <c r="X435">
        <v>0.52300000000000002</v>
      </c>
      <c r="Y435">
        <v>86.96</v>
      </c>
      <c r="Z435">
        <v>2177.84</v>
      </c>
      <c r="AA435">
        <v>40353</v>
      </c>
    </row>
    <row r="436" spans="1:27" x14ac:dyDescent="0.35">
      <c r="A436" t="s">
        <v>464</v>
      </c>
      <c r="B436" t="s">
        <v>1017</v>
      </c>
      <c r="C436" t="s">
        <v>451</v>
      </c>
      <c r="D436" t="str">
        <f t="shared" si="6"/>
        <v>74</v>
      </c>
      <c r="E436" t="s">
        <v>588</v>
      </c>
      <c r="F436">
        <v>8.91</v>
      </c>
      <c r="G436">
        <v>7.77</v>
      </c>
      <c r="H436">
        <v>8.31</v>
      </c>
      <c r="I436">
        <v>12.72</v>
      </c>
      <c r="J436">
        <v>12.9</v>
      </c>
      <c r="K436">
        <v>12.75</v>
      </c>
      <c r="L436">
        <v>73.319999999999993</v>
      </c>
      <c r="M436">
        <v>66.06</v>
      </c>
      <c r="N436">
        <v>69.180000000000007</v>
      </c>
      <c r="O436">
        <v>1.78</v>
      </c>
      <c r="P436">
        <v>4.05</v>
      </c>
      <c r="Q436">
        <v>2.76</v>
      </c>
      <c r="R436">
        <v>69.39</v>
      </c>
      <c r="S436">
        <v>73.36</v>
      </c>
      <c r="T436">
        <v>71.319999999999993</v>
      </c>
      <c r="U436">
        <v>86.56</v>
      </c>
      <c r="V436">
        <v>64.13</v>
      </c>
      <c r="W436">
        <v>75.349999999999994</v>
      </c>
      <c r="X436">
        <v>0.50700000000000001</v>
      </c>
      <c r="Y436">
        <v>90.1</v>
      </c>
      <c r="Z436">
        <v>3766.14</v>
      </c>
      <c r="AA436">
        <v>92632</v>
      </c>
    </row>
    <row r="437" spans="1:27" x14ac:dyDescent="0.35">
      <c r="A437" t="s">
        <v>465</v>
      </c>
      <c r="B437" t="s">
        <v>1018</v>
      </c>
      <c r="C437" t="s">
        <v>451</v>
      </c>
      <c r="D437" t="str">
        <f t="shared" si="6"/>
        <v>74</v>
      </c>
      <c r="E437" t="s">
        <v>588</v>
      </c>
      <c r="F437">
        <v>7.75</v>
      </c>
      <c r="G437">
        <v>6.47</v>
      </c>
      <c r="H437">
        <v>7.37</v>
      </c>
      <c r="I437">
        <v>13.4</v>
      </c>
      <c r="J437">
        <v>14.02</v>
      </c>
      <c r="K437">
        <v>13.44</v>
      </c>
      <c r="L437">
        <v>73.569999999999993</v>
      </c>
      <c r="M437">
        <v>62.07</v>
      </c>
      <c r="N437">
        <v>68.39</v>
      </c>
      <c r="O437">
        <v>4.93</v>
      </c>
      <c r="P437">
        <v>0.92</v>
      </c>
      <c r="Q437">
        <v>3.16</v>
      </c>
      <c r="R437">
        <v>68.73</v>
      </c>
      <c r="S437">
        <v>72.67</v>
      </c>
      <c r="T437">
        <v>70.650000000000006</v>
      </c>
      <c r="U437">
        <v>74</v>
      </c>
      <c r="V437">
        <v>58.57</v>
      </c>
      <c r="W437">
        <v>66.290000000000006</v>
      </c>
      <c r="X437">
        <v>0.5</v>
      </c>
      <c r="Y437">
        <v>84.37</v>
      </c>
      <c r="Z437">
        <v>3415.06</v>
      </c>
      <c r="AA437">
        <v>123113</v>
      </c>
    </row>
    <row r="438" spans="1:27" x14ac:dyDescent="0.35">
      <c r="A438" t="s">
        <v>466</v>
      </c>
      <c r="B438" t="s">
        <v>1019</v>
      </c>
      <c r="C438" t="s">
        <v>451</v>
      </c>
      <c r="D438" t="str">
        <f t="shared" si="6"/>
        <v>74</v>
      </c>
      <c r="E438" t="s">
        <v>588</v>
      </c>
      <c r="F438">
        <v>8.2799999999999994</v>
      </c>
      <c r="G438">
        <v>7.52</v>
      </c>
      <c r="H438">
        <v>7.8</v>
      </c>
      <c r="I438">
        <v>13.4</v>
      </c>
      <c r="J438">
        <v>13.37</v>
      </c>
      <c r="K438">
        <v>13.37</v>
      </c>
      <c r="L438">
        <v>75.31</v>
      </c>
      <c r="M438">
        <v>56.65</v>
      </c>
      <c r="N438">
        <v>68.540000000000006</v>
      </c>
      <c r="O438">
        <v>3.87</v>
      </c>
      <c r="P438">
        <v>1.6</v>
      </c>
      <c r="Q438">
        <v>2.92</v>
      </c>
      <c r="R438">
        <v>68.45</v>
      </c>
      <c r="S438">
        <v>72.38</v>
      </c>
      <c r="T438">
        <v>70.36</v>
      </c>
      <c r="U438">
        <v>80.59</v>
      </c>
      <c r="V438">
        <v>59.81</v>
      </c>
      <c r="W438">
        <v>70.2</v>
      </c>
      <c r="X438">
        <v>0.55300000000000005</v>
      </c>
      <c r="Y438">
        <v>75.22</v>
      </c>
      <c r="Z438">
        <v>4110.74</v>
      </c>
      <c r="AA438">
        <v>102794</v>
      </c>
    </row>
    <row r="439" spans="1:27" x14ac:dyDescent="0.35">
      <c r="A439" t="s">
        <v>467</v>
      </c>
      <c r="B439" t="s">
        <v>1020</v>
      </c>
      <c r="C439" t="s">
        <v>451</v>
      </c>
      <c r="D439" t="str">
        <f t="shared" si="6"/>
        <v>74</v>
      </c>
      <c r="E439" t="s">
        <v>588</v>
      </c>
      <c r="F439">
        <v>12.94</v>
      </c>
      <c r="G439">
        <v>12.14</v>
      </c>
      <c r="H439">
        <v>12.56</v>
      </c>
      <c r="I439">
        <v>16.97</v>
      </c>
      <c r="J439">
        <v>16.940000000000001</v>
      </c>
      <c r="K439">
        <v>16.940000000000001</v>
      </c>
      <c r="L439">
        <v>88.42</v>
      </c>
      <c r="M439">
        <v>84.82</v>
      </c>
      <c r="N439">
        <v>86.36</v>
      </c>
      <c r="O439">
        <v>4.87</v>
      </c>
      <c r="P439">
        <v>7.5</v>
      </c>
      <c r="Q439">
        <v>5.94</v>
      </c>
      <c r="R439">
        <v>72.94</v>
      </c>
      <c r="S439">
        <v>78.64</v>
      </c>
      <c r="T439">
        <v>75.72</v>
      </c>
      <c r="U439">
        <v>78.3</v>
      </c>
      <c r="V439">
        <v>54.64</v>
      </c>
      <c r="W439">
        <v>66.47</v>
      </c>
      <c r="X439">
        <v>0.29399999999999998</v>
      </c>
      <c r="Y439">
        <v>95.93</v>
      </c>
      <c r="Z439">
        <v>32128.560000000001</v>
      </c>
      <c r="AA439">
        <v>377268</v>
      </c>
    </row>
    <row r="440" spans="1:27" x14ac:dyDescent="0.35">
      <c r="A440" t="s">
        <v>468</v>
      </c>
      <c r="B440" t="s">
        <v>1021</v>
      </c>
      <c r="C440" t="s">
        <v>451</v>
      </c>
      <c r="D440" t="str">
        <f t="shared" si="6"/>
        <v>74</v>
      </c>
      <c r="E440" t="s">
        <v>588</v>
      </c>
      <c r="F440">
        <v>11.34</v>
      </c>
      <c r="G440">
        <v>11.05</v>
      </c>
      <c r="H440">
        <v>11.11</v>
      </c>
      <c r="I440">
        <v>15.37</v>
      </c>
      <c r="J440">
        <v>15.71</v>
      </c>
      <c r="K440">
        <v>15.54</v>
      </c>
      <c r="L440">
        <v>84.05</v>
      </c>
      <c r="M440">
        <v>77.72</v>
      </c>
      <c r="N440">
        <v>80.290000000000006</v>
      </c>
      <c r="O440">
        <v>3.08</v>
      </c>
      <c r="P440">
        <v>5.16</v>
      </c>
      <c r="Q440">
        <v>3.95</v>
      </c>
      <c r="R440">
        <v>72.290000000000006</v>
      </c>
      <c r="S440">
        <v>77.7</v>
      </c>
      <c r="T440">
        <v>74.930000000000007</v>
      </c>
      <c r="U440">
        <v>76.91</v>
      </c>
      <c r="V440">
        <v>54.54</v>
      </c>
      <c r="W440">
        <v>65.73</v>
      </c>
      <c r="X440">
        <v>0.37</v>
      </c>
      <c r="Y440">
        <v>92.47</v>
      </c>
      <c r="Z440">
        <v>12969.72</v>
      </c>
      <c r="AA440">
        <v>170885</v>
      </c>
    </row>
    <row r="441" spans="1:27" x14ac:dyDescent="0.35">
      <c r="A441" t="s">
        <v>470</v>
      </c>
      <c r="B441" t="s">
        <v>1022</v>
      </c>
      <c r="C441" t="s">
        <v>469</v>
      </c>
      <c r="D441" t="str">
        <f t="shared" si="6"/>
        <v>75</v>
      </c>
      <c r="E441" t="s">
        <v>588</v>
      </c>
      <c r="F441">
        <v>6.78</v>
      </c>
      <c r="G441">
        <v>7.68</v>
      </c>
      <c r="H441">
        <v>7.32</v>
      </c>
      <c r="I441">
        <v>12.08</v>
      </c>
      <c r="J441">
        <v>13.09</v>
      </c>
      <c r="K441">
        <v>12.6</v>
      </c>
      <c r="L441">
        <v>72.510000000000005</v>
      </c>
      <c r="M441">
        <v>60.73</v>
      </c>
      <c r="N441">
        <v>69.89</v>
      </c>
      <c r="O441">
        <v>2.5</v>
      </c>
      <c r="P441">
        <v>3.98</v>
      </c>
      <c r="Q441">
        <v>3.09</v>
      </c>
      <c r="R441">
        <v>69.75</v>
      </c>
      <c r="S441">
        <v>73.739999999999995</v>
      </c>
      <c r="T441">
        <v>71.7</v>
      </c>
      <c r="U441">
        <v>88.48</v>
      </c>
      <c r="V441">
        <v>60.12</v>
      </c>
      <c r="W441">
        <v>74.3</v>
      </c>
      <c r="X441">
        <v>0.19900000000000001</v>
      </c>
      <c r="Y441">
        <v>83.75</v>
      </c>
      <c r="Z441">
        <v>7505.21</v>
      </c>
      <c r="AA441">
        <v>155183</v>
      </c>
    </row>
    <row r="442" spans="1:27" x14ac:dyDescent="0.35">
      <c r="A442" t="s">
        <v>471</v>
      </c>
      <c r="B442" t="s">
        <v>1023</v>
      </c>
      <c r="C442" t="s">
        <v>469</v>
      </c>
      <c r="D442" t="str">
        <f t="shared" si="6"/>
        <v>75</v>
      </c>
      <c r="E442" t="s">
        <v>588</v>
      </c>
      <c r="F442">
        <v>7.45</v>
      </c>
      <c r="G442">
        <v>8.5299999999999994</v>
      </c>
      <c r="H442">
        <v>7.96</v>
      </c>
      <c r="I442">
        <v>12.82</v>
      </c>
      <c r="J442">
        <v>13.95</v>
      </c>
      <c r="K442">
        <v>13.23</v>
      </c>
      <c r="L442">
        <v>74.430000000000007</v>
      </c>
      <c r="M442">
        <v>63.02</v>
      </c>
      <c r="N442">
        <v>71.540000000000006</v>
      </c>
      <c r="O442">
        <v>2.76</v>
      </c>
      <c r="P442">
        <v>4.08</v>
      </c>
      <c r="Q442">
        <v>3.26</v>
      </c>
      <c r="R442">
        <v>69.319999999999993</v>
      </c>
      <c r="S442">
        <v>73.290000000000006</v>
      </c>
      <c r="T442">
        <v>71.260000000000005</v>
      </c>
      <c r="U442">
        <v>83.7</v>
      </c>
      <c r="V442">
        <v>51.47</v>
      </c>
      <c r="W442">
        <v>67.59</v>
      </c>
      <c r="X442">
        <v>0.41899999999999998</v>
      </c>
      <c r="Y442">
        <v>84.67</v>
      </c>
      <c r="Z442">
        <v>18504.77</v>
      </c>
      <c r="AA442">
        <v>413627</v>
      </c>
    </row>
    <row r="443" spans="1:27" x14ac:dyDescent="0.35">
      <c r="A443" t="s">
        <v>472</v>
      </c>
      <c r="B443" t="s">
        <v>1024</v>
      </c>
      <c r="C443" t="s">
        <v>469</v>
      </c>
      <c r="D443" t="str">
        <f t="shared" si="6"/>
        <v>75</v>
      </c>
      <c r="E443" t="s">
        <v>588</v>
      </c>
      <c r="F443">
        <v>7.52</v>
      </c>
      <c r="G443">
        <v>8.11</v>
      </c>
      <c r="H443">
        <v>7.79</v>
      </c>
      <c r="I443">
        <v>12.27</v>
      </c>
      <c r="J443">
        <v>13.12</v>
      </c>
      <c r="K443">
        <v>12.49</v>
      </c>
      <c r="L443">
        <v>72.5</v>
      </c>
      <c r="M443">
        <v>67.16</v>
      </c>
      <c r="N443">
        <v>70.59</v>
      </c>
      <c r="O443">
        <v>2.2999999999999998</v>
      </c>
      <c r="P443">
        <v>3.71</v>
      </c>
      <c r="Q443">
        <v>2.83</v>
      </c>
      <c r="R443">
        <v>68.069999999999993</v>
      </c>
      <c r="S443">
        <v>72.010000000000005</v>
      </c>
      <c r="T443">
        <v>70</v>
      </c>
      <c r="U443">
        <v>88.09</v>
      </c>
      <c r="V443">
        <v>54.72</v>
      </c>
      <c r="W443">
        <v>71.41</v>
      </c>
      <c r="X443">
        <v>0.35299999999999998</v>
      </c>
      <c r="Y443">
        <v>92.63</v>
      </c>
      <c r="Z443">
        <v>9500.9599999999991</v>
      </c>
      <c r="AA443">
        <v>155665</v>
      </c>
    </row>
    <row r="444" spans="1:27" x14ac:dyDescent="0.35">
      <c r="A444" t="s">
        <v>473</v>
      </c>
      <c r="B444" t="s">
        <v>1025</v>
      </c>
      <c r="C444" t="s">
        <v>469</v>
      </c>
      <c r="D444" t="str">
        <f t="shared" si="6"/>
        <v>75</v>
      </c>
      <c r="E444" t="s">
        <v>588</v>
      </c>
      <c r="F444">
        <v>8.0299999999999994</v>
      </c>
      <c r="G444">
        <v>9.23</v>
      </c>
      <c r="H444">
        <v>8.6199999999999992</v>
      </c>
      <c r="I444">
        <v>13.28</v>
      </c>
      <c r="J444">
        <v>14.89</v>
      </c>
      <c r="K444">
        <v>13.7</v>
      </c>
      <c r="L444">
        <v>75.510000000000005</v>
      </c>
      <c r="M444">
        <v>67.95</v>
      </c>
      <c r="N444">
        <v>73.3</v>
      </c>
      <c r="O444">
        <v>4.8099999999999996</v>
      </c>
      <c r="P444">
        <v>2.62</v>
      </c>
      <c r="Q444">
        <v>4.0199999999999996</v>
      </c>
      <c r="R444">
        <v>68.8</v>
      </c>
      <c r="S444">
        <v>72.739999999999995</v>
      </c>
      <c r="T444">
        <v>70.73</v>
      </c>
      <c r="U444">
        <v>85.78</v>
      </c>
      <c r="V444">
        <v>48.2</v>
      </c>
      <c r="W444">
        <v>66.989999999999995</v>
      </c>
      <c r="X444">
        <v>0.43099999999999999</v>
      </c>
      <c r="Y444">
        <v>89.99</v>
      </c>
      <c r="Z444">
        <v>6488.8</v>
      </c>
      <c r="AA444">
        <v>172726</v>
      </c>
    </row>
    <row r="445" spans="1:27" x14ac:dyDescent="0.35">
      <c r="A445" t="s">
        <v>474</v>
      </c>
      <c r="B445" t="s">
        <v>1026</v>
      </c>
      <c r="C445" t="s">
        <v>469</v>
      </c>
      <c r="D445" t="str">
        <f t="shared" si="6"/>
        <v>75</v>
      </c>
      <c r="E445" t="s">
        <v>588</v>
      </c>
      <c r="F445">
        <v>7.21</v>
      </c>
      <c r="G445">
        <v>7.92</v>
      </c>
      <c r="H445">
        <v>7.56</v>
      </c>
      <c r="I445">
        <v>12.42</v>
      </c>
      <c r="J445">
        <v>13.35</v>
      </c>
      <c r="K445">
        <v>12.71</v>
      </c>
      <c r="L445">
        <v>72.739999999999995</v>
      </c>
      <c r="M445">
        <v>60.71</v>
      </c>
      <c r="N445">
        <v>69.62</v>
      </c>
      <c r="O445">
        <v>3.11</v>
      </c>
      <c r="P445">
        <v>2.95</v>
      </c>
      <c r="Q445">
        <v>3.05</v>
      </c>
      <c r="R445">
        <v>68.33</v>
      </c>
      <c r="S445">
        <v>72.260000000000005</v>
      </c>
      <c r="T445">
        <v>70.25</v>
      </c>
      <c r="U445">
        <v>90.26</v>
      </c>
      <c r="V445">
        <v>58.44</v>
      </c>
      <c r="W445">
        <v>74.349999999999994</v>
      </c>
      <c r="X445">
        <v>0.17799999999999999</v>
      </c>
      <c r="Y445">
        <v>83.46</v>
      </c>
      <c r="Z445">
        <v>4783.8</v>
      </c>
      <c r="AA445">
        <v>134852</v>
      </c>
    </row>
    <row r="446" spans="1:27" x14ac:dyDescent="0.35">
      <c r="A446" t="s">
        <v>475</v>
      </c>
      <c r="B446" t="s">
        <v>1027</v>
      </c>
      <c r="C446" t="s">
        <v>469</v>
      </c>
      <c r="D446" t="str">
        <f t="shared" si="6"/>
        <v>75</v>
      </c>
      <c r="E446" t="s">
        <v>588</v>
      </c>
      <c r="F446">
        <v>10.39</v>
      </c>
      <c r="G446">
        <v>11.06</v>
      </c>
      <c r="H446">
        <v>10.59</v>
      </c>
      <c r="I446">
        <v>14.52</v>
      </c>
      <c r="J446">
        <v>15.11</v>
      </c>
      <c r="K446">
        <v>14.63</v>
      </c>
      <c r="L446">
        <v>83.14</v>
      </c>
      <c r="M446">
        <v>73.790000000000006</v>
      </c>
      <c r="N446">
        <v>79.97</v>
      </c>
      <c r="O446">
        <v>4.72</v>
      </c>
      <c r="P446">
        <v>3.51</v>
      </c>
      <c r="Q446">
        <v>4.25</v>
      </c>
      <c r="R446">
        <v>71.67</v>
      </c>
      <c r="S446">
        <v>76.5</v>
      </c>
      <c r="T446">
        <v>74.03</v>
      </c>
      <c r="U446">
        <v>80.39</v>
      </c>
      <c r="V446">
        <v>50.95</v>
      </c>
      <c r="W446">
        <v>65.67</v>
      </c>
      <c r="X446">
        <v>0.314</v>
      </c>
      <c r="Y446">
        <v>88.75</v>
      </c>
      <c r="Z446">
        <v>12126.18</v>
      </c>
      <c r="AA446">
        <v>210185</v>
      </c>
    </row>
    <row r="447" spans="1:27" x14ac:dyDescent="0.35">
      <c r="A447" t="s">
        <v>477</v>
      </c>
      <c r="B447" t="s">
        <v>1028</v>
      </c>
      <c r="C447" t="s">
        <v>476</v>
      </c>
      <c r="D447" t="str">
        <f t="shared" si="6"/>
        <v>76</v>
      </c>
      <c r="E447" t="s">
        <v>588</v>
      </c>
      <c r="F447">
        <v>9.7100000000000009</v>
      </c>
      <c r="G447">
        <v>9.5299999999999994</v>
      </c>
      <c r="H447">
        <v>9.68</v>
      </c>
      <c r="I447">
        <v>13.67</v>
      </c>
      <c r="J447">
        <v>14.39</v>
      </c>
      <c r="K447">
        <v>13.84</v>
      </c>
      <c r="L447">
        <v>76.31</v>
      </c>
      <c r="M447">
        <v>73.09</v>
      </c>
      <c r="N447">
        <v>74.150000000000006</v>
      </c>
      <c r="O447">
        <v>3.33</v>
      </c>
      <c r="P447">
        <v>4.3600000000000003</v>
      </c>
      <c r="Q447">
        <v>3.74</v>
      </c>
      <c r="R447">
        <v>68.819999999999993</v>
      </c>
      <c r="S447">
        <v>72.760000000000005</v>
      </c>
      <c r="T447">
        <v>70.739999999999995</v>
      </c>
      <c r="U447">
        <v>82.87</v>
      </c>
      <c r="V447">
        <v>53.64</v>
      </c>
      <c r="W447">
        <v>68.260000000000005</v>
      </c>
      <c r="X447">
        <v>0.34599999999999997</v>
      </c>
      <c r="Y447">
        <v>95.78</v>
      </c>
      <c r="Z447">
        <v>7050.45</v>
      </c>
      <c r="AA447">
        <v>186367</v>
      </c>
    </row>
    <row r="448" spans="1:27" x14ac:dyDescent="0.35">
      <c r="A448" t="s">
        <v>478</v>
      </c>
      <c r="B448" t="s">
        <v>1029</v>
      </c>
      <c r="C448" t="s">
        <v>476</v>
      </c>
      <c r="D448" t="str">
        <f t="shared" si="6"/>
        <v>76</v>
      </c>
      <c r="E448" t="s">
        <v>588</v>
      </c>
      <c r="F448">
        <v>8.1300000000000008</v>
      </c>
      <c r="G448">
        <v>7.56</v>
      </c>
      <c r="H448">
        <v>7.84</v>
      </c>
      <c r="I448">
        <v>13.25</v>
      </c>
      <c r="J448">
        <v>14.08</v>
      </c>
      <c r="K448">
        <v>13.51</v>
      </c>
      <c r="L448">
        <v>74.099999999999994</v>
      </c>
      <c r="M448">
        <v>68.930000000000007</v>
      </c>
      <c r="N448">
        <v>70.709999999999994</v>
      </c>
      <c r="O448">
        <v>3.07</v>
      </c>
      <c r="P448">
        <v>3.09</v>
      </c>
      <c r="Q448">
        <v>3.08</v>
      </c>
      <c r="R448">
        <v>69.53</v>
      </c>
      <c r="S448">
        <v>73.5</v>
      </c>
      <c r="T448">
        <v>71.459999999999994</v>
      </c>
      <c r="U448">
        <v>86.71</v>
      </c>
      <c r="V448">
        <v>59.76</v>
      </c>
      <c r="W448">
        <v>73.239999999999995</v>
      </c>
      <c r="X448">
        <v>0.51400000000000001</v>
      </c>
      <c r="Y448">
        <v>93.02</v>
      </c>
      <c r="Z448">
        <v>19306.48</v>
      </c>
      <c r="AA448">
        <v>507212</v>
      </c>
    </row>
    <row r="449" spans="1:27" x14ac:dyDescent="0.35">
      <c r="A449" t="s">
        <v>479</v>
      </c>
      <c r="B449" t="s">
        <v>1030</v>
      </c>
      <c r="C449" t="s">
        <v>476</v>
      </c>
      <c r="D449" t="str">
        <f t="shared" si="6"/>
        <v>76</v>
      </c>
      <c r="E449" t="s">
        <v>588</v>
      </c>
      <c r="F449">
        <v>8.5500000000000007</v>
      </c>
      <c r="G449">
        <v>8.41</v>
      </c>
      <c r="H449">
        <v>8.41</v>
      </c>
      <c r="I449">
        <v>12.33</v>
      </c>
      <c r="J449">
        <v>13.17</v>
      </c>
      <c r="K449">
        <v>12.61</v>
      </c>
      <c r="L449">
        <v>70.63</v>
      </c>
      <c r="M449">
        <v>69.540000000000006</v>
      </c>
      <c r="N449">
        <v>69.56</v>
      </c>
      <c r="O449">
        <v>2.96</v>
      </c>
      <c r="P449">
        <v>2.85</v>
      </c>
      <c r="Q449">
        <v>2.91</v>
      </c>
      <c r="R449">
        <v>70.47</v>
      </c>
      <c r="S449">
        <v>74.489999999999995</v>
      </c>
      <c r="T449">
        <v>72.430000000000007</v>
      </c>
      <c r="U449">
        <v>87.4</v>
      </c>
      <c r="V449">
        <v>75.900000000000006</v>
      </c>
      <c r="W449">
        <v>81.650000000000006</v>
      </c>
      <c r="X449">
        <v>0.442</v>
      </c>
      <c r="Y449">
        <v>98.46</v>
      </c>
      <c r="Z449">
        <v>4089.68</v>
      </c>
      <c r="AA449">
        <v>175508</v>
      </c>
    </row>
    <row r="450" spans="1:27" x14ac:dyDescent="0.35">
      <c r="A450" t="s">
        <v>480</v>
      </c>
      <c r="B450" t="s">
        <v>1031</v>
      </c>
      <c r="C450" t="s">
        <v>476</v>
      </c>
      <c r="D450" t="str">
        <f t="shared" si="6"/>
        <v>76</v>
      </c>
      <c r="E450" t="s">
        <v>588</v>
      </c>
      <c r="F450">
        <v>8.92</v>
      </c>
      <c r="G450">
        <v>8.48</v>
      </c>
      <c r="H450">
        <v>8.7100000000000009</v>
      </c>
      <c r="I450">
        <v>12.82</v>
      </c>
      <c r="J450">
        <v>13.79</v>
      </c>
      <c r="K450">
        <v>13.3</v>
      </c>
      <c r="L450">
        <v>75.47</v>
      </c>
      <c r="M450">
        <v>68.83</v>
      </c>
      <c r="N450">
        <v>72.77</v>
      </c>
      <c r="O450">
        <v>2.16</v>
      </c>
      <c r="P450">
        <v>5.01</v>
      </c>
      <c r="Q450">
        <v>3.38</v>
      </c>
      <c r="R450">
        <v>70.650000000000006</v>
      </c>
      <c r="S450">
        <v>74.680000000000007</v>
      </c>
      <c r="T450">
        <v>72.61</v>
      </c>
      <c r="U450">
        <v>86.52</v>
      </c>
      <c r="V450">
        <v>67.45</v>
      </c>
      <c r="W450">
        <v>76.989999999999995</v>
      </c>
      <c r="X450">
        <v>0.50900000000000001</v>
      </c>
      <c r="Y450">
        <v>91.2</v>
      </c>
      <c r="Z450">
        <v>17537.18</v>
      </c>
      <c r="AA450">
        <v>301879</v>
      </c>
    </row>
    <row r="451" spans="1:27" x14ac:dyDescent="0.35">
      <c r="A451" t="s">
        <v>573</v>
      </c>
      <c r="B451" t="s">
        <v>1032</v>
      </c>
      <c r="C451" t="s">
        <v>476</v>
      </c>
      <c r="D451" t="str">
        <f t="shared" ref="D451:D514" si="7">LEFT(B451,2)</f>
        <v>76</v>
      </c>
      <c r="E451" t="s">
        <v>588</v>
      </c>
      <c r="F451">
        <v>8.4</v>
      </c>
      <c r="G451">
        <v>8.14</v>
      </c>
      <c r="H451">
        <v>8.14</v>
      </c>
      <c r="I451">
        <v>12.09</v>
      </c>
      <c r="J451">
        <v>12.29</v>
      </c>
      <c r="K451">
        <v>12.1</v>
      </c>
      <c r="L451">
        <v>75.97</v>
      </c>
      <c r="M451">
        <v>65.66</v>
      </c>
      <c r="N451">
        <v>71.62</v>
      </c>
      <c r="O451">
        <v>1.01</v>
      </c>
      <c r="P451">
        <v>2.94</v>
      </c>
      <c r="Q451">
        <v>1.69</v>
      </c>
      <c r="R451">
        <v>68.930000000000007</v>
      </c>
      <c r="S451">
        <v>72.88</v>
      </c>
      <c r="T451">
        <v>70.86</v>
      </c>
      <c r="U451">
        <v>91.99</v>
      </c>
      <c r="V451">
        <v>54.11</v>
      </c>
      <c r="W451">
        <v>73.05</v>
      </c>
      <c r="X451">
        <v>0.38800000000000001</v>
      </c>
      <c r="Y451">
        <v>86.43</v>
      </c>
      <c r="Z451">
        <v>18418.400000000001</v>
      </c>
      <c r="AA451">
        <v>206581</v>
      </c>
    </row>
    <row r="452" spans="1:27" x14ac:dyDescent="0.35">
      <c r="A452" t="s">
        <v>482</v>
      </c>
      <c r="B452" t="s">
        <v>1033</v>
      </c>
      <c r="C452" t="s">
        <v>476</v>
      </c>
      <c r="D452" t="str">
        <f t="shared" si="7"/>
        <v>76</v>
      </c>
      <c r="E452" t="s">
        <v>588</v>
      </c>
      <c r="F452">
        <v>8.33</v>
      </c>
      <c r="G452">
        <v>8</v>
      </c>
      <c r="H452">
        <v>8.1</v>
      </c>
      <c r="I452">
        <v>12.65</v>
      </c>
      <c r="J452">
        <v>13.22</v>
      </c>
      <c r="K452">
        <v>12.69</v>
      </c>
      <c r="L452">
        <v>73.7</v>
      </c>
      <c r="M452">
        <v>64.05</v>
      </c>
      <c r="N452">
        <v>69.17</v>
      </c>
      <c r="O452">
        <v>1.01</v>
      </c>
      <c r="P452">
        <v>2.69</v>
      </c>
      <c r="Q452">
        <v>1.58</v>
      </c>
      <c r="R452">
        <v>68.52</v>
      </c>
      <c r="S452">
        <v>72.45</v>
      </c>
      <c r="T452">
        <v>70.44</v>
      </c>
      <c r="U452">
        <v>91.11</v>
      </c>
      <c r="V452">
        <v>49.77</v>
      </c>
      <c r="W452">
        <v>70.44</v>
      </c>
      <c r="X452">
        <v>0.45500000000000002</v>
      </c>
      <c r="Y452">
        <v>86.91</v>
      </c>
      <c r="Z452">
        <v>5190.3</v>
      </c>
      <c r="AA452">
        <v>147788</v>
      </c>
    </row>
    <row r="453" spans="1:27" x14ac:dyDescent="0.35">
      <c r="A453" t="s">
        <v>574</v>
      </c>
      <c r="B453" t="s">
        <v>1034</v>
      </c>
      <c r="C453" t="s">
        <v>483</v>
      </c>
      <c r="D453" t="str">
        <f t="shared" si="7"/>
        <v>81</v>
      </c>
      <c r="E453" t="s">
        <v>589</v>
      </c>
      <c r="F453">
        <v>10.07</v>
      </c>
      <c r="G453">
        <v>9.93</v>
      </c>
      <c r="H453">
        <v>9.93</v>
      </c>
      <c r="I453">
        <v>12.4</v>
      </c>
      <c r="J453">
        <v>13.2</v>
      </c>
      <c r="K453">
        <v>12.58</v>
      </c>
      <c r="L453">
        <v>71.73</v>
      </c>
      <c r="M453">
        <v>63.15</v>
      </c>
      <c r="N453">
        <v>68.47</v>
      </c>
      <c r="O453">
        <v>4.6100000000000003</v>
      </c>
      <c r="P453">
        <v>3.73</v>
      </c>
      <c r="Q453">
        <v>4.21</v>
      </c>
      <c r="R453">
        <v>68.62</v>
      </c>
      <c r="S453">
        <v>72.55</v>
      </c>
      <c r="T453">
        <v>70.53</v>
      </c>
      <c r="U453">
        <v>68.7</v>
      </c>
      <c r="V453">
        <v>57.57</v>
      </c>
      <c r="W453">
        <v>63.14</v>
      </c>
      <c r="X453">
        <v>0.5</v>
      </c>
      <c r="Y453">
        <v>88.04</v>
      </c>
      <c r="Z453">
        <v>3844.22</v>
      </c>
      <c r="AA453">
        <v>132317</v>
      </c>
    </row>
    <row r="454" spans="1:27" x14ac:dyDescent="0.35">
      <c r="A454" t="s">
        <v>485</v>
      </c>
      <c r="B454" t="s">
        <v>1035</v>
      </c>
      <c r="C454" t="s">
        <v>483</v>
      </c>
      <c r="D454" t="str">
        <f t="shared" si="7"/>
        <v>81</v>
      </c>
      <c r="E454" t="s">
        <v>589</v>
      </c>
      <c r="F454">
        <v>10.19</v>
      </c>
      <c r="G454">
        <v>9.85</v>
      </c>
      <c r="H454">
        <v>9.85</v>
      </c>
      <c r="I454">
        <v>12.81</v>
      </c>
      <c r="J454">
        <v>13.36</v>
      </c>
      <c r="K454">
        <v>13.11</v>
      </c>
      <c r="L454">
        <v>72.930000000000007</v>
      </c>
      <c r="M454">
        <v>70.48</v>
      </c>
      <c r="N454">
        <v>71.16</v>
      </c>
      <c r="O454">
        <v>7.62</v>
      </c>
      <c r="P454">
        <v>4.05</v>
      </c>
      <c r="Q454">
        <v>6.01</v>
      </c>
      <c r="R454">
        <v>69.31</v>
      </c>
      <c r="S454">
        <v>73.27</v>
      </c>
      <c r="T454">
        <v>71.239999999999995</v>
      </c>
      <c r="U454">
        <v>74.31</v>
      </c>
      <c r="V454">
        <v>59.76</v>
      </c>
      <c r="W454">
        <v>67.040000000000006</v>
      </c>
      <c r="X454">
        <v>0.51600000000000001</v>
      </c>
      <c r="Y454">
        <v>96.64</v>
      </c>
      <c r="Z454">
        <v>4669.57</v>
      </c>
      <c r="AA454">
        <v>127502</v>
      </c>
    </row>
    <row r="455" spans="1:27" x14ac:dyDescent="0.35">
      <c r="A455" t="s">
        <v>486</v>
      </c>
      <c r="B455" t="s">
        <v>1036</v>
      </c>
      <c r="C455" t="s">
        <v>483</v>
      </c>
      <c r="D455" t="str">
        <f t="shared" si="7"/>
        <v>81</v>
      </c>
      <c r="E455" t="s">
        <v>589</v>
      </c>
      <c r="F455">
        <v>10.14</v>
      </c>
      <c r="G455">
        <v>10.06</v>
      </c>
      <c r="H455">
        <v>10.06</v>
      </c>
      <c r="I455">
        <v>14.06</v>
      </c>
      <c r="J455">
        <v>15.33</v>
      </c>
      <c r="K455">
        <v>14.68</v>
      </c>
      <c r="L455">
        <v>76.650000000000006</v>
      </c>
      <c r="M455">
        <v>75.81</v>
      </c>
      <c r="N455">
        <v>75.87</v>
      </c>
      <c r="O455">
        <v>7.04</v>
      </c>
      <c r="P455">
        <v>6.78</v>
      </c>
      <c r="Q455">
        <v>6.93</v>
      </c>
      <c r="R455">
        <v>69.349999999999994</v>
      </c>
      <c r="S455">
        <v>73.31</v>
      </c>
      <c r="T455">
        <v>71.28</v>
      </c>
      <c r="U455">
        <v>75.099999999999994</v>
      </c>
      <c r="V455">
        <v>57.23</v>
      </c>
      <c r="W455">
        <v>66.17</v>
      </c>
      <c r="X455">
        <v>0.51900000000000002</v>
      </c>
      <c r="Y455">
        <v>98.9</v>
      </c>
      <c r="Z455">
        <v>12194.1</v>
      </c>
      <c r="AA455">
        <v>445618</v>
      </c>
    </row>
    <row r="456" spans="1:27" x14ac:dyDescent="0.35">
      <c r="A456" t="s">
        <v>487</v>
      </c>
      <c r="B456" t="s">
        <v>1037</v>
      </c>
      <c r="C456" t="s">
        <v>483</v>
      </c>
      <c r="D456" t="str">
        <f t="shared" si="7"/>
        <v>81</v>
      </c>
      <c r="E456" t="s">
        <v>589</v>
      </c>
      <c r="F456">
        <v>9.51</v>
      </c>
      <c r="G456">
        <v>9.01</v>
      </c>
      <c r="H456">
        <v>9.2799999999999994</v>
      </c>
      <c r="I456">
        <v>13.19</v>
      </c>
      <c r="J456">
        <v>13.96</v>
      </c>
      <c r="K456">
        <v>13.25</v>
      </c>
      <c r="L456">
        <v>77.84</v>
      </c>
      <c r="M456">
        <v>71.540000000000006</v>
      </c>
      <c r="N456">
        <v>73.239999999999995</v>
      </c>
      <c r="O456">
        <v>3.49</v>
      </c>
      <c r="P456">
        <v>6.63</v>
      </c>
      <c r="Q456">
        <v>4.66</v>
      </c>
      <c r="R456">
        <v>68.64</v>
      </c>
      <c r="S456">
        <v>72.569999999999993</v>
      </c>
      <c r="T456">
        <v>70.56</v>
      </c>
      <c r="U456">
        <v>89.29</v>
      </c>
      <c r="V456">
        <v>55.58</v>
      </c>
      <c r="W456">
        <v>72.44</v>
      </c>
      <c r="X456">
        <v>0.58099999999999996</v>
      </c>
      <c r="Y456">
        <v>91.91</v>
      </c>
      <c r="Z456">
        <v>3348.3</v>
      </c>
      <c r="AA456">
        <v>144124</v>
      </c>
    </row>
    <row r="457" spans="1:27" x14ac:dyDescent="0.35">
      <c r="A457" t="s">
        <v>488</v>
      </c>
      <c r="B457" t="s">
        <v>1038</v>
      </c>
      <c r="C457" t="s">
        <v>483</v>
      </c>
      <c r="D457" t="str">
        <f t="shared" si="7"/>
        <v>81</v>
      </c>
      <c r="E457" t="s">
        <v>589</v>
      </c>
      <c r="F457">
        <v>9.51</v>
      </c>
      <c r="G457">
        <v>9.2799999999999994</v>
      </c>
      <c r="H457">
        <v>9.4600000000000009</v>
      </c>
      <c r="I457">
        <v>12.4</v>
      </c>
      <c r="J457">
        <v>12.92</v>
      </c>
      <c r="K457">
        <v>12.51</v>
      </c>
      <c r="L457">
        <v>73.819999999999993</v>
      </c>
      <c r="M457">
        <v>66.319999999999993</v>
      </c>
      <c r="N457">
        <v>69.73</v>
      </c>
      <c r="O457">
        <v>1.08</v>
      </c>
      <c r="P457">
        <v>4.2699999999999996</v>
      </c>
      <c r="Q457">
        <v>2.1</v>
      </c>
      <c r="R457">
        <v>68.680000000000007</v>
      </c>
      <c r="S457">
        <v>72.61</v>
      </c>
      <c r="T457">
        <v>70.599999999999994</v>
      </c>
      <c r="U457">
        <v>81.67</v>
      </c>
      <c r="V457">
        <v>40.479999999999997</v>
      </c>
      <c r="W457">
        <v>61.08</v>
      </c>
      <c r="X457">
        <v>0.59899999999999998</v>
      </c>
      <c r="Y457">
        <v>89.84</v>
      </c>
      <c r="Z457">
        <v>5123.71</v>
      </c>
      <c r="AA457">
        <v>110930</v>
      </c>
    </row>
    <row r="458" spans="1:27" x14ac:dyDescent="0.35">
      <c r="A458" t="s">
        <v>489</v>
      </c>
      <c r="B458" t="s">
        <v>1039</v>
      </c>
      <c r="C458" t="s">
        <v>483</v>
      </c>
      <c r="D458" t="str">
        <f t="shared" si="7"/>
        <v>81</v>
      </c>
      <c r="E458" t="s">
        <v>589</v>
      </c>
      <c r="F458">
        <v>9.65</v>
      </c>
      <c r="G458">
        <v>9.5399999999999991</v>
      </c>
      <c r="H458">
        <v>9.6</v>
      </c>
      <c r="I458">
        <v>13.5</v>
      </c>
      <c r="J458">
        <v>13.83</v>
      </c>
      <c r="K458">
        <v>13.71</v>
      </c>
      <c r="L458">
        <v>73.14</v>
      </c>
      <c r="M458">
        <v>72.2</v>
      </c>
      <c r="N458">
        <v>72.91</v>
      </c>
      <c r="O458">
        <v>3.3</v>
      </c>
      <c r="P458">
        <v>7.25</v>
      </c>
      <c r="Q458">
        <v>4.92</v>
      </c>
      <c r="R458">
        <v>69.63</v>
      </c>
      <c r="S458">
        <v>73.61</v>
      </c>
      <c r="T458">
        <v>71.58</v>
      </c>
      <c r="U458">
        <v>81.86</v>
      </c>
      <c r="V458">
        <v>59.21</v>
      </c>
      <c r="W458">
        <v>70.540000000000006</v>
      </c>
      <c r="X458">
        <v>0.56499999999999995</v>
      </c>
      <c r="Y458">
        <v>98.71</v>
      </c>
      <c r="Z458">
        <v>4330.0200000000004</v>
      </c>
      <c r="AA458">
        <v>229622</v>
      </c>
    </row>
    <row r="459" spans="1:27" x14ac:dyDescent="0.35">
      <c r="A459" t="s">
        <v>490</v>
      </c>
      <c r="B459" t="s">
        <v>1040</v>
      </c>
      <c r="C459" t="s">
        <v>483</v>
      </c>
      <c r="D459" t="str">
        <f t="shared" si="7"/>
        <v>81</v>
      </c>
      <c r="E459" t="s">
        <v>589</v>
      </c>
      <c r="F459">
        <v>9.67</v>
      </c>
      <c r="G459">
        <v>8.59</v>
      </c>
      <c r="H459">
        <v>9.25</v>
      </c>
      <c r="I459">
        <v>13.03</v>
      </c>
      <c r="J459">
        <v>13.49</v>
      </c>
      <c r="K459">
        <v>13.07</v>
      </c>
      <c r="L459">
        <v>74.97</v>
      </c>
      <c r="M459">
        <v>67.069999999999993</v>
      </c>
      <c r="N459">
        <v>71.099999999999994</v>
      </c>
      <c r="O459">
        <v>3.67</v>
      </c>
      <c r="P459">
        <v>2.4700000000000002</v>
      </c>
      <c r="Q459">
        <v>3.18</v>
      </c>
      <c r="R459">
        <v>67.260000000000005</v>
      </c>
      <c r="S459">
        <v>71.22</v>
      </c>
      <c r="T459">
        <v>69.19</v>
      </c>
      <c r="U459">
        <v>72.760000000000005</v>
      </c>
      <c r="V459">
        <v>50.66</v>
      </c>
      <c r="W459">
        <v>61.71</v>
      </c>
      <c r="X459">
        <v>0.60399999999999998</v>
      </c>
      <c r="Y459">
        <v>89.46</v>
      </c>
      <c r="Z459">
        <v>3773.4</v>
      </c>
      <c r="AA459">
        <v>149475</v>
      </c>
    </row>
    <row r="460" spans="1:27" x14ac:dyDescent="0.35">
      <c r="A460" t="s">
        <v>491</v>
      </c>
      <c r="B460" t="s">
        <v>1041</v>
      </c>
      <c r="C460" t="s">
        <v>483</v>
      </c>
      <c r="D460" t="str">
        <f t="shared" si="7"/>
        <v>81</v>
      </c>
      <c r="E460" t="s">
        <v>589</v>
      </c>
      <c r="F460">
        <v>9.4700000000000006</v>
      </c>
      <c r="G460">
        <v>9.2899999999999991</v>
      </c>
      <c r="H460">
        <v>9.39</v>
      </c>
      <c r="I460">
        <v>12.8</v>
      </c>
      <c r="J460">
        <v>13.23</v>
      </c>
      <c r="K460">
        <v>12.94</v>
      </c>
      <c r="L460">
        <v>72.58</v>
      </c>
      <c r="M460">
        <v>65.98</v>
      </c>
      <c r="N460">
        <v>68.66</v>
      </c>
      <c r="O460">
        <v>1.83</v>
      </c>
      <c r="P460">
        <v>3.88</v>
      </c>
      <c r="Q460">
        <v>2.69</v>
      </c>
      <c r="R460">
        <v>68.19</v>
      </c>
      <c r="S460">
        <v>72.12</v>
      </c>
      <c r="T460">
        <v>70.11</v>
      </c>
      <c r="U460">
        <v>80.510000000000005</v>
      </c>
      <c r="V460">
        <v>61.16</v>
      </c>
      <c r="W460">
        <v>70.84</v>
      </c>
      <c r="X460">
        <v>0.48899999999999999</v>
      </c>
      <c r="Y460">
        <v>90.91</v>
      </c>
      <c r="Z460">
        <v>3437.34</v>
      </c>
      <c r="AA460">
        <v>88571</v>
      </c>
    </row>
    <row r="461" spans="1:27" x14ac:dyDescent="0.35">
      <c r="A461" t="s">
        <v>492</v>
      </c>
      <c r="B461" t="s">
        <v>1042</v>
      </c>
      <c r="C461" t="s">
        <v>483</v>
      </c>
      <c r="D461" t="str">
        <f t="shared" si="7"/>
        <v>81</v>
      </c>
      <c r="E461" t="s">
        <v>589</v>
      </c>
      <c r="F461">
        <v>9.11</v>
      </c>
      <c r="G461">
        <v>8.42</v>
      </c>
      <c r="H461">
        <v>8.74</v>
      </c>
      <c r="I461">
        <v>12.98</v>
      </c>
      <c r="J461">
        <v>13.08</v>
      </c>
      <c r="K461">
        <v>13.01</v>
      </c>
      <c r="L461">
        <v>75.38</v>
      </c>
      <c r="M461">
        <v>65.930000000000007</v>
      </c>
      <c r="N461">
        <v>69.36</v>
      </c>
      <c r="O461">
        <v>0.78</v>
      </c>
      <c r="P461">
        <v>2.0099999999999998</v>
      </c>
      <c r="Q461">
        <v>1.29</v>
      </c>
      <c r="R461">
        <v>68.62</v>
      </c>
      <c r="S461">
        <v>72.55</v>
      </c>
      <c r="T461">
        <v>70.540000000000006</v>
      </c>
      <c r="U461">
        <v>82.95</v>
      </c>
      <c r="V461">
        <v>61.2</v>
      </c>
      <c r="W461">
        <v>72.08</v>
      </c>
      <c r="X461">
        <v>0.59199999999999997</v>
      </c>
      <c r="Y461">
        <v>87.46</v>
      </c>
      <c r="Z461">
        <v>1989.95</v>
      </c>
      <c r="AA461">
        <v>82219</v>
      </c>
    </row>
    <row r="462" spans="1:27" x14ac:dyDescent="0.35">
      <c r="A462" t="s">
        <v>493</v>
      </c>
      <c r="B462" t="s">
        <v>1043</v>
      </c>
      <c r="C462" t="s">
        <v>483</v>
      </c>
      <c r="D462" t="str">
        <f t="shared" si="7"/>
        <v>81</v>
      </c>
      <c r="E462" t="s">
        <v>589</v>
      </c>
      <c r="F462">
        <v>12.35</v>
      </c>
      <c r="G462">
        <v>12.4</v>
      </c>
      <c r="H462">
        <v>12.37</v>
      </c>
      <c r="I462">
        <v>15.67</v>
      </c>
      <c r="J462">
        <v>16.71</v>
      </c>
      <c r="K462">
        <v>16.09</v>
      </c>
      <c r="L462">
        <v>85.26</v>
      </c>
      <c r="M462">
        <v>83.84</v>
      </c>
      <c r="N462">
        <v>83.97</v>
      </c>
      <c r="O462">
        <v>10.63</v>
      </c>
      <c r="P462">
        <v>12.35</v>
      </c>
      <c r="Q462">
        <v>11.37</v>
      </c>
      <c r="R462">
        <v>71.37</v>
      </c>
      <c r="S462">
        <v>75.86</v>
      </c>
      <c r="T462">
        <v>73.56</v>
      </c>
      <c r="U462">
        <v>76.14</v>
      </c>
      <c r="V462">
        <v>56.45</v>
      </c>
      <c r="W462">
        <v>66.3</v>
      </c>
      <c r="X462">
        <v>0.41699999999999998</v>
      </c>
      <c r="Y462">
        <v>98.33</v>
      </c>
      <c r="Z462">
        <v>21016.49</v>
      </c>
      <c r="AA462">
        <v>366301</v>
      </c>
    </row>
    <row r="463" spans="1:27" x14ac:dyDescent="0.35">
      <c r="A463" t="s">
        <v>494</v>
      </c>
      <c r="B463" t="s">
        <v>1044</v>
      </c>
      <c r="C463" t="s">
        <v>483</v>
      </c>
      <c r="D463" t="str">
        <f t="shared" si="7"/>
        <v>81</v>
      </c>
      <c r="E463" t="s">
        <v>589</v>
      </c>
      <c r="F463">
        <v>11.12</v>
      </c>
      <c r="G463">
        <v>10.45</v>
      </c>
      <c r="H463">
        <v>10.68</v>
      </c>
      <c r="I463">
        <v>14.02</v>
      </c>
      <c r="J463">
        <v>14.88</v>
      </c>
      <c r="K463">
        <v>14.03</v>
      </c>
      <c r="L463">
        <v>77.540000000000006</v>
      </c>
      <c r="M463">
        <v>68.989999999999995</v>
      </c>
      <c r="N463">
        <v>72.88</v>
      </c>
      <c r="O463">
        <v>10.16</v>
      </c>
      <c r="P463">
        <v>6.95</v>
      </c>
      <c r="Q463">
        <v>8.9600000000000009</v>
      </c>
      <c r="R463">
        <v>70.099999999999994</v>
      </c>
      <c r="S463">
        <v>74.099999999999994</v>
      </c>
      <c r="T463">
        <v>72.05</v>
      </c>
      <c r="U463">
        <v>76.7</v>
      </c>
      <c r="V463">
        <v>44.74</v>
      </c>
      <c r="W463">
        <v>60.72</v>
      </c>
      <c r="X463">
        <v>0.53500000000000003</v>
      </c>
      <c r="Y463">
        <v>88.97</v>
      </c>
      <c r="Z463">
        <v>3603.92</v>
      </c>
      <c r="AA463">
        <v>93884</v>
      </c>
    </row>
    <row r="464" spans="1:27" x14ac:dyDescent="0.35">
      <c r="A464" t="s">
        <v>496</v>
      </c>
      <c r="B464" t="s">
        <v>1045</v>
      </c>
      <c r="C464" t="s">
        <v>495</v>
      </c>
      <c r="D464" t="str">
        <f t="shared" si="7"/>
        <v>82</v>
      </c>
      <c r="E464" t="s">
        <v>589</v>
      </c>
      <c r="F464">
        <v>9.11</v>
      </c>
      <c r="G464">
        <v>8.52</v>
      </c>
      <c r="H464">
        <v>8.6</v>
      </c>
      <c r="I464">
        <v>13.23</v>
      </c>
      <c r="J464">
        <v>13.33</v>
      </c>
      <c r="K464">
        <v>13.26</v>
      </c>
      <c r="L464">
        <v>74.349999999999994</v>
      </c>
      <c r="M464">
        <v>66.61</v>
      </c>
      <c r="N464">
        <v>69.75</v>
      </c>
      <c r="O464">
        <v>3.07</v>
      </c>
      <c r="P464">
        <v>5.36</v>
      </c>
      <c r="Q464">
        <v>4.0599999999999996</v>
      </c>
      <c r="R464">
        <v>69.180000000000007</v>
      </c>
      <c r="S464">
        <v>73.14</v>
      </c>
      <c r="T464">
        <v>71.11</v>
      </c>
      <c r="U464">
        <v>76.72</v>
      </c>
      <c r="V464">
        <v>62.43</v>
      </c>
      <c r="W464">
        <v>69.58</v>
      </c>
      <c r="X464">
        <v>0.51500000000000001</v>
      </c>
      <c r="Y464">
        <v>89.59</v>
      </c>
      <c r="Z464">
        <v>3169.6</v>
      </c>
      <c r="AA464">
        <v>139126</v>
      </c>
    </row>
    <row r="465" spans="1:27" x14ac:dyDescent="0.35">
      <c r="A465" t="s">
        <v>497</v>
      </c>
      <c r="B465" t="s">
        <v>1046</v>
      </c>
      <c r="C465" t="s">
        <v>495</v>
      </c>
      <c r="D465" t="str">
        <f t="shared" si="7"/>
        <v>82</v>
      </c>
      <c r="E465" t="s">
        <v>589</v>
      </c>
      <c r="F465">
        <v>9.57</v>
      </c>
      <c r="G465">
        <v>9.0399999999999991</v>
      </c>
      <c r="H465">
        <v>9.2100000000000009</v>
      </c>
      <c r="I465">
        <v>13.72</v>
      </c>
      <c r="J465">
        <v>13.6</v>
      </c>
      <c r="K465">
        <v>13.69</v>
      </c>
      <c r="L465">
        <v>75.569999999999993</v>
      </c>
      <c r="M465">
        <v>68.599999999999994</v>
      </c>
      <c r="N465">
        <v>71.569999999999993</v>
      </c>
      <c r="O465">
        <v>2.38</v>
      </c>
      <c r="P465">
        <v>7.21</v>
      </c>
      <c r="Q465">
        <v>3.96</v>
      </c>
      <c r="R465">
        <v>68.97</v>
      </c>
      <c r="S465">
        <v>72.92</v>
      </c>
      <c r="T465">
        <v>70.900000000000006</v>
      </c>
      <c r="U465">
        <v>90.62</v>
      </c>
      <c r="V465">
        <v>49.83</v>
      </c>
      <c r="W465">
        <v>70.23</v>
      </c>
      <c r="X465">
        <v>0.61499999999999999</v>
      </c>
      <c r="Y465">
        <v>90.78</v>
      </c>
      <c r="Z465">
        <v>54961.04</v>
      </c>
      <c r="AA465">
        <v>63104</v>
      </c>
    </row>
    <row r="466" spans="1:27" x14ac:dyDescent="0.35">
      <c r="A466" t="s">
        <v>498</v>
      </c>
      <c r="B466" t="s">
        <v>1047</v>
      </c>
      <c r="C466" t="s">
        <v>495</v>
      </c>
      <c r="D466" t="str">
        <f t="shared" si="7"/>
        <v>82</v>
      </c>
      <c r="E466" t="s">
        <v>589</v>
      </c>
      <c r="F466">
        <v>9.58</v>
      </c>
      <c r="G466">
        <v>9.17</v>
      </c>
      <c r="H466">
        <v>9.1999999999999993</v>
      </c>
      <c r="I466">
        <v>13.22</v>
      </c>
      <c r="J466">
        <v>13.16</v>
      </c>
      <c r="K466">
        <v>13.16</v>
      </c>
      <c r="L466">
        <v>72.7</v>
      </c>
      <c r="M466">
        <v>68.03</v>
      </c>
      <c r="N466">
        <v>68.89</v>
      </c>
      <c r="O466">
        <v>1.61</v>
      </c>
      <c r="P466">
        <v>5.87</v>
      </c>
      <c r="Q466">
        <v>3.11</v>
      </c>
      <c r="R466">
        <v>67.260000000000005</v>
      </c>
      <c r="S466">
        <v>71.22</v>
      </c>
      <c r="T466">
        <v>69.19</v>
      </c>
      <c r="U466">
        <v>80.95</v>
      </c>
      <c r="V466">
        <v>46.61</v>
      </c>
      <c r="W466">
        <v>63.78</v>
      </c>
      <c r="X466">
        <v>0.58499999999999996</v>
      </c>
      <c r="Y466">
        <v>93.58</v>
      </c>
      <c r="Z466">
        <v>3617.08</v>
      </c>
      <c r="AA466">
        <v>110535</v>
      </c>
    </row>
    <row r="467" spans="1:27" x14ac:dyDescent="0.35">
      <c r="A467" t="s">
        <v>499</v>
      </c>
      <c r="B467" t="s">
        <v>1048</v>
      </c>
      <c r="C467" t="s">
        <v>495</v>
      </c>
      <c r="D467" t="str">
        <f t="shared" si="7"/>
        <v>82</v>
      </c>
      <c r="E467" t="s">
        <v>589</v>
      </c>
      <c r="F467">
        <v>8.8000000000000007</v>
      </c>
      <c r="G467">
        <v>8.09</v>
      </c>
      <c r="H467">
        <v>8.43</v>
      </c>
      <c r="I467">
        <v>13.2</v>
      </c>
      <c r="J467">
        <v>12.92</v>
      </c>
      <c r="K467">
        <v>13.05</v>
      </c>
      <c r="L467">
        <v>74.150000000000006</v>
      </c>
      <c r="M467">
        <v>65.19</v>
      </c>
      <c r="N467">
        <v>69.05</v>
      </c>
      <c r="O467">
        <v>1.58</v>
      </c>
      <c r="P467">
        <v>3.99</v>
      </c>
      <c r="Q467">
        <v>2.5499999999999998</v>
      </c>
      <c r="R467">
        <v>69.05</v>
      </c>
      <c r="S467">
        <v>73</v>
      </c>
      <c r="T467">
        <v>70.98</v>
      </c>
      <c r="U467">
        <v>85.86</v>
      </c>
      <c r="V467">
        <v>63.67</v>
      </c>
      <c r="W467">
        <v>74.77</v>
      </c>
      <c r="X467">
        <v>0.56899999999999995</v>
      </c>
      <c r="Y467">
        <v>87.92</v>
      </c>
      <c r="Z467">
        <v>30766.41</v>
      </c>
      <c r="AA467">
        <v>269008</v>
      </c>
    </row>
    <row r="468" spans="1:27" x14ac:dyDescent="0.35">
      <c r="A468" t="s">
        <v>500</v>
      </c>
      <c r="B468" t="s">
        <v>1049</v>
      </c>
      <c r="C468" t="s">
        <v>495</v>
      </c>
      <c r="D468" t="str">
        <f t="shared" si="7"/>
        <v>82</v>
      </c>
      <c r="E468" t="s">
        <v>589</v>
      </c>
      <c r="F468">
        <v>9.25</v>
      </c>
      <c r="G468">
        <v>8.57</v>
      </c>
      <c r="H468">
        <v>8.84</v>
      </c>
      <c r="I468">
        <v>13.81</v>
      </c>
      <c r="J468">
        <v>13.74</v>
      </c>
      <c r="K468">
        <v>13.81</v>
      </c>
      <c r="L468">
        <v>76.25</v>
      </c>
      <c r="M468">
        <v>69.319999999999993</v>
      </c>
      <c r="N468">
        <v>71.25</v>
      </c>
      <c r="O468">
        <v>7.24</v>
      </c>
      <c r="P468">
        <v>5.77</v>
      </c>
      <c r="Q468">
        <v>6.7</v>
      </c>
      <c r="R468">
        <v>70.349999999999994</v>
      </c>
      <c r="S468">
        <v>74.36</v>
      </c>
      <c r="T468">
        <v>72.3</v>
      </c>
      <c r="U468">
        <v>87.35</v>
      </c>
      <c r="V468">
        <v>54.12</v>
      </c>
      <c r="W468">
        <v>70.739999999999995</v>
      </c>
      <c r="X468">
        <v>0.51200000000000001</v>
      </c>
      <c r="Y468">
        <v>90.91</v>
      </c>
      <c r="Z468">
        <v>7843.97</v>
      </c>
      <c r="AA468">
        <v>210263</v>
      </c>
    </row>
    <row r="469" spans="1:27" x14ac:dyDescent="0.35">
      <c r="A469" t="s">
        <v>501</v>
      </c>
      <c r="B469" t="s">
        <v>1050</v>
      </c>
      <c r="C469" t="s">
        <v>495</v>
      </c>
      <c r="D469" t="str">
        <f t="shared" si="7"/>
        <v>82</v>
      </c>
      <c r="E469" t="s">
        <v>589</v>
      </c>
      <c r="F469">
        <v>9.35</v>
      </c>
      <c r="G469">
        <v>8.84</v>
      </c>
      <c r="H469">
        <v>9.07</v>
      </c>
      <c r="I469">
        <v>13.54</v>
      </c>
      <c r="J469">
        <v>12.95</v>
      </c>
      <c r="K469">
        <v>13.01</v>
      </c>
      <c r="L469">
        <v>76.59</v>
      </c>
      <c r="M469">
        <v>63.6</v>
      </c>
      <c r="N469">
        <v>71.11</v>
      </c>
      <c r="O469">
        <v>5.04</v>
      </c>
      <c r="P469">
        <v>4.49</v>
      </c>
      <c r="Q469">
        <v>4.8499999999999996</v>
      </c>
      <c r="R469">
        <v>70.09</v>
      </c>
      <c r="S469">
        <v>74.09</v>
      </c>
      <c r="T469">
        <v>72.040000000000006</v>
      </c>
      <c r="U469">
        <v>87.02</v>
      </c>
      <c r="V469">
        <v>51.62</v>
      </c>
      <c r="W469">
        <v>69.319999999999993</v>
      </c>
      <c r="X469">
        <v>0.56100000000000005</v>
      </c>
      <c r="Y469">
        <v>83.04</v>
      </c>
      <c r="Z469">
        <v>8316.9</v>
      </c>
      <c r="AA469">
        <v>99869</v>
      </c>
    </row>
    <row r="470" spans="1:27" x14ac:dyDescent="0.35">
      <c r="A470" t="s">
        <v>502</v>
      </c>
      <c r="B470" t="s">
        <v>1051</v>
      </c>
      <c r="C470" t="s">
        <v>495</v>
      </c>
      <c r="D470" t="str">
        <f t="shared" si="7"/>
        <v>82</v>
      </c>
      <c r="E470" t="s">
        <v>589</v>
      </c>
      <c r="F470">
        <v>8.3699999999999992</v>
      </c>
      <c r="G470">
        <v>7.43</v>
      </c>
      <c r="H470">
        <v>7.91</v>
      </c>
      <c r="I470">
        <v>13.19</v>
      </c>
      <c r="J470">
        <v>13.11</v>
      </c>
      <c r="K470">
        <v>13.19</v>
      </c>
      <c r="L470">
        <v>73.72</v>
      </c>
      <c r="M470">
        <v>53.79</v>
      </c>
      <c r="N470">
        <v>67.86</v>
      </c>
      <c r="O470">
        <v>3.73</v>
      </c>
      <c r="P470">
        <v>6.59</v>
      </c>
      <c r="Q470">
        <v>4.74</v>
      </c>
      <c r="R470">
        <v>69.69</v>
      </c>
      <c r="S470">
        <v>73.67</v>
      </c>
      <c r="T470">
        <v>71.63</v>
      </c>
      <c r="U470">
        <v>84.04</v>
      </c>
      <c r="V470">
        <v>49.31</v>
      </c>
      <c r="W470">
        <v>66.680000000000007</v>
      </c>
      <c r="X470">
        <v>0.495</v>
      </c>
      <c r="Y470">
        <v>72.97</v>
      </c>
      <c r="Z470">
        <v>2195.2199999999998</v>
      </c>
      <c r="AA470">
        <v>80968</v>
      </c>
    </row>
    <row r="471" spans="1:27" x14ac:dyDescent="0.35">
      <c r="A471" t="s">
        <v>503</v>
      </c>
      <c r="B471" t="s">
        <v>1052</v>
      </c>
      <c r="C471" t="s">
        <v>495</v>
      </c>
      <c r="D471" t="str">
        <f t="shared" si="7"/>
        <v>82</v>
      </c>
      <c r="E471" t="s">
        <v>589</v>
      </c>
      <c r="F471">
        <v>8.4600000000000009</v>
      </c>
      <c r="G471">
        <v>8.01</v>
      </c>
      <c r="H471">
        <v>8.15</v>
      </c>
      <c r="I471">
        <v>12.79</v>
      </c>
      <c r="J471">
        <v>13.12</v>
      </c>
      <c r="K471">
        <v>12.89</v>
      </c>
      <c r="L471">
        <v>71.569999999999993</v>
      </c>
      <c r="M471">
        <v>61.08</v>
      </c>
      <c r="N471">
        <v>65.61</v>
      </c>
      <c r="O471">
        <v>2.0099999999999998</v>
      </c>
      <c r="P471">
        <v>6.11</v>
      </c>
      <c r="Q471">
        <v>3.4</v>
      </c>
      <c r="R471">
        <v>65.59</v>
      </c>
      <c r="S471">
        <v>69.56</v>
      </c>
      <c r="T471">
        <v>67.52</v>
      </c>
      <c r="U471">
        <v>83.69</v>
      </c>
      <c r="V471">
        <v>46.74</v>
      </c>
      <c r="W471">
        <v>65.22</v>
      </c>
      <c r="X471">
        <v>0.57999999999999996</v>
      </c>
      <c r="Y471">
        <v>85.34</v>
      </c>
      <c r="Z471">
        <v>2276.7199999999998</v>
      </c>
      <c r="AA471">
        <v>62230</v>
      </c>
    </row>
    <row r="472" spans="1:27" x14ac:dyDescent="0.35">
      <c r="A472" t="s">
        <v>504</v>
      </c>
      <c r="B472" t="s">
        <v>1053</v>
      </c>
      <c r="C472" t="s">
        <v>495</v>
      </c>
      <c r="D472" t="str">
        <f t="shared" si="7"/>
        <v>82</v>
      </c>
      <c r="E472" t="s">
        <v>589</v>
      </c>
      <c r="F472">
        <v>12.36</v>
      </c>
      <c r="G472">
        <v>11.83</v>
      </c>
      <c r="H472">
        <v>12.09</v>
      </c>
      <c r="I472">
        <v>15.95</v>
      </c>
      <c r="J472">
        <v>15.93</v>
      </c>
      <c r="K472">
        <v>15.93</v>
      </c>
      <c r="L472">
        <v>86.35</v>
      </c>
      <c r="M472">
        <v>80.12</v>
      </c>
      <c r="N472">
        <v>83.01</v>
      </c>
      <c r="O472">
        <v>7.76</v>
      </c>
      <c r="P472">
        <v>5.52</v>
      </c>
      <c r="Q472">
        <v>6.92</v>
      </c>
      <c r="R472">
        <v>71.239999999999995</v>
      </c>
      <c r="S472">
        <v>75.58</v>
      </c>
      <c r="T472">
        <v>73.36</v>
      </c>
      <c r="U472">
        <v>79.19</v>
      </c>
      <c r="V472">
        <v>48.46</v>
      </c>
      <c r="W472">
        <v>63.83</v>
      </c>
      <c r="X472">
        <v>0.30099999999999999</v>
      </c>
      <c r="Y472">
        <v>92.79</v>
      </c>
      <c r="Z472">
        <v>16572.43</v>
      </c>
      <c r="AA472">
        <v>216773</v>
      </c>
    </row>
    <row r="473" spans="1:27" x14ac:dyDescent="0.35">
      <c r="A473" t="s">
        <v>505</v>
      </c>
      <c r="B473" t="s">
        <v>1054</v>
      </c>
      <c r="C473" t="s">
        <v>495</v>
      </c>
      <c r="D473" t="str">
        <f t="shared" si="7"/>
        <v>82</v>
      </c>
      <c r="E473" t="s">
        <v>589</v>
      </c>
      <c r="F473">
        <v>10.51</v>
      </c>
      <c r="G473">
        <v>10.09</v>
      </c>
      <c r="H473">
        <v>10.18</v>
      </c>
      <c r="I473">
        <v>14.22</v>
      </c>
      <c r="J473">
        <v>15.33</v>
      </c>
      <c r="K473">
        <v>14.5</v>
      </c>
      <c r="L473">
        <v>76.83</v>
      </c>
      <c r="M473">
        <v>74.53</v>
      </c>
      <c r="N473">
        <v>74.63</v>
      </c>
      <c r="O473">
        <v>4.03</v>
      </c>
      <c r="P473">
        <v>4.01</v>
      </c>
      <c r="Q473">
        <v>4.0199999999999996</v>
      </c>
      <c r="R473">
        <v>71.010000000000005</v>
      </c>
      <c r="S473">
        <v>75.099999999999994</v>
      </c>
      <c r="T473">
        <v>73</v>
      </c>
      <c r="U473">
        <v>86.32</v>
      </c>
      <c r="V473">
        <v>53.16</v>
      </c>
      <c r="W473">
        <v>69.739999999999995</v>
      </c>
      <c r="X473">
        <v>0.37</v>
      </c>
      <c r="Y473">
        <v>97.01</v>
      </c>
      <c r="Z473">
        <v>4078.61</v>
      </c>
      <c r="AA473">
        <v>121948</v>
      </c>
    </row>
    <row r="474" spans="1:27" x14ac:dyDescent="0.35">
      <c r="A474" t="s">
        <v>507</v>
      </c>
      <c r="B474" t="s">
        <v>1055</v>
      </c>
      <c r="C474" t="s">
        <v>506</v>
      </c>
      <c r="D474" t="str">
        <f t="shared" si="7"/>
        <v>92</v>
      </c>
      <c r="E474" t="s">
        <v>589</v>
      </c>
      <c r="F474">
        <v>10.84</v>
      </c>
      <c r="G474">
        <v>8.9700000000000006</v>
      </c>
      <c r="H474">
        <v>9.35</v>
      </c>
      <c r="I474">
        <v>14.8</v>
      </c>
      <c r="J474">
        <v>15.38</v>
      </c>
      <c r="K474">
        <v>14.8</v>
      </c>
      <c r="L474">
        <v>78.2</v>
      </c>
      <c r="M474">
        <v>66.760000000000005</v>
      </c>
      <c r="N474">
        <v>72</v>
      </c>
      <c r="O474">
        <v>5.1100000000000003</v>
      </c>
      <c r="P474">
        <v>8.44</v>
      </c>
      <c r="Q474">
        <v>6.4</v>
      </c>
      <c r="R474">
        <v>69.84</v>
      </c>
      <c r="S474">
        <v>73.83</v>
      </c>
      <c r="T474">
        <v>71.78</v>
      </c>
      <c r="U474">
        <v>75.819999999999993</v>
      </c>
      <c r="V474">
        <v>49.99</v>
      </c>
      <c r="W474">
        <v>62.91</v>
      </c>
      <c r="X474">
        <v>0.42399999999999999</v>
      </c>
      <c r="Y474">
        <v>85.37</v>
      </c>
      <c r="Z474">
        <v>6564.6</v>
      </c>
      <c r="AA474">
        <v>91441</v>
      </c>
    </row>
    <row r="475" spans="1:27" x14ac:dyDescent="0.35">
      <c r="A475" t="s">
        <v>508</v>
      </c>
      <c r="B475" t="s">
        <v>1056</v>
      </c>
      <c r="C475" t="s">
        <v>506</v>
      </c>
      <c r="D475" t="str">
        <f t="shared" si="7"/>
        <v>92</v>
      </c>
      <c r="E475" t="s">
        <v>589</v>
      </c>
      <c r="F475">
        <v>10.26</v>
      </c>
      <c r="G475">
        <v>8.3699999999999992</v>
      </c>
      <c r="H475">
        <v>9.02</v>
      </c>
      <c r="I475">
        <v>12.52</v>
      </c>
      <c r="J475">
        <v>12.51</v>
      </c>
      <c r="K475">
        <v>12.52</v>
      </c>
      <c r="L475">
        <v>75.239999999999995</v>
      </c>
      <c r="M475">
        <v>64.260000000000005</v>
      </c>
      <c r="N475">
        <v>69.7</v>
      </c>
      <c r="O475">
        <v>5.0599999999999996</v>
      </c>
      <c r="P475">
        <v>6.72</v>
      </c>
      <c r="Q475">
        <v>5.75</v>
      </c>
      <c r="R475">
        <v>67.62</v>
      </c>
      <c r="S475">
        <v>71.569999999999993</v>
      </c>
      <c r="T475">
        <v>69.540000000000006</v>
      </c>
      <c r="U475">
        <v>73.42</v>
      </c>
      <c r="V475">
        <v>56.44</v>
      </c>
      <c r="W475">
        <v>64.930000000000007</v>
      </c>
      <c r="X475">
        <v>0.498</v>
      </c>
      <c r="Y475">
        <v>85.41</v>
      </c>
      <c r="Z475">
        <v>3200.22</v>
      </c>
      <c r="AA475">
        <v>67795</v>
      </c>
    </row>
    <row r="476" spans="1:27" x14ac:dyDescent="0.35">
      <c r="A476" t="s">
        <v>509</v>
      </c>
      <c r="B476" t="s">
        <v>1057</v>
      </c>
      <c r="C476" t="s">
        <v>506</v>
      </c>
      <c r="D476" t="str">
        <f t="shared" si="7"/>
        <v>92</v>
      </c>
      <c r="E476" t="s">
        <v>589</v>
      </c>
      <c r="F476">
        <v>9.81</v>
      </c>
      <c r="G476">
        <v>7.54</v>
      </c>
      <c r="H476">
        <v>7.56</v>
      </c>
      <c r="I476">
        <v>11.92</v>
      </c>
      <c r="J476">
        <v>12.11</v>
      </c>
      <c r="K476">
        <v>11.97</v>
      </c>
      <c r="L476">
        <v>72.55</v>
      </c>
      <c r="M476">
        <v>58.75</v>
      </c>
      <c r="N476">
        <v>65.260000000000005</v>
      </c>
      <c r="O476">
        <v>3.58</v>
      </c>
      <c r="P476">
        <v>3.07</v>
      </c>
      <c r="Q476">
        <v>3.37</v>
      </c>
      <c r="R476">
        <v>63.85</v>
      </c>
      <c r="S476">
        <v>67.72</v>
      </c>
      <c r="T476">
        <v>65.739999999999995</v>
      </c>
      <c r="U476">
        <v>74.760000000000005</v>
      </c>
      <c r="V476">
        <v>57.55</v>
      </c>
      <c r="W476">
        <v>66.16</v>
      </c>
      <c r="X476">
        <v>0.52500000000000002</v>
      </c>
      <c r="Y476">
        <v>80.98</v>
      </c>
      <c r="Z476">
        <v>1923.45</v>
      </c>
      <c r="AA476">
        <v>46595</v>
      </c>
    </row>
    <row r="477" spans="1:27" x14ac:dyDescent="0.35">
      <c r="A477" t="s">
        <v>510</v>
      </c>
      <c r="B477" t="s">
        <v>1058</v>
      </c>
      <c r="C477" t="s">
        <v>506</v>
      </c>
      <c r="D477" t="str">
        <f t="shared" si="7"/>
        <v>92</v>
      </c>
      <c r="E477" t="s">
        <v>589</v>
      </c>
      <c r="F477">
        <v>9.93</v>
      </c>
      <c r="G477">
        <v>8.73</v>
      </c>
      <c r="H477">
        <v>8.77</v>
      </c>
      <c r="I477">
        <v>12.88</v>
      </c>
      <c r="J477">
        <v>12.61</v>
      </c>
      <c r="K477">
        <v>12.63</v>
      </c>
      <c r="L477">
        <v>75.52</v>
      </c>
      <c r="M477">
        <v>65.77</v>
      </c>
      <c r="N477">
        <v>70.319999999999993</v>
      </c>
      <c r="O477">
        <v>4.43</v>
      </c>
      <c r="P477">
        <v>1.87</v>
      </c>
      <c r="Q477">
        <v>3.63</v>
      </c>
      <c r="R477">
        <v>66.55</v>
      </c>
      <c r="S477">
        <v>70.53</v>
      </c>
      <c r="T477">
        <v>68.489999999999995</v>
      </c>
      <c r="U477">
        <v>83.31</v>
      </c>
      <c r="V477">
        <v>55.12</v>
      </c>
      <c r="W477">
        <v>69.22</v>
      </c>
      <c r="X477">
        <v>0.59399999999999997</v>
      </c>
      <c r="Y477">
        <v>87.09</v>
      </c>
      <c r="Z477">
        <v>57214.58</v>
      </c>
      <c r="AA477">
        <v>92009</v>
      </c>
    </row>
    <row r="478" spans="1:27" x14ac:dyDescent="0.35">
      <c r="A478" t="s">
        <v>511</v>
      </c>
      <c r="B478" t="s">
        <v>1059</v>
      </c>
      <c r="C478" t="s">
        <v>506</v>
      </c>
      <c r="D478" t="str">
        <f t="shared" si="7"/>
        <v>92</v>
      </c>
      <c r="E478" t="s">
        <v>589</v>
      </c>
      <c r="F478">
        <v>11.18</v>
      </c>
      <c r="G478">
        <v>8.89</v>
      </c>
      <c r="H478">
        <v>8.89</v>
      </c>
      <c r="I478">
        <v>14.02</v>
      </c>
      <c r="J478">
        <v>13.84</v>
      </c>
      <c r="K478">
        <v>13.87</v>
      </c>
      <c r="L478">
        <v>82.84</v>
      </c>
      <c r="M478">
        <v>70.97</v>
      </c>
      <c r="N478">
        <v>75.959999999999994</v>
      </c>
      <c r="O478">
        <v>6.73</v>
      </c>
      <c r="P478">
        <v>3.91</v>
      </c>
      <c r="Q478">
        <v>5.65</v>
      </c>
      <c r="R478">
        <v>70.930000000000007</v>
      </c>
      <c r="S478">
        <v>74.97</v>
      </c>
      <c r="T478">
        <v>72.900000000000006</v>
      </c>
      <c r="U478">
        <v>80.790000000000006</v>
      </c>
      <c r="V478">
        <v>54.07</v>
      </c>
      <c r="W478">
        <v>67.430000000000007</v>
      </c>
      <c r="X478">
        <v>0.51400000000000001</v>
      </c>
      <c r="Y478">
        <v>85.67</v>
      </c>
      <c r="Z478">
        <v>12043.05</v>
      </c>
      <c r="AA478">
        <v>208021</v>
      </c>
    </row>
    <row r="479" spans="1:27" x14ac:dyDescent="0.35">
      <c r="A479" t="s">
        <v>512</v>
      </c>
      <c r="B479" t="s">
        <v>1060</v>
      </c>
      <c r="C479" t="s">
        <v>506</v>
      </c>
      <c r="D479" t="str">
        <f t="shared" si="7"/>
        <v>92</v>
      </c>
      <c r="E479" t="s">
        <v>589</v>
      </c>
      <c r="F479">
        <v>10.18</v>
      </c>
      <c r="G479">
        <v>6.71</v>
      </c>
      <c r="H479">
        <v>7.33</v>
      </c>
      <c r="I479">
        <v>12.84</v>
      </c>
      <c r="J479">
        <v>13.25</v>
      </c>
      <c r="K479">
        <v>12.84</v>
      </c>
      <c r="L479">
        <v>72.31</v>
      </c>
      <c r="M479">
        <v>50.54</v>
      </c>
      <c r="N479">
        <v>63.24</v>
      </c>
      <c r="O479">
        <v>3.42</v>
      </c>
      <c r="P479">
        <v>1.55</v>
      </c>
      <c r="Q479">
        <v>2.62</v>
      </c>
      <c r="R479">
        <v>66.59</v>
      </c>
      <c r="S479">
        <v>70.569999999999993</v>
      </c>
      <c r="T479">
        <v>68.53</v>
      </c>
      <c r="U479">
        <v>81.87</v>
      </c>
      <c r="V479">
        <v>65.19</v>
      </c>
      <c r="W479">
        <v>73.53</v>
      </c>
      <c r="X479">
        <v>0.495</v>
      </c>
      <c r="Y479">
        <v>69.89</v>
      </c>
      <c r="Z479">
        <v>1066.1199999999999</v>
      </c>
      <c r="AA479">
        <v>39571</v>
      </c>
    </row>
    <row r="480" spans="1:27" x14ac:dyDescent="0.35">
      <c r="A480" t="s">
        <v>513</v>
      </c>
      <c r="B480" t="s">
        <v>1061</v>
      </c>
      <c r="C480" t="s">
        <v>506</v>
      </c>
      <c r="D480" t="str">
        <f t="shared" si="7"/>
        <v>92</v>
      </c>
      <c r="E480" t="s">
        <v>589</v>
      </c>
      <c r="F480">
        <v>9.08</v>
      </c>
      <c r="G480">
        <v>5.5</v>
      </c>
      <c r="H480">
        <v>5.84</v>
      </c>
      <c r="I480">
        <v>11.82</v>
      </c>
      <c r="J480">
        <v>9.4600000000000009</v>
      </c>
      <c r="K480">
        <v>11.81</v>
      </c>
      <c r="L480">
        <v>67.13</v>
      </c>
      <c r="M480">
        <v>54.45</v>
      </c>
      <c r="N480">
        <v>59.53</v>
      </c>
      <c r="O480">
        <v>0.51</v>
      </c>
      <c r="P480">
        <v>0.95</v>
      </c>
      <c r="Q480">
        <v>0.72</v>
      </c>
      <c r="R480">
        <v>65.98</v>
      </c>
      <c r="S480">
        <v>69.97</v>
      </c>
      <c r="T480">
        <v>67.92</v>
      </c>
      <c r="U480">
        <v>90.22</v>
      </c>
      <c r="V480">
        <v>89.32</v>
      </c>
      <c r="W480">
        <v>89.77</v>
      </c>
      <c r="X480">
        <v>0.60299999999999998</v>
      </c>
      <c r="Y480">
        <v>81.11</v>
      </c>
      <c r="Z480">
        <v>385.06</v>
      </c>
      <c r="AA480">
        <v>42213</v>
      </c>
    </row>
    <row r="481" spans="1:27" x14ac:dyDescent="0.35">
      <c r="A481" t="s">
        <v>515</v>
      </c>
      <c r="B481" t="s">
        <v>1062</v>
      </c>
      <c r="C481" t="s">
        <v>514</v>
      </c>
      <c r="D481" t="str">
        <f t="shared" si="7"/>
        <v>92</v>
      </c>
      <c r="E481" t="s">
        <v>589</v>
      </c>
      <c r="F481">
        <v>9.51</v>
      </c>
      <c r="G481">
        <v>8.3699999999999992</v>
      </c>
      <c r="H481">
        <v>8.5500000000000007</v>
      </c>
      <c r="I481">
        <v>12.5</v>
      </c>
      <c r="J481">
        <v>12.2</v>
      </c>
      <c r="K481">
        <v>12.2</v>
      </c>
      <c r="L481">
        <v>73.14</v>
      </c>
      <c r="M481">
        <v>58.36</v>
      </c>
      <c r="N481">
        <v>67.36</v>
      </c>
      <c r="O481">
        <v>4.45</v>
      </c>
      <c r="P481">
        <v>4.54</v>
      </c>
      <c r="Q481">
        <v>4.4800000000000004</v>
      </c>
      <c r="R481">
        <v>65.39</v>
      </c>
      <c r="S481">
        <v>69.34</v>
      </c>
      <c r="T481">
        <v>67.319999999999993</v>
      </c>
      <c r="U481">
        <v>79</v>
      </c>
      <c r="V481">
        <v>49.23</v>
      </c>
      <c r="W481">
        <v>64.12</v>
      </c>
      <c r="X481">
        <v>0.58199999999999996</v>
      </c>
      <c r="Y481">
        <v>79.790000000000006</v>
      </c>
      <c r="Z481">
        <v>4309.74</v>
      </c>
      <c r="AA481">
        <v>71605</v>
      </c>
    </row>
    <row r="482" spans="1:27" x14ac:dyDescent="0.35">
      <c r="A482" t="s">
        <v>516</v>
      </c>
      <c r="B482" t="s">
        <v>1063</v>
      </c>
      <c r="C482" t="s">
        <v>514</v>
      </c>
      <c r="D482" t="str">
        <f t="shared" si="7"/>
        <v>92</v>
      </c>
      <c r="E482" t="s">
        <v>589</v>
      </c>
      <c r="F482">
        <v>9.74</v>
      </c>
      <c r="G482">
        <v>8.81</v>
      </c>
      <c r="H482">
        <v>9.02</v>
      </c>
      <c r="I482">
        <v>14.12</v>
      </c>
      <c r="J482">
        <v>13.95</v>
      </c>
      <c r="K482">
        <v>14.1</v>
      </c>
      <c r="L482">
        <v>75.47</v>
      </c>
      <c r="M482">
        <v>65.83</v>
      </c>
      <c r="N482">
        <v>70.599999999999994</v>
      </c>
      <c r="O482">
        <v>4.53</v>
      </c>
      <c r="P482">
        <v>4.16</v>
      </c>
      <c r="Q482">
        <v>4.3899999999999997</v>
      </c>
      <c r="R482">
        <v>68.47</v>
      </c>
      <c r="S482">
        <v>72.400000000000006</v>
      </c>
      <c r="T482">
        <v>70.38</v>
      </c>
      <c r="U482">
        <v>84.28</v>
      </c>
      <c r="V482">
        <v>54.64</v>
      </c>
      <c r="W482">
        <v>69.459999999999994</v>
      </c>
      <c r="X482">
        <v>0.501</v>
      </c>
      <c r="Y482">
        <v>87.23</v>
      </c>
      <c r="Z482">
        <v>13402.13</v>
      </c>
      <c r="AA482">
        <v>124207</v>
      </c>
    </row>
    <row r="483" spans="1:27" x14ac:dyDescent="0.35">
      <c r="A483" t="s">
        <v>517</v>
      </c>
      <c r="B483" t="s">
        <v>1064</v>
      </c>
      <c r="C483" t="s">
        <v>514</v>
      </c>
      <c r="D483" t="str">
        <f t="shared" si="7"/>
        <v>92</v>
      </c>
      <c r="E483" t="s">
        <v>589</v>
      </c>
      <c r="F483">
        <v>9.8000000000000007</v>
      </c>
      <c r="G483">
        <v>8.06</v>
      </c>
      <c r="H483">
        <v>8.06</v>
      </c>
      <c r="I483">
        <v>14.07</v>
      </c>
      <c r="J483">
        <v>13.13</v>
      </c>
      <c r="K483">
        <v>13.32</v>
      </c>
      <c r="L483">
        <v>71.209999999999994</v>
      </c>
      <c r="M483">
        <v>60.14</v>
      </c>
      <c r="N483">
        <v>65.45</v>
      </c>
      <c r="O483">
        <v>4.7699999999999996</v>
      </c>
      <c r="P483">
        <v>0.91</v>
      </c>
      <c r="Q483">
        <v>3.14</v>
      </c>
      <c r="R483">
        <v>65.47</v>
      </c>
      <c r="S483">
        <v>69.430000000000007</v>
      </c>
      <c r="T483">
        <v>67.400000000000006</v>
      </c>
      <c r="U483">
        <v>76.61</v>
      </c>
      <c r="V483">
        <v>61.12</v>
      </c>
      <c r="W483">
        <v>68.87</v>
      </c>
      <c r="X483">
        <v>0.57999999999999996</v>
      </c>
      <c r="Y483">
        <v>84.45</v>
      </c>
      <c r="Z483">
        <v>2454.25</v>
      </c>
      <c r="AA483">
        <v>57297</v>
      </c>
    </row>
    <row r="484" spans="1:27" x14ac:dyDescent="0.35">
      <c r="A484" t="s">
        <v>518</v>
      </c>
      <c r="B484" t="s">
        <v>1065</v>
      </c>
      <c r="C484" t="s">
        <v>514</v>
      </c>
      <c r="D484" t="str">
        <f t="shared" si="7"/>
        <v>92</v>
      </c>
      <c r="E484" t="s">
        <v>589</v>
      </c>
      <c r="F484">
        <v>9.76</v>
      </c>
      <c r="G484">
        <v>7.41</v>
      </c>
      <c r="H484">
        <v>7.66</v>
      </c>
      <c r="I484">
        <v>14.53</v>
      </c>
      <c r="J484">
        <v>13.45</v>
      </c>
      <c r="K484">
        <v>13.52</v>
      </c>
      <c r="L484">
        <v>70.349999999999994</v>
      </c>
      <c r="M484">
        <v>56.29</v>
      </c>
      <c r="N484">
        <v>62.68</v>
      </c>
      <c r="O484">
        <v>6.35</v>
      </c>
      <c r="P484">
        <v>0.97</v>
      </c>
      <c r="Q484">
        <v>3.78</v>
      </c>
      <c r="R484">
        <v>64.31</v>
      </c>
      <c r="S484">
        <v>68.209999999999994</v>
      </c>
      <c r="T484">
        <v>66.209999999999994</v>
      </c>
      <c r="U484">
        <v>83.94</v>
      </c>
      <c r="V484">
        <v>77.06</v>
      </c>
      <c r="W484">
        <v>80.5</v>
      </c>
      <c r="X484">
        <v>0.505</v>
      </c>
      <c r="Y484">
        <v>80.010000000000005</v>
      </c>
      <c r="Z484">
        <v>899.8</v>
      </c>
      <c r="AA484">
        <v>48803</v>
      </c>
    </row>
    <row r="485" spans="1:27" x14ac:dyDescent="0.35">
      <c r="A485" t="s">
        <v>519</v>
      </c>
      <c r="B485" t="s">
        <v>1066</v>
      </c>
      <c r="C485" t="s">
        <v>514</v>
      </c>
      <c r="D485" t="str">
        <f t="shared" si="7"/>
        <v>92</v>
      </c>
      <c r="E485" t="s">
        <v>589</v>
      </c>
      <c r="F485">
        <v>8.18</v>
      </c>
      <c r="G485">
        <v>5.78</v>
      </c>
      <c r="H485">
        <v>6.01</v>
      </c>
      <c r="I485">
        <v>13.23</v>
      </c>
      <c r="J485">
        <v>11.79</v>
      </c>
      <c r="K485">
        <v>12.47</v>
      </c>
      <c r="L485">
        <v>68.19</v>
      </c>
      <c r="M485">
        <v>49.36</v>
      </c>
      <c r="N485">
        <v>59.28</v>
      </c>
      <c r="O485">
        <v>0.89</v>
      </c>
      <c r="P485">
        <v>3.48</v>
      </c>
      <c r="Q485">
        <v>2.0299999999999998</v>
      </c>
      <c r="R485">
        <v>64.27</v>
      </c>
      <c r="S485">
        <v>68.16</v>
      </c>
      <c r="T485">
        <v>66.17</v>
      </c>
      <c r="U485">
        <v>86.09</v>
      </c>
      <c r="V485">
        <v>73.239999999999995</v>
      </c>
      <c r="W485">
        <v>79.67</v>
      </c>
      <c r="X485">
        <v>0.60499999999999998</v>
      </c>
      <c r="Y485">
        <v>72.39</v>
      </c>
      <c r="Z485">
        <v>331.27</v>
      </c>
      <c r="AA485">
        <v>32070</v>
      </c>
    </row>
    <row r="486" spans="1:27" x14ac:dyDescent="0.35">
      <c r="A486" t="s">
        <v>520</v>
      </c>
      <c r="B486" t="s">
        <v>1067</v>
      </c>
      <c r="C486" t="s">
        <v>514</v>
      </c>
      <c r="D486" t="str">
        <f t="shared" si="7"/>
        <v>92</v>
      </c>
      <c r="E486" t="s">
        <v>589</v>
      </c>
      <c r="F486">
        <v>11.74</v>
      </c>
      <c r="G486">
        <v>11.57</v>
      </c>
      <c r="H486">
        <v>11.59</v>
      </c>
      <c r="I486">
        <v>14.38</v>
      </c>
      <c r="J486">
        <v>14.68</v>
      </c>
      <c r="K486">
        <v>14.44</v>
      </c>
      <c r="L486">
        <v>84.89</v>
      </c>
      <c r="M486">
        <v>78.540000000000006</v>
      </c>
      <c r="N486">
        <v>81.03</v>
      </c>
      <c r="O486">
        <v>7.4</v>
      </c>
      <c r="P486">
        <v>15.59</v>
      </c>
      <c r="Q486">
        <v>10.35</v>
      </c>
      <c r="R486">
        <v>71.44</v>
      </c>
      <c r="S486">
        <v>76</v>
      </c>
      <c r="T486">
        <v>73.66</v>
      </c>
      <c r="U486">
        <v>78.61</v>
      </c>
      <c r="V486">
        <v>49.02</v>
      </c>
      <c r="W486">
        <v>63.82</v>
      </c>
      <c r="X486">
        <v>0.47599999999999998</v>
      </c>
      <c r="Y486">
        <v>92.52</v>
      </c>
      <c r="Z486">
        <v>18037.5</v>
      </c>
      <c r="AA486">
        <v>302452</v>
      </c>
    </row>
    <row r="487" spans="1:27" x14ac:dyDescent="0.35">
      <c r="A487" t="s">
        <v>522</v>
      </c>
      <c r="B487" t="s">
        <v>1068</v>
      </c>
      <c r="C487" t="s">
        <v>521</v>
      </c>
      <c r="D487" t="str">
        <f t="shared" si="7"/>
        <v>91</v>
      </c>
      <c r="E487" t="s">
        <v>589</v>
      </c>
      <c r="F487">
        <v>11</v>
      </c>
      <c r="G487">
        <v>10.06</v>
      </c>
      <c r="H487">
        <v>10.77</v>
      </c>
      <c r="I487">
        <v>14.59</v>
      </c>
      <c r="J487">
        <v>14.86</v>
      </c>
      <c r="K487">
        <v>14.81</v>
      </c>
      <c r="L487">
        <v>80.209999999999994</v>
      </c>
      <c r="M487">
        <v>73.8</v>
      </c>
      <c r="N487">
        <v>76.14</v>
      </c>
      <c r="O487">
        <v>7.4</v>
      </c>
      <c r="P487">
        <v>10.78</v>
      </c>
      <c r="Q487">
        <v>8.66</v>
      </c>
      <c r="R487">
        <v>68.900000000000006</v>
      </c>
      <c r="S487">
        <v>72.84</v>
      </c>
      <c r="T487">
        <v>70.819999999999993</v>
      </c>
      <c r="U487">
        <v>77.66</v>
      </c>
      <c r="V487">
        <v>50.87</v>
      </c>
      <c r="W487">
        <v>64.27</v>
      </c>
      <c r="X487">
        <v>0.505</v>
      </c>
      <c r="Y487">
        <v>92.01</v>
      </c>
      <c r="Z487">
        <v>21530.02</v>
      </c>
      <c r="AA487">
        <v>174850</v>
      </c>
    </row>
    <row r="488" spans="1:27" x14ac:dyDescent="0.35">
      <c r="A488" t="s">
        <v>523</v>
      </c>
      <c r="B488" t="s">
        <v>1069</v>
      </c>
      <c r="C488" t="s">
        <v>521</v>
      </c>
      <c r="D488" t="str">
        <f t="shared" si="7"/>
        <v>91</v>
      </c>
      <c r="E488" t="s">
        <v>589</v>
      </c>
      <c r="F488">
        <v>10.44</v>
      </c>
      <c r="G488">
        <v>9.06</v>
      </c>
      <c r="H488">
        <v>9.8000000000000007</v>
      </c>
      <c r="I488">
        <v>12.95</v>
      </c>
      <c r="J488">
        <v>13.46</v>
      </c>
      <c r="K488">
        <v>13</v>
      </c>
      <c r="L488">
        <v>75.83</v>
      </c>
      <c r="M488">
        <v>68.56</v>
      </c>
      <c r="N488">
        <v>70.930000000000007</v>
      </c>
      <c r="O488">
        <v>5.32</v>
      </c>
      <c r="P488">
        <v>8.92</v>
      </c>
      <c r="Q488">
        <v>6.58</v>
      </c>
      <c r="R488">
        <v>69.12</v>
      </c>
      <c r="S488">
        <v>73.08</v>
      </c>
      <c r="T488">
        <v>71.05</v>
      </c>
      <c r="U488">
        <v>70.09</v>
      </c>
      <c r="V488">
        <v>40.950000000000003</v>
      </c>
      <c r="W488">
        <v>55.52</v>
      </c>
      <c r="X488">
        <v>0.56499999999999995</v>
      </c>
      <c r="Y488">
        <v>90.41</v>
      </c>
      <c r="Z488">
        <v>5533.05</v>
      </c>
      <c r="AA488">
        <v>120122</v>
      </c>
    </row>
    <row r="489" spans="1:27" x14ac:dyDescent="0.35">
      <c r="A489" t="s">
        <v>524</v>
      </c>
      <c r="B489" t="s">
        <v>1070</v>
      </c>
      <c r="C489" t="s">
        <v>521</v>
      </c>
      <c r="D489" t="str">
        <f t="shared" si="7"/>
        <v>91</v>
      </c>
      <c r="E489" t="s">
        <v>589</v>
      </c>
      <c r="F489">
        <v>10.96</v>
      </c>
      <c r="G489">
        <v>10.27</v>
      </c>
      <c r="H489">
        <v>10.69</v>
      </c>
      <c r="I489">
        <v>14.26</v>
      </c>
      <c r="J489">
        <v>14.24</v>
      </c>
      <c r="K489">
        <v>14.25</v>
      </c>
      <c r="L489">
        <v>79.98</v>
      </c>
      <c r="M489">
        <v>73.14</v>
      </c>
      <c r="N489">
        <v>75.48</v>
      </c>
      <c r="O489">
        <v>7.06</v>
      </c>
      <c r="P489">
        <v>6.32</v>
      </c>
      <c r="Q489">
        <v>6.74</v>
      </c>
      <c r="R489">
        <v>69.28</v>
      </c>
      <c r="S489">
        <v>73.239999999999995</v>
      </c>
      <c r="T489">
        <v>71.209999999999994</v>
      </c>
      <c r="U489">
        <v>81.3</v>
      </c>
      <c r="V489">
        <v>66.05</v>
      </c>
      <c r="W489">
        <v>73.680000000000007</v>
      </c>
      <c r="X489">
        <v>0.45800000000000002</v>
      </c>
      <c r="Y489">
        <v>91.45</v>
      </c>
      <c r="Z489">
        <v>6853.8</v>
      </c>
      <c r="AA489">
        <v>142790</v>
      </c>
    </row>
    <row r="490" spans="1:27" x14ac:dyDescent="0.35">
      <c r="A490" t="s">
        <v>525</v>
      </c>
      <c r="B490" t="s">
        <v>1071</v>
      </c>
      <c r="C490" t="s">
        <v>521</v>
      </c>
      <c r="D490" t="str">
        <f t="shared" si="7"/>
        <v>91</v>
      </c>
      <c r="E490" t="s">
        <v>589</v>
      </c>
      <c r="F490">
        <v>10.06</v>
      </c>
      <c r="G490">
        <v>9.19</v>
      </c>
      <c r="H490">
        <v>9.7899999999999991</v>
      </c>
      <c r="I490">
        <v>13.14</v>
      </c>
      <c r="J490">
        <v>12.61</v>
      </c>
      <c r="K490">
        <v>12.61</v>
      </c>
      <c r="L490">
        <v>74.11</v>
      </c>
      <c r="M490">
        <v>62.87</v>
      </c>
      <c r="N490">
        <v>68.78</v>
      </c>
      <c r="O490">
        <v>4.32</v>
      </c>
      <c r="P490">
        <v>4.4400000000000004</v>
      </c>
      <c r="Q490">
        <v>4.37</v>
      </c>
      <c r="R490">
        <v>68.34</v>
      </c>
      <c r="S490">
        <v>72.27</v>
      </c>
      <c r="T490">
        <v>70.25</v>
      </c>
      <c r="U490">
        <v>80.36</v>
      </c>
      <c r="V490">
        <v>63.94</v>
      </c>
      <c r="W490">
        <v>72.150000000000006</v>
      </c>
      <c r="X490">
        <v>0.495</v>
      </c>
      <c r="Y490">
        <v>84.83</v>
      </c>
      <c r="Z490">
        <v>4038.74</v>
      </c>
      <c r="AA490">
        <v>43475</v>
      </c>
    </row>
    <row r="491" spans="1:27" x14ac:dyDescent="0.35">
      <c r="A491" t="s">
        <v>526</v>
      </c>
      <c r="B491" t="s">
        <v>1072</v>
      </c>
      <c r="C491" t="s">
        <v>521</v>
      </c>
      <c r="D491" t="str">
        <f t="shared" si="7"/>
        <v>91</v>
      </c>
      <c r="E491" t="s">
        <v>589</v>
      </c>
      <c r="F491">
        <v>9.09</v>
      </c>
      <c r="G491">
        <v>8.27</v>
      </c>
      <c r="H491">
        <v>8.7799999999999994</v>
      </c>
      <c r="I491">
        <v>12.73</v>
      </c>
      <c r="J491">
        <v>12.52</v>
      </c>
      <c r="K491">
        <v>12.53</v>
      </c>
      <c r="L491">
        <v>75.069999999999993</v>
      </c>
      <c r="M491">
        <v>66.56</v>
      </c>
      <c r="N491">
        <v>70.430000000000007</v>
      </c>
      <c r="O491">
        <v>3.75</v>
      </c>
      <c r="P491">
        <v>4.04</v>
      </c>
      <c r="Q491">
        <v>3.87</v>
      </c>
      <c r="R491">
        <v>68.37</v>
      </c>
      <c r="S491">
        <v>72.31</v>
      </c>
      <c r="T491">
        <v>70.290000000000006</v>
      </c>
      <c r="U491">
        <v>87.71</v>
      </c>
      <c r="V491">
        <v>68.69</v>
      </c>
      <c r="W491">
        <v>78.2</v>
      </c>
      <c r="X491">
        <v>0.51700000000000002</v>
      </c>
      <c r="Y491">
        <v>88.66</v>
      </c>
      <c r="Z491">
        <v>3794.78</v>
      </c>
      <c r="AA491">
        <v>64833</v>
      </c>
    </row>
    <row r="492" spans="1:27" x14ac:dyDescent="0.35">
      <c r="A492" t="s">
        <v>527</v>
      </c>
      <c r="B492" t="s">
        <v>1073</v>
      </c>
      <c r="C492" t="s">
        <v>521</v>
      </c>
      <c r="D492" t="str">
        <f t="shared" si="7"/>
        <v>91</v>
      </c>
      <c r="E492" t="s">
        <v>589</v>
      </c>
      <c r="F492">
        <v>9.94</v>
      </c>
      <c r="G492">
        <v>8.75</v>
      </c>
      <c r="H492">
        <v>9.43</v>
      </c>
      <c r="I492">
        <v>13.04</v>
      </c>
      <c r="J492">
        <v>12.96</v>
      </c>
      <c r="K492">
        <v>12.96</v>
      </c>
      <c r="L492">
        <v>74.709999999999994</v>
      </c>
      <c r="M492">
        <v>54.53</v>
      </c>
      <c r="N492">
        <v>68.91</v>
      </c>
      <c r="O492">
        <v>7.31</v>
      </c>
      <c r="P492">
        <v>3.78</v>
      </c>
      <c r="Q492">
        <v>5.98</v>
      </c>
      <c r="R492">
        <v>68.02</v>
      </c>
      <c r="S492">
        <v>71.959999999999994</v>
      </c>
      <c r="T492">
        <v>69.94</v>
      </c>
      <c r="U492">
        <v>76.36</v>
      </c>
      <c r="V492">
        <v>52.94</v>
      </c>
      <c r="W492">
        <v>64.650000000000006</v>
      </c>
      <c r="X492">
        <v>0.61899999999999999</v>
      </c>
      <c r="Y492">
        <v>72.989999999999995</v>
      </c>
      <c r="Z492">
        <v>2598.7399999999998</v>
      </c>
      <c r="AA492">
        <v>36295</v>
      </c>
    </row>
    <row r="493" spans="1:27" x14ac:dyDescent="0.35">
      <c r="A493" t="s">
        <v>528</v>
      </c>
      <c r="B493" t="s">
        <v>1074</v>
      </c>
      <c r="C493" t="s">
        <v>521</v>
      </c>
      <c r="D493" t="str">
        <f t="shared" si="7"/>
        <v>91</v>
      </c>
      <c r="E493" t="s">
        <v>589</v>
      </c>
      <c r="F493">
        <v>9.8699999999999992</v>
      </c>
      <c r="G493">
        <v>8.5500000000000007</v>
      </c>
      <c r="H493">
        <v>9.39</v>
      </c>
      <c r="I493">
        <v>13.83</v>
      </c>
      <c r="J493">
        <v>12.96</v>
      </c>
      <c r="K493">
        <v>13.21</v>
      </c>
      <c r="L493">
        <v>73.12</v>
      </c>
      <c r="M493">
        <v>57.99</v>
      </c>
      <c r="N493">
        <v>67.3</v>
      </c>
      <c r="O493">
        <v>9.1199999999999992</v>
      </c>
      <c r="P493">
        <v>4.57</v>
      </c>
      <c r="Q493">
        <v>7.32</v>
      </c>
      <c r="R493">
        <v>68.069999999999993</v>
      </c>
      <c r="S493">
        <v>72.010000000000005</v>
      </c>
      <c r="T493">
        <v>70</v>
      </c>
      <c r="U493">
        <v>66.739999999999995</v>
      </c>
      <c r="V493">
        <v>47.44</v>
      </c>
      <c r="W493">
        <v>57.09</v>
      </c>
      <c r="X493">
        <v>0.81299999999999994</v>
      </c>
      <c r="Y493">
        <v>79.31</v>
      </c>
      <c r="Z493">
        <v>1311.97</v>
      </c>
      <c r="AA493">
        <v>25028</v>
      </c>
    </row>
    <row r="494" spans="1:27" x14ac:dyDescent="0.35">
      <c r="A494" t="s">
        <v>529</v>
      </c>
      <c r="B494" t="s">
        <v>1075</v>
      </c>
      <c r="C494" t="s">
        <v>521</v>
      </c>
      <c r="D494" t="str">
        <f t="shared" si="7"/>
        <v>91</v>
      </c>
      <c r="E494" t="s">
        <v>589</v>
      </c>
      <c r="F494">
        <v>7.1</v>
      </c>
      <c r="G494">
        <v>5.32</v>
      </c>
      <c r="H494">
        <v>6.74</v>
      </c>
      <c r="I494">
        <v>12.26</v>
      </c>
      <c r="J494">
        <v>11.92</v>
      </c>
      <c r="K494">
        <v>12.05</v>
      </c>
      <c r="L494">
        <v>65.680000000000007</v>
      </c>
      <c r="M494">
        <v>55.35</v>
      </c>
      <c r="N494">
        <v>60.48</v>
      </c>
      <c r="O494">
        <v>1.78</v>
      </c>
      <c r="P494">
        <v>3.99</v>
      </c>
      <c r="Q494">
        <v>2.41</v>
      </c>
      <c r="R494">
        <v>67.27</v>
      </c>
      <c r="S494">
        <v>71.239999999999995</v>
      </c>
      <c r="T494">
        <v>69.209999999999994</v>
      </c>
      <c r="U494">
        <v>65.7</v>
      </c>
      <c r="V494">
        <v>28.98</v>
      </c>
      <c r="W494">
        <v>47.34</v>
      </c>
      <c r="X494">
        <v>0.64700000000000002</v>
      </c>
      <c r="Y494">
        <v>84.27</v>
      </c>
      <c r="Z494">
        <v>2419.65</v>
      </c>
      <c r="AA494">
        <v>40135</v>
      </c>
    </row>
    <row r="495" spans="1:27" x14ac:dyDescent="0.35">
      <c r="A495" t="s">
        <v>530</v>
      </c>
      <c r="B495" t="s">
        <v>1076</v>
      </c>
      <c r="C495" t="s">
        <v>521</v>
      </c>
      <c r="D495" t="str">
        <f t="shared" si="7"/>
        <v>91</v>
      </c>
      <c r="E495" t="s">
        <v>589</v>
      </c>
      <c r="F495">
        <v>12.4</v>
      </c>
      <c r="G495">
        <v>11.91</v>
      </c>
      <c r="H495">
        <v>12.08</v>
      </c>
      <c r="I495">
        <v>15.54</v>
      </c>
      <c r="J495">
        <v>15.27</v>
      </c>
      <c r="K495">
        <v>15.28</v>
      </c>
      <c r="L495">
        <v>85.1</v>
      </c>
      <c r="M495">
        <v>80.900000000000006</v>
      </c>
      <c r="N495">
        <v>82.26</v>
      </c>
      <c r="O495">
        <v>7.13</v>
      </c>
      <c r="P495">
        <v>8.6999999999999993</v>
      </c>
      <c r="Q495">
        <v>7.68</v>
      </c>
      <c r="R495">
        <v>70.38</v>
      </c>
      <c r="S495">
        <v>74.39</v>
      </c>
      <c r="T495">
        <v>72.34</v>
      </c>
      <c r="U495">
        <v>74.5</v>
      </c>
      <c r="V495">
        <v>46</v>
      </c>
      <c r="W495">
        <v>60.25</v>
      </c>
      <c r="X495">
        <v>0.38900000000000001</v>
      </c>
      <c r="Y495">
        <v>95.06</v>
      </c>
      <c r="Z495">
        <v>42211.81</v>
      </c>
      <c r="AA495">
        <v>426109</v>
      </c>
    </row>
    <row r="496" spans="1:27" x14ac:dyDescent="0.35">
      <c r="A496" t="s">
        <v>532</v>
      </c>
      <c r="B496" t="s">
        <v>1077</v>
      </c>
      <c r="C496" t="s">
        <v>531</v>
      </c>
      <c r="D496" t="str">
        <f t="shared" si="7"/>
        <v>91</v>
      </c>
      <c r="E496" t="s">
        <v>589</v>
      </c>
      <c r="F496">
        <v>9.7799999999999994</v>
      </c>
      <c r="G496">
        <v>9.35</v>
      </c>
      <c r="H496">
        <v>9.61</v>
      </c>
      <c r="I496">
        <v>14.51</v>
      </c>
      <c r="J496">
        <v>14.49</v>
      </c>
      <c r="K496">
        <v>14.49</v>
      </c>
      <c r="L496">
        <v>79.94</v>
      </c>
      <c r="M496">
        <v>71.94</v>
      </c>
      <c r="N496">
        <v>75.11</v>
      </c>
      <c r="O496">
        <v>4.1500000000000004</v>
      </c>
      <c r="P496">
        <v>4.6900000000000004</v>
      </c>
      <c r="Q496">
        <v>4.3499999999999996</v>
      </c>
      <c r="R496">
        <v>69.7</v>
      </c>
      <c r="S496">
        <v>73.69</v>
      </c>
      <c r="T496">
        <v>71.650000000000006</v>
      </c>
      <c r="U496">
        <v>79.569999999999993</v>
      </c>
      <c r="V496">
        <v>52.08</v>
      </c>
      <c r="W496">
        <v>65.83</v>
      </c>
      <c r="X496">
        <v>0.38700000000000001</v>
      </c>
      <c r="Y496">
        <v>89.99</v>
      </c>
      <c r="Z496">
        <v>21751.97</v>
      </c>
      <c r="AA496">
        <v>241544</v>
      </c>
    </row>
    <row r="497" spans="1:27" x14ac:dyDescent="0.35">
      <c r="A497" t="s">
        <v>533</v>
      </c>
      <c r="B497" t="s">
        <v>1078</v>
      </c>
      <c r="C497" t="s">
        <v>531</v>
      </c>
      <c r="D497" t="str">
        <f t="shared" si="7"/>
        <v>91</v>
      </c>
      <c r="E497" t="s">
        <v>589</v>
      </c>
      <c r="F497">
        <v>9.77</v>
      </c>
      <c r="G497">
        <v>8.8800000000000008</v>
      </c>
      <c r="H497">
        <v>9.43</v>
      </c>
      <c r="I497">
        <v>11.96</v>
      </c>
      <c r="J497">
        <v>11.62</v>
      </c>
      <c r="K497">
        <v>11.69</v>
      </c>
      <c r="L497">
        <v>73.72</v>
      </c>
      <c r="M497">
        <v>60.04</v>
      </c>
      <c r="N497">
        <v>68.62</v>
      </c>
      <c r="O497">
        <v>4.43</v>
      </c>
      <c r="P497">
        <v>2.2400000000000002</v>
      </c>
      <c r="Q497">
        <v>3.66</v>
      </c>
      <c r="R497">
        <v>67.7</v>
      </c>
      <c r="S497">
        <v>71.650000000000006</v>
      </c>
      <c r="T497">
        <v>69.63</v>
      </c>
      <c r="U497">
        <v>78.87</v>
      </c>
      <c r="V497">
        <v>51.09</v>
      </c>
      <c r="W497">
        <v>64.98</v>
      </c>
      <c r="X497">
        <v>0.52300000000000002</v>
      </c>
      <c r="Y497">
        <v>81.44</v>
      </c>
      <c r="Z497">
        <v>6176.65</v>
      </c>
      <c r="AA497">
        <v>70275</v>
      </c>
    </row>
    <row r="498" spans="1:27" x14ac:dyDescent="0.35">
      <c r="A498" t="s">
        <v>534</v>
      </c>
      <c r="B498" t="s">
        <v>1079</v>
      </c>
      <c r="C498" t="s">
        <v>531</v>
      </c>
      <c r="D498" t="str">
        <f t="shared" si="7"/>
        <v>91</v>
      </c>
      <c r="E498" t="s">
        <v>589</v>
      </c>
      <c r="F498">
        <v>8.08</v>
      </c>
      <c r="G498">
        <v>6.77</v>
      </c>
      <c r="H498">
        <v>7.41</v>
      </c>
      <c r="I498">
        <v>11.37</v>
      </c>
      <c r="J498">
        <v>11.91</v>
      </c>
      <c r="K498">
        <v>11.42</v>
      </c>
      <c r="L498">
        <v>67.78</v>
      </c>
      <c r="M498">
        <v>58.56</v>
      </c>
      <c r="N498">
        <v>62.6</v>
      </c>
      <c r="O498">
        <v>7.08</v>
      </c>
      <c r="P498">
        <v>3.47</v>
      </c>
      <c r="Q498">
        <v>5.61</v>
      </c>
      <c r="R498">
        <v>64.58</v>
      </c>
      <c r="S498">
        <v>68.5</v>
      </c>
      <c r="T498">
        <v>66.489999999999995</v>
      </c>
      <c r="U498">
        <v>74.540000000000006</v>
      </c>
      <c r="V498">
        <v>55.56</v>
      </c>
      <c r="W498">
        <v>65.05</v>
      </c>
      <c r="X498">
        <v>0.57299999999999995</v>
      </c>
      <c r="Y498">
        <v>86.4</v>
      </c>
      <c r="Z498">
        <v>4108.58</v>
      </c>
      <c r="AA498">
        <v>116948</v>
      </c>
    </row>
    <row r="499" spans="1:27" x14ac:dyDescent="0.35">
      <c r="A499" t="s">
        <v>535</v>
      </c>
      <c r="B499" t="s">
        <v>1080</v>
      </c>
      <c r="C499" t="s">
        <v>531</v>
      </c>
      <c r="D499" t="str">
        <f t="shared" si="7"/>
        <v>91</v>
      </c>
      <c r="E499" t="s">
        <v>589</v>
      </c>
      <c r="F499">
        <v>7.06</v>
      </c>
      <c r="G499">
        <v>5.41</v>
      </c>
      <c r="H499">
        <v>6.1</v>
      </c>
      <c r="I499">
        <v>9.9499999999999993</v>
      </c>
      <c r="J499">
        <v>9.61</v>
      </c>
      <c r="K499">
        <v>9.75</v>
      </c>
      <c r="L499">
        <v>65.14</v>
      </c>
      <c r="M499">
        <v>39.42</v>
      </c>
      <c r="N499">
        <v>58.55</v>
      </c>
      <c r="O499">
        <v>3.33</v>
      </c>
      <c r="P499">
        <v>0.41</v>
      </c>
      <c r="Q499">
        <v>2.0699999999999998</v>
      </c>
      <c r="R499">
        <v>66.37</v>
      </c>
      <c r="S499">
        <v>70.349999999999994</v>
      </c>
      <c r="T499">
        <v>68.31</v>
      </c>
      <c r="U499">
        <v>78.42</v>
      </c>
      <c r="V499">
        <v>65.430000000000007</v>
      </c>
      <c r="W499">
        <v>71.930000000000007</v>
      </c>
      <c r="X499">
        <v>0.52600000000000002</v>
      </c>
      <c r="Y499">
        <v>60.52</v>
      </c>
      <c r="Z499">
        <v>3682.97</v>
      </c>
      <c r="AA499">
        <v>120884</v>
      </c>
    </row>
    <row r="500" spans="1:27" x14ac:dyDescent="0.35">
      <c r="A500" t="s">
        <v>537</v>
      </c>
      <c r="B500" t="s">
        <v>1081</v>
      </c>
      <c r="C500" t="s">
        <v>536</v>
      </c>
      <c r="D500" t="str">
        <f t="shared" si="7"/>
        <v>91</v>
      </c>
      <c r="E500" t="s">
        <v>589</v>
      </c>
      <c r="F500">
        <v>10.82</v>
      </c>
      <c r="G500">
        <v>10.45</v>
      </c>
      <c r="H500">
        <v>10.73</v>
      </c>
      <c r="I500">
        <v>13.13</v>
      </c>
      <c r="J500">
        <v>13.36</v>
      </c>
      <c r="K500">
        <v>13.17</v>
      </c>
      <c r="L500">
        <v>82.36</v>
      </c>
      <c r="M500">
        <v>65.28</v>
      </c>
      <c r="N500">
        <v>77.27</v>
      </c>
      <c r="O500">
        <v>6.78</v>
      </c>
      <c r="P500">
        <v>6.68</v>
      </c>
      <c r="Q500">
        <v>6.75</v>
      </c>
      <c r="R500">
        <v>71.3</v>
      </c>
      <c r="S500">
        <v>75.709999999999994</v>
      </c>
      <c r="T500">
        <v>73.45</v>
      </c>
      <c r="U500">
        <v>84.56</v>
      </c>
      <c r="V500">
        <v>47.77</v>
      </c>
      <c r="W500">
        <v>66.17</v>
      </c>
      <c r="X500">
        <v>0.437</v>
      </c>
      <c r="Y500">
        <v>79.260000000000005</v>
      </c>
      <c r="Z500">
        <v>131079.57999999999</v>
      </c>
      <c r="AA500">
        <v>331628</v>
      </c>
    </row>
    <row r="501" spans="1:27" x14ac:dyDescent="0.35">
      <c r="A501" t="s">
        <v>538</v>
      </c>
      <c r="B501" t="s">
        <v>1082</v>
      </c>
      <c r="C501" t="s">
        <v>536</v>
      </c>
      <c r="D501" t="str">
        <f t="shared" si="7"/>
        <v>91</v>
      </c>
      <c r="E501" t="s">
        <v>589</v>
      </c>
      <c r="F501">
        <v>5.47</v>
      </c>
      <c r="G501">
        <v>4.16</v>
      </c>
      <c r="H501">
        <v>4.99</v>
      </c>
      <c r="I501">
        <v>10.53</v>
      </c>
      <c r="J501">
        <v>10.91</v>
      </c>
      <c r="K501">
        <v>10.64</v>
      </c>
      <c r="L501">
        <v>62.37</v>
      </c>
      <c r="M501">
        <v>51.48</v>
      </c>
      <c r="N501">
        <v>57.96</v>
      </c>
      <c r="O501">
        <v>2.4300000000000002</v>
      </c>
      <c r="P501">
        <v>2.1800000000000002</v>
      </c>
      <c r="Q501">
        <v>2.3199999999999998</v>
      </c>
      <c r="R501">
        <v>64.83</v>
      </c>
      <c r="S501">
        <v>68.760000000000005</v>
      </c>
      <c r="T501">
        <v>66.75</v>
      </c>
      <c r="U501">
        <v>93.77</v>
      </c>
      <c r="V501">
        <v>81.19</v>
      </c>
      <c r="W501">
        <v>87.48</v>
      </c>
      <c r="X501">
        <v>0.84599999999999997</v>
      </c>
      <c r="Y501">
        <v>82.54</v>
      </c>
      <c r="Z501">
        <v>1727.31</v>
      </c>
      <c r="AA501">
        <v>127270</v>
      </c>
    </row>
    <row r="502" spans="1:27" x14ac:dyDescent="0.35">
      <c r="A502" t="s">
        <v>539</v>
      </c>
      <c r="B502" t="s">
        <v>1083</v>
      </c>
      <c r="C502" t="s">
        <v>536</v>
      </c>
      <c r="D502" t="str">
        <f t="shared" si="7"/>
        <v>91</v>
      </c>
      <c r="E502" t="s">
        <v>589</v>
      </c>
      <c r="F502">
        <v>4.42</v>
      </c>
      <c r="G502">
        <v>2.02</v>
      </c>
      <c r="H502">
        <v>3.3</v>
      </c>
      <c r="I502">
        <v>10.85</v>
      </c>
      <c r="J502">
        <v>9.56</v>
      </c>
      <c r="K502">
        <v>9.8699999999999992</v>
      </c>
      <c r="L502">
        <v>59.02</v>
      </c>
      <c r="M502">
        <v>43.07</v>
      </c>
      <c r="N502">
        <v>52.81</v>
      </c>
      <c r="O502">
        <v>3.74</v>
      </c>
      <c r="P502">
        <v>3.42</v>
      </c>
      <c r="Q502">
        <v>3.59</v>
      </c>
      <c r="R502">
        <v>64.92</v>
      </c>
      <c r="S502">
        <v>68.849999999999994</v>
      </c>
      <c r="T502">
        <v>66.84</v>
      </c>
      <c r="U502">
        <v>71.87</v>
      </c>
      <c r="V502">
        <v>68.39</v>
      </c>
      <c r="W502">
        <v>70.13</v>
      </c>
      <c r="X502">
        <v>0.83699999999999997</v>
      </c>
      <c r="Y502">
        <v>72.98</v>
      </c>
      <c r="Z502">
        <v>1842.83</v>
      </c>
      <c r="AA502">
        <v>108362</v>
      </c>
    </row>
    <row r="503" spans="1:27" x14ac:dyDescent="0.35">
      <c r="A503" t="s">
        <v>540</v>
      </c>
      <c r="B503" t="s">
        <v>1084</v>
      </c>
      <c r="C503" t="s">
        <v>536</v>
      </c>
      <c r="D503" t="str">
        <f t="shared" si="7"/>
        <v>91</v>
      </c>
      <c r="E503" t="s">
        <v>589</v>
      </c>
      <c r="F503">
        <v>10.66</v>
      </c>
      <c r="G503">
        <v>10.050000000000001</v>
      </c>
      <c r="H503">
        <v>10.43</v>
      </c>
      <c r="I503">
        <v>13.01</v>
      </c>
      <c r="J503">
        <v>12.97</v>
      </c>
      <c r="K503">
        <v>12.97</v>
      </c>
      <c r="L503">
        <v>78</v>
      </c>
      <c r="M503">
        <v>71.45</v>
      </c>
      <c r="N503">
        <v>72.89</v>
      </c>
      <c r="O503">
        <v>3.23</v>
      </c>
      <c r="P503">
        <v>3.03</v>
      </c>
      <c r="Q503">
        <v>3.16</v>
      </c>
      <c r="R503">
        <v>68.58</v>
      </c>
      <c r="S503">
        <v>72.510000000000005</v>
      </c>
      <c r="T503">
        <v>70.5</v>
      </c>
      <c r="U503">
        <v>82.98</v>
      </c>
      <c r="V503">
        <v>52.37</v>
      </c>
      <c r="W503">
        <v>67.680000000000007</v>
      </c>
      <c r="X503">
        <v>0.48299999999999998</v>
      </c>
      <c r="Y503">
        <v>91.6</v>
      </c>
      <c r="Z503">
        <v>16117.65</v>
      </c>
      <c r="AA503">
        <v>176930</v>
      </c>
    </row>
    <row r="504" spans="1:27" x14ac:dyDescent="0.35">
      <c r="A504" t="s">
        <v>541</v>
      </c>
      <c r="B504" t="s">
        <v>1085</v>
      </c>
      <c r="C504" t="s">
        <v>536</v>
      </c>
      <c r="D504" t="str">
        <f t="shared" si="7"/>
        <v>91</v>
      </c>
      <c r="E504" t="s">
        <v>589</v>
      </c>
      <c r="F504">
        <v>5.0999999999999996</v>
      </c>
      <c r="G504">
        <v>3.59</v>
      </c>
      <c r="H504">
        <v>4.82</v>
      </c>
      <c r="I504">
        <v>11.07</v>
      </c>
      <c r="J504">
        <v>10.19</v>
      </c>
      <c r="K504">
        <v>10.55</v>
      </c>
      <c r="L504">
        <v>65.52</v>
      </c>
      <c r="M504">
        <v>46.61</v>
      </c>
      <c r="N504">
        <v>60.04</v>
      </c>
      <c r="O504">
        <v>3.82</v>
      </c>
      <c r="P504">
        <v>4.5599999999999996</v>
      </c>
      <c r="Q504">
        <v>4.13</v>
      </c>
      <c r="R504">
        <v>67.92</v>
      </c>
      <c r="S504">
        <v>71.86</v>
      </c>
      <c r="T504">
        <v>69.84</v>
      </c>
      <c r="U504">
        <v>72.62</v>
      </c>
      <c r="V504">
        <v>62.8</v>
      </c>
      <c r="W504">
        <v>67.709999999999994</v>
      </c>
      <c r="X504">
        <v>0.84399999999999997</v>
      </c>
      <c r="Y504">
        <v>71.14</v>
      </c>
      <c r="Z504">
        <v>5633.33</v>
      </c>
      <c r="AA504">
        <v>240343</v>
      </c>
    </row>
    <row r="505" spans="1:27" x14ac:dyDescent="0.35">
      <c r="A505" t="s">
        <v>542</v>
      </c>
      <c r="B505" t="s">
        <v>1086</v>
      </c>
      <c r="C505" t="s">
        <v>536</v>
      </c>
      <c r="D505" t="str">
        <f t="shared" si="7"/>
        <v>91</v>
      </c>
      <c r="E505" t="s">
        <v>589</v>
      </c>
      <c r="F505">
        <v>4.79</v>
      </c>
      <c r="G505">
        <v>2.2000000000000002</v>
      </c>
      <c r="H505">
        <v>3.38</v>
      </c>
      <c r="I505">
        <v>8.5</v>
      </c>
      <c r="J505">
        <v>7.17</v>
      </c>
      <c r="K505">
        <v>7.84</v>
      </c>
      <c r="L505">
        <v>58.28</v>
      </c>
      <c r="M505">
        <v>43.41</v>
      </c>
      <c r="N505">
        <v>51.56</v>
      </c>
      <c r="O505">
        <v>7.43</v>
      </c>
      <c r="P505">
        <v>8.81</v>
      </c>
      <c r="Q505">
        <v>8.0500000000000007</v>
      </c>
      <c r="R505">
        <v>64.930000000000007</v>
      </c>
      <c r="S505">
        <v>68.86</v>
      </c>
      <c r="T505">
        <v>66.849999999999994</v>
      </c>
      <c r="U505">
        <v>60.23</v>
      </c>
      <c r="V505">
        <v>53.43</v>
      </c>
      <c r="W505">
        <v>56.83</v>
      </c>
      <c r="X505">
        <v>0.85799999999999998</v>
      </c>
      <c r="Y505">
        <v>74.489999999999995</v>
      </c>
      <c r="Z505">
        <v>1552.98</v>
      </c>
      <c r="AA505">
        <v>145902</v>
      </c>
    </row>
    <row r="506" spans="1:27" x14ac:dyDescent="0.35">
      <c r="A506" t="s">
        <v>543</v>
      </c>
      <c r="B506" t="s">
        <v>1087</v>
      </c>
      <c r="C506" t="s">
        <v>536</v>
      </c>
      <c r="D506" t="str">
        <f t="shared" si="7"/>
        <v>91</v>
      </c>
      <c r="E506" t="s">
        <v>589</v>
      </c>
      <c r="F506">
        <v>2.79</v>
      </c>
      <c r="G506">
        <v>1.66</v>
      </c>
      <c r="H506">
        <v>2.4</v>
      </c>
      <c r="I506">
        <v>5.91</v>
      </c>
      <c r="J506">
        <v>5.44</v>
      </c>
      <c r="K506">
        <v>5.61</v>
      </c>
      <c r="L506">
        <v>47.88</v>
      </c>
      <c r="M506">
        <v>41.71</v>
      </c>
      <c r="N506">
        <v>45.95</v>
      </c>
      <c r="O506">
        <v>0</v>
      </c>
      <c r="P506">
        <v>0.3</v>
      </c>
      <c r="Q506">
        <v>0.14000000000000001</v>
      </c>
      <c r="R506">
        <v>65.010000000000005</v>
      </c>
      <c r="S506">
        <v>68.95</v>
      </c>
      <c r="T506">
        <v>66.94</v>
      </c>
      <c r="U506">
        <v>93.06</v>
      </c>
      <c r="V506">
        <v>91.58</v>
      </c>
      <c r="W506">
        <v>92.32</v>
      </c>
      <c r="X506">
        <v>0.68300000000000005</v>
      </c>
      <c r="Y506">
        <v>87.11</v>
      </c>
      <c r="Z506">
        <v>1866.7</v>
      </c>
      <c r="AA506">
        <v>124408</v>
      </c>
    </row>
    <row r="507" spans="1:27" x14ac:dyDescent="0.35">
      <c r="A507" t="s">
        <v>544</v>
      </c>
      <c r="B507" t="s">
        <v>1088</v>
      </c>
      <c r="C507" t="s">
        <v>536</v>
      </c>
      <c r="D507" t="str">
        <f t="shared" si="7"/>
        <v>91</v>
      </c>
      <c r="E507" t="s">
        <v>589</v>
      </c>
      <c r="F507">
        <v>5.68</v>
      </c>
      <c r="G507">
        <v>4.46</v>
      </c>
      <c r="H507">
        <v>4.59</v>
      </c>
      <c r="I507">
        <v>7.69</v>
      </c>
      <c r="J507">
        <v>7.66</v>
      </c>
      <c r="K507">
        <v>7.66</v>
      </c>
      <c r="L507">
        <v>59.03</v>
      </c>
      <c r="M507">
        <v>42.09</v>
      </c>
      <c r="N507">
        <v>53.18</v>
      </c>
      <c r="O507">
        <v>1.23</v>
      </c>
      <c r="P507">
        <v>1.52</v>
      </c>
      <c r="Q507">
        <v>1.36</v>
      </c>
      <c r="R507">
        <v>66.22</v>
      </c>
      <c r="S507">
        <v>70.2</v>
      </c>
      <c r="T507">
        <v>68.16</v>
      </c>
      <c r="U507">
        <v>84.94</v>
      </c>
      <c r="V507">
        <v>84</v>
      </c>
      <c r="W507">
        <v>84.47</v>
      </c>
      <c r="X507">
        <v>0.55400000000000005</v>
      </c>
      <c r="Y507">
        <v>71.3</v>
      </c>
      <c r="Z507">
        <v>1785.74</v>
      </c>
      <c r="AA507">
        <v>237443</v>
      </c>
    </row>
    <row r="508" spans="1:27" x14ac:dyDescent="0.35">
      <c r="A508" t="s">
        <v>546</v>
      </c>
      <c r="B508" t="s">
        <v>1089</v>
      </c>
      <c r="C508" t="s">
        <v>545</v>
      </c>
      <c r="D508" t="str">
        <f t="shared" si="7"/>
        <v>91</v>
      </c>
      <c r="E508" t="s">
        <v>589</v>
      </c>
      <c r="F508">
        <v>2.95</v>
      </c>
      <c r="G508">
        <v>2.19</v>
      </c>
      <c r="H508">
        <v>2.19</v>
      </c>
      <c r="I508">
        <v>5.63</v>
      </c>
      <c r="J508">
        <v>4.45</v>
      </c>
      <c r="K508">
        <v>4.7300000000000004</v>
      </c>
      <c r="L508">
        <v>43.65</v>
      </c>
      <c r="M508">
        <v>40.200000000000003</v>
      </c>
      <c r="N508">
        <v>40.35</v>
      </c>
      <c r="O508">
        <v>2</v>
      </c>
      <c r="P508">
        <v>1.68</v>
      </c>
      <c r="Q508">
        <v>1.85</v>
      </c>
      <c r="R508">
        <v>62.16</v>
      </c>
      <c r="S508">
        <v>65.89</v>
      </c>
      <c r="T508">
        <v>63.94</v>
      </c>
      <c r="U508">
        <v>92.79</v>
      </c>
      <c r="V508">
        <v>93.39</v>
      </c>
      <c r="W508">
        <v>93.09</v>
      </c>
      <c r="X508">
        <v>0.64900000000000002</v>
      </c>
      <c r="Y508">
        <v>92.1</v>
      </c>
      <c r="Z508">
        <v>1735.68</v>
      </c>
      <c r="AA508">
        <v>114889</v>
      </c>
    </row>
    <row r="509" spans="1:27" x14ac:dyDescent="0.35">
      <c r="A509" t="s">
        <v>547</v>
      </c>
      <c r="B509" t="s">
        <v>1090</v>
      </c>
      <c r="C509" t="s">
        <v>545</v>
      </c>
      <c r="D509" t="str">
        <f t="shared" si="7"/>
        <v>91</v>
      </c>
      <c r="E509" t="s">
        <v>589</v>
      </c>
      <c r="F509">
        <v>7.19</v>
      </c>
      <c r="G509">
        <v>5.55</v>
      </c>
      <c r="H509">
        <v>6.15</v>
      </c>
      <c r="I509">
        <v>13.44</v>
      </c>
      <c r="J509">
        <v>12.19</v>
      </c>
      <c r="K509">
        <v>12.86</v>
      </c>
      <c r="L509">
        <v>69.41</v>
      </c>
      <c r="M509">
        <v>60.53</v>
      </c>
      <c r="N509">
        <v>66.02</v>
      </c>
      <c r="O509">
        <v>3.19</v>
      </c>
      <c r="P509">
        <v>3.17</v>
      </c>
      <c r="Q509">
        <v>3.18</v>
      </c>
      <c r="R509">
        <v>68.45</v>
      </c>
      <c r="S509">
        <v>72.38</v>
      </c>
      <c r="T509">
        <v>70.37</v>
      </c>
      <c r="U509">
        <v>85.11</v>
      </c>
      <c r="V509">
        <v>69.73</v>
      </c>
      <c r="W509">
        <v>77.42</v>
      </c>
      <c r="X509">
        <v>0.60499999999999998</v>
      </c>
      <c r="Y509">
        <v>87.21</v>
      </c>
      <c r="Z509">
        <v>12162.37</v>
      </c>
      <c r="AA509">
        <v>283894</v>
      </c>
    </row>
    <row r="510" spans="1:27" x14ac:dyDescent="0.35">
      <c r="A510" t="s">
        <v>548</v>
      </c>
      <c r="B510" t="s">
        <v>1091</v>
      </c>
      <c r="C510" t="s">
        <v>545</v>
      </c>
      <c r="D510" t="str">
        <f t="shared" si="7"/>
        <v>91</v>
      </c>
      <c r="E510" t="s">
        <v>589</v>
      </c>
      <c r="F510">
        <v>4.9800000000000004</v>
      </c>
      <c r="G510">
        <v>2.7</v>
      </c>
      <c r="H510">
        <v>3.87</v>
      </c>
      <c r="I510">
        <v>10.6</v>
      </c>
      <c r="J510">
        <v>9.5299999999999994</v>
      </c>
      <c r="K510">
        <v>9.73</v>
      </c>
      <c r="L510">
        <v>55.24</v>
      </c>
      <c r="M510">
        <v>52.24</v>
      </c>
      <c r="N510">
        <v>52.47</v>
      </c>
      <c r="O510">
        <v>0.35</v>
      </c>
      <c r="P510">
        <v>0.67</v>
      </c>
      <c r="Q510">
        <v>0.5</v>
      </c>
      <c r="R510">
        <v>65.5</v>
      </c>
      <c r="S510">
        <v>69.459999999999994</v>
      </c>
      <c r="T510">
        <v>67.430000000000007</v>
      </c>
      <c r="U510">
        <v>96.71</v>
      </c>
      <c r="V510">
        <v>95.91</v>
      </c>
      <c r="W510">
        <v>96.31</v>
      </c>
      <c r="X510">
        <v>0.60399999999999998</v>
      </c>
      <c r="Y510">
        <v>94.57</v>
      </c>
      <c r="Z510">
        <v>2760.62</v>
      </c>
      <c r="AA510">
        <v>211334</v>
      </c>
    </row>
    <row r="511" spans="1:27" x14ac:dyDescent="0.35">
      <c r="A511" t="s">
        <v>549</v>
      </c>
      <c r="B511" t="s">
        <v>1092</v>
      </c>
      <c r="C511" t="s">
        <v>545</v>
      </c>
      <c r="D511" t="str">
        <f t="shared" si="7"/>
        <v>91</v>
      </c>
      <c r="E511" t="s">
        <v>589</v>
      </c>
      <c r="F511">
        <v>4.87</v>
      </c>
      <c r="G511">
        <v>2.36</v>
      </c>
      <c r="H511">
        <v>3.7</v>
      </c>
      <c r="I511">
        <v>9.4</v>
      </c>
      <c r="J511">
        <v>8.8000000000000007</v>
      </c>
      <c r="K511">
        <v>9.0399999999999991</v>
      </c>
      <c r="L511">
        <v>60.38</v>
      </c>
      <c r="M511">
        <v>38.75</v>
      </c>
      <c r="N511">
        <v>52.71</v>
      </c>
      <c r="O511">
        <v>0.66</v>
      </c>
      <c r="P511">
        <v>1.36</v>
      </c>
      <c r="Q511">
        <v>0.98</v>
      </c>
      <c r="R511">
        <v>65.59</v>
      </c>
      <c r="S511">
        <v>69.56</v>
      </c>
      <c r="T511">
        <v>67.52</v>
      </c>
      <c r="U511">
        <v>94.68</v>
      </c>
      <c r="V511">
        <v>93.26</v>
      </c>
      <c r="W511">
        <v>93.97</v>
      </c>
      <c r="X511">
        <v>0.35199999999999998</v>
      </c>
      <c r="Y511">
        <v>64.180000000000007</v>
      </c>
      <c r="Z511">
        <v>2307.79</v>
      </c>
      <c r="AA511">
        <v>248306</v>
      </c>
    </row>
    <row r="512" spans="1:27" x14ac:dyDescent="0.35">
      <c r="A512" t="s">
        <v>550</v>
      </c>
      <c r="B512" t="s">
        <v>1093</v>
      </c>
      <c r="C512" t="s">
        <v>545</v>
      </c>
      <c r="D512" t="str">
        <f t="shared" si="7"/>
        <v>91</v>
      </c>
      <c r="E512" t="s">
        <v>589</v>
      </c>
      <c r="F512">
        <v>5.56</v>
      </c>
      <c r="G512">
        <v>3.26</v>
      </c>
      <c r="H512">
        <v>3.99</v>
      </c>
      <c r="I512">
        <v>10.53</v>
      </c>
      <c r="J512">
        <v>9.4600000000000009</v>
      </c>
      <c r="K512">
        <v>9.7899999999999991</v>
      </c>
      <c r="L512">
        <v>56.99</v>
      </c>
      <c r="M512">
        <v>51.63</v>
      </c>
      <c r="N512">
        <v>53.36</v>
      </c>
      <c r="O512">
        <v>4.1500000000000004</v>
      </c>
      <c r="P512">
        <v>1.29</v>
      </c>
      <c r="Q512">
        <v>2.86</v>
      </c>
      <c r="R512">
        <v>67.16</v>
      </c>
      <c r="S512">
        <v>71.12</v>
      </c>
      <c r="T512">
        <v>69.09</v>
      </c>
      <c r="U512">
        <v>89.73</v>
      </c>
      <c r="V512">
        <v>82.94</v>
      </c>
      <c r="W512">
        <v>86.34</v>
      </c>
      <c r="X512">
        <v>0.54</v>
      </c>
      <c r="Y512">
        <v>90.59</v>
      </c>
      <c r="Z512">
        <v>1670.68</v>
      </c>
      <c r="AA512">
        <v>54365</v>
      </c>
    </row>
    <row r="513" spans="1:27" x14ac:dyDescent="0.35">
      <c r="A513" t="s">
        <v>551</v>
      </c>
      <c r="B513" t="s">
        <v>1094</v>
      </c>
      <c r="C513" t="s">
        <v>545</v>
      </c>
      <c r="D513" t="str">
        <f t="shared" si="7"/>
        <v>91</v>
      </c>
      <c r="E513" t="s">
        <v>589</v>
      </c>
      <c r="F513">
        <v>5.61</v>
      </c>
      <c r="G513">
        <v>3.83</v>
      </c>
      <c r="H513">
        <v>3.83</v>
      </c>
      <c r="I513">
        <v>10.28</v>
      </c>
      <c r="J513">
        <v>9.84</v>
      </c>
      <c r="K513">
        <v>9.85</v>
      </c>
      <c r="L513">
        <v>60.19</v>
      </c>
      <c r="M513">
        <v>52.04</v>
      </c>
      <c r="N513">
        <v>52.63</v>
      </c>
      <c r="O513">
        <v>0.14000000000000001</v>
      </c>
      <c r="P513">
        <v>1.3</v>
      </c>
      <c r="Q513">
        <v>0.68</v>
      </c>
      <c r="R513">
        <v>64.62</v>
      </c>
      <c r="S513">
        <v>68.540000000000006</v>
      </c>
      <c r="T513">
        <v>66.53</v>
      </c>
      <c r="U513">
        <v>91.13</v>
      </c>
      <c r="V513">
        <v>90.72</v>
      </c>
      <c r="W513">
        <v>90.93</v>
      </c>
      <c r="X513">
        <v>0.83199999999999996</v>
      </c>
      <c r="Y513">
        <v>86.46</v>
      </c>
      <c r="Z513">
        <v>1848.41</v>
      </c>
      <c r="AA513">
        <v>109875</v>
      </c>
    </row>
    <row r="514" spans="1:27" x14ac:dyDescent="0.35">
      <c r="A514" t="s">
        <v>552</v>
      </c>
      <c r="B514" t="s">
        <v>1095</v>
      </c>
      <c r="C514" t="s">
        <v>545</v>
      </c>
      <c r="D514" t="str">
        <f t="shared" si="7"/>
        <v>91</v>
      </c>
      <c r="E514" t="s">
        <v>589</v>
      </c>
      <c r="F514">
        <v>5.86</v>
      </c>
      <c r="G514">
        <v>3.29</v>
      </c>
      <c r="H514">
        <v>4.3600000000000003</v>
      </c>
      <c r="I514">
        <v>8.4700000000000006</v>
      </c>
      <c r="J514">
        <v>8.06</v>
      </c>
      <c r="K514">
        <v>8.06</v>
      </c>
      <c r="L514">
        <v>61.18</v>
      </c>
      <c r="M514">
        <v>47.18</v>
      </c>
      <c r="N514">
        <v>52.48</v>
      </c>
      <c r="O514">
        <v>1.37</v>
      </c>
      <c r="P514">
        <v>2.29</v>
      </c>
      <c r="Q514">
        <v>1.78</v>
      </c>
      <c r="R514">
        <v>64.760000000000005</v>
      </c>
      <c r="S514">
        <v>68.69</v>
      </c>
      <c r="T514">
        <v>66.680000000000007</v>
      </c>
      <c r="U514">
        <v>96.01</v>
      </c>
      <c r="V514">
        <v>91.82</v>
      </c>
      <c r="W514">
        <v>93.92</v>
      </c>
      <c r="X514">
        <v>0.86799999999999999</v>
      </c>
      <c r="Y514">
        <v>77.12</v>
      </c>
      <c r="Z514">
        <v>3435.11</v>
      </c>
      <c r="AA514">
        <v>377486</v>
      </c>
    </row>
    <row r="515" spans="1:27" x14ac:dyDescent="0.35">
      <c r="A515" t="s">
        <v>553</v>
      </c>
      <c r="B515" t="s">
        <v>1096</v>
      </c>
      <c r="C515" t="s">
        <v>545</v>
      </c>
      <c r="D515" t="str">
        <f t="shared" ref="D515" si="8">LEFT(B515,2)</f>
        <v>91</v>
      </c>
      <c r="E515" t="s">
        <v>589</v>
      </c>
      <c r="F515">
        <v>5.5</v>
      </c>
      <c r="G515">
        <v>2.89</v>
      </c>
      <c r="H515">
        <v>3.59</v>
      </c>
      <c r="I515">
        <v>7.27</v>
      </c>
      <c r="J515">
        <v>7.59</v>
      </c>
      <c r="K515">
        <v>7.3</v>
      </c>
      <c r="L515">
        <v>57.26</v>
      </c>
      <c r="M515">
        <v>47.67</v>
      </c>
      <c r="N515">
        <v>50.56</v>
      </c>
      <c r="O515">
        <v>3.58</v>
      </c>
      <c r="P515">
        <v>2.11</v>
      </c>
      <c r="Q515">
        <v>2.92</v>
      </c>
      <c r="R515">
        <v>64.59</v>
      </c>
      <c r="S515">
        <v>68.510000000000005</v>
      </c>
      <c r="T515">
        <v>66.5</v>
      </c>
      <c r="U515">
        <v>90.44</v>
      </c>
      <c r="V515">
        <v>89.32</v>
      </c>
      <c r="W515">
        <v>89.88</v>
      </c>
      <c r="X515">
        <v>0.60699999999999998</v>
      </c>
      <c r="Y515">
        <v>83.25</v>
      </c>
      <c r="Z515">
        <v>2740.12</v>
      </c>
      <c r="AA515">
        <v>84709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7446B-8962-4910-B313-3F6FCD0D6430}">
  <dimension ref="A1:E40"/>
  <sheetViews>
    <sheetView workbookViewId="0">
      <selection activeCell="B8" sqref="B8"/>
    </sheetView>
  </sheetViews>
  <sheetFormatPr defaultRowHeight="14.5" x14ac:dyDescent="0.35"/>
  <cols>
    <col min="1" max="1" width="21.54296875" bestFit="1" customWidth="1"/>
    <col min="2" max="2" width="21.54296875" customWidth="1"/>
  </cols>
  <sheetData>
    <row r="1" spans="1:5" x14ac:dyDescent="0.35">
      <c r="A1" t="s">
        <v>1</v>
      </c>
      <c r="B1" t="s">
        <v>591</v>
      </c>
      <c r="C1" t="s">
        <v>567</v>
      </c>
      <c r="D1" t="s">
        <v>566</v>
      </c>
      <c r="E1" t="s">
        <v>578</v>
      </c>
    </row>
    <row r="2" spans="1:5" x14ac:dyDescent="0.35">
      <c r="A2" t="s">
        <v>25</v>
      </c>
      <c r="B2" t="s">
        <v>592</v>
      </c>
      <c r="C2">
        <v>0.45900000000000002</v>
      </c>
      <c r="D2">
        <v>0.45900000000000002</v>
      </c>
      <c r="E2">
        <v>61.78</v>
      </c>
    </row>
    <row r="3" spans="1:5" x14ac:dyDescent="0.35">
      <c r="A3" t="s">
        <v>59</v>
      </c>
      <c r="B3" t="s">
        <v>592</v>
      </c>
      <c r="C3">
        <v>0.39900000000000002</v>
      </c>
      <c r="D3">
        <v>0.39200000000000002</v>
      </c>
      <c r="E3">
        <v>72.45</v>
      </c>
    </row>
    <row r="4" spans="1:5" x14ac:dyDescent="0.35">
      <c r="A4" t="s">
        <v>79</v>
      </c>
      <c r="B4" t="s">
        <v>592</v>
      </c>
      <c r="C4">
        <v>0.38100000000000001</v>
      </c>
      <c r="D4">
        <v>0.36399999999999999</v>
      </c>
      <c r="E4">
        <v>70.47</v>
      </c>
    </row>
    <row r="5" spans="1:5" x14ac:dyDescent="0.35">
      <c r="A5" t="s">
        <v>92</v>
      </c>
      <c r="B5" t="s">
        <v>592</v>
      </c>
      <c r="C5">
        <v>0.47099999999999997</v>
      </c>
      <c r="D5">
        <v>0.44500000000000001</v>
      </c>
      <c r="E5">
        <v>64.72</v>
      </c>
    </row>
    <row r="6" spans="1:5" x14ac:dyDescent="0.35">
      <c r="A6" t="s">
        <v>104</v>
      </c>
      <c r="B6" t="s">
        <v>592</v>
      </c>
      <c r="C6">
        <v>0.52800000000000002</v>
      </c>
      <c r="D6">
        <v>0.50900000000000001</v>
      </c>
      <c r="E6">
        <v>64.849999999999994</v>
      </c>
    </row>
    <row r="7" spans="1:5" x14ac:dyDescent="0.35">
      <c r="A7" t="s">
        <v>122</v>
      </c>
      <c r="B7" t="s">
        <v>592</v>
      </c>
      <c r="C7">
        <v>0.47899999999999998</v>
      </c>
      <c r="D7">
        <v>0.45800000000000002</v>
      </c>
      <c r="E7">
        <v>77.63</v>
      </c>
    </row>
    <row r="8" spans="1:5" x14ac:dyDescent="0.35">
      <c r="A8" t="s">
        <v>123</v>
      </c>
      <c r="B8" t="s">
        <v>592</v>
      </c>
      <c r="C8">
        <v>0.38400000000000001</v>
      </c>
      <c r="D8">
        <v>0.39600000000000002</v>
      </c>
      <c r="E8">
        <v>75.69</v>
      </c>
    </row>
    <row r="9" spans="1:5" x14ac:dyDescent="0.35">
      <c r="A9" t="s">
        <v>149</v>
      </c>
      <c r="B9" t="s">
        <v>592</v>
      </c>
      <c r="C9">
        <v>0.39900000000000002</v>
      </c>
      <c r="D9">
        <v>0.375</v>
      </c>
      <c r="E9">
        <v>67.709999999999994</v>
      </c>
    </row>
    <row r="10" spans="1:5" x14ac:dyDescent="0.35">
      <c r="A10" t="s">
        <v>157</v>
      </c>
      <c r="B10" t="s">
        <v>592</v>
      </c>
      <c r="C10">
        <v>0.379</v>
      </c>
      <c r="D10">
        <v>0.308</v>
      </c>
      <c r="E10">
        <v>71.069999999999993</v>
      </c>
    </row>
    <row r="11" spans="1:5" x14ac:dyDescent="0.35">
      <c r="A11" t="s">
        <v>165</v>
      </c>
      <c r="B11" t="s">
        <v>592</v>
      </c>
      <c r="C11">
        <v>0.309</v>
      </c>
      <c r="D11">
        <v>0.28999999999999998</v>
      </c>
      <c r="E11">
        <v>65.209999999999994</v>
      </c>
    </row>
    <row r="12" spans="1:5" x14ac:dyDescent="0.35">
      <c r="A12" t="s">
        <v>172</v>
      </c>
      <c r="B12" t="s">
        <v>586</v>
      </c>
      <c r="C12">
        <v>0.14699999999999999</v>
      </c>
      <c r="D12">
        <v>0.14399999999999999</v>
      </c>
      <c r="E12">
        <v>78.45</v>
      </c>
    </row>
    <row r="13" spans="1:5" x14ac:dyDescent="0.35">
      <c r="A13" t="s">
        <v>200</v>
      </c>
      <c r="B13" t="s">
        <v>586</v>
      </c>
      <c r="C13">
        <v>0.45800000000000002</v>
      </c>
      <c r="D13">
        <v>0.434</v>
      </c>
      <c r="E13">
        <v>72.760000000000005</v>
      </c>
    </row>
    <row r="14" spans="1:5" x14ac:dyDescent="0.35">
      <c r="A14" t="s">
        <v>201</v>
      </c>
      <c r="B14" t="s">
        <v>586</v>
      </c>
      <c r="C14">
        <v>0.308</v>
      </c>
      <c r="D14">
        <v>0.22500000000000001</v>
      </c>
      <c r="E14">
        <v>72.58</v>
      </c>
    </row>
    <row r="15" spans="1:5" x14ac:dyDescent="0.35">
      <c r="A15" t="s">
        <v>237</v>
      </c>
      <c r="B15" t="s">
        <v>586</v>
      </c>
      <c r="C15">
        <v>0.16300000000000001</v>
      </c>
      <c r="D15">
        <v>0.153</v>
      </c>
      <c r="E15">
        <v>74.650000000000006</v>
      </c>
    </row>
    <row r="16" spans="1:5" x14ac:dyDescent="0.35">
      <c r="A16" t="s">
        <v>243</v>
      </c>
      <c r="B16" t="s">
        <v>586</v>
      </c>
      <c r="C16">
        <v>0.34699999999999998</v>
      </c>
      <c r="D16">
        <v>0.32900000000000001</v>
      </c>
      <c r="E16">
        <v>75.319999999999993</v>
      </c>
    </row>
    <row r="17" spans="1:5" x14ac:dyDescent="0.35">
      <c r="A17" t="s">
        <v>282</v>
      </c>
      <c r="B17" t="s">
        <v>586</v>
      </c>
      <c r="C17">
        <v>0.45300000000000001</v>
      </c>
      <c r="D17">
        <v>0.41799999999999998</v>
      </c>
      <c r="E17">
        <v>66.48</v>
      </c>
    </row>
    <row r="18" spans="1:5" x14ac:dyDescent="0.35">
      <c r="A18" t="s">
        <v>291</v>
      </c>
      <c r="B18" t="s">
        <v>590</v>
      </c>
      <c r="C18">
        <v>0.183</v>
      </c>
      <c r="D18">
        <v>0.17799999999999999</v>
      </c>
      <c r="E18">
        <v>74.38</v>
      </c>
    </row>
    <row r="19" spans="1:5" x14ac:dyDescent="0.35">
      <c r="A19" t="s">
        <v>301</v>
      </c>
      <c r="B19" t="s">
        <v>590</v>
      </c>
      <c r="C19">
        <v>0.53</v>
      </c>
      <c r="D19">
        <v>0.51500000000000001</v>
      </c>
      <c r="E19">
        <v>64.44</v>
      </c>
    </row>
    <row r="20" spans="1:5" x14ac:dyDescent="0.35">
      <c r="A20" t="s">
        <v>312</v>
      </c>
      <c r="B20" t="s">
        <v>590</v>
      </c>
      <c r="C20">
        <v>0.40200000000000002</v>
      </c>
      <c r="D20">
        <v>0.40200000000000002</v>
      </c>
      <c r="E20">
        <v>78.260000000000005</v>
      </c>
    </row>
    <row r="21" spans="1:5" x14ac:dyDescent="0.35">
      <c r="A21" t="s">
        <v>335</v>
      </c>
      <c r="B21" t="s">
        <v>587</v>
      </c>
      <c r="C21">
        <v>0.49299999999999999</v>
      </c>
      <c r="D21">
        <v>0.48799999999999999</v>
      </c>
      <c r="E21">
        <v>77.14</v>
      </c>
    </row>
    <row r="22" spans="1:5" x14ac:dyDescent="0.35">
      <c r="A22" t="s">
        <v>350</v>
      </c>
      <c r="B22" t="s">
        <v>587</v>
      </c>
      <c r="C22">
        <v>0.54900000000000004</v>
      </c>
      <c r="D22">
        <v>0.53400000000000003</v>
      </c>
      <c r="E22">
        <v>74.599999999999994</v>
      </c>
    </row>
    <row r="23" spans="1:5" x14ac:dyDescent="0.35">
      <c r="A23" t="s">
        <v>365</v>
      </c>
      <c r="B23" t="s">
        <v>587</v>
      </c>
      <c r="C23">
        <v>0.48599999999999999</v>
      </c>
      <c r="D23">
        <v>0.48199999999999998</v>
      </c>
      <c r="E23">
        <v>75.010000000000005</v>
      </c>
    </row>
    <row r="24" spans="1:5" x14ac:dyDescent="0.35">
      <c r="A24" t="s">
        <v>379</v>
      </c>
      <c r="B24" t="s">
        <v>587</v>
      </c>
      <c r="C24">
        <v>0.441</v>
      </c>
      <c r="D24">
        <v>0.379</v>
      </c>
      <c r="E24">
        <v>61.41</v>
      </c>
    </row>
    <row r="25" spans="1:5" x14ac:dyDescent="0.35">
      <c r="A25" t="s">
        <v>390</v>
      </c>
      <c r="B25" t="s">
        <v>587</v>
      </c>
      <c r="C25">
        <v>0.41799999999999998</v>
      </c>
      <c r="D25">
        <v>0.34</v>
      </c>
      <c r="E25">
        <v>67.83</v>
      </c>
    </row>
    <row r="26" spans="1:5" x14ac:dyDescent="0.35">
      <c r="A26" t="s">
        <v>396</v>
      </c>
      <c r="B26" t="s">
        <v>588</v>
      </c>
      <c r="C26">
        <v>0.38600000000000001</v>
      </c>
      <c r="D26">
        <v>0.34</v>
      </c>
      <c r="E26">
        <v>84.5</v>
      </c>
    </row>
    <row r="27" spans="1:5" x14ac:dyDescent="0.35">
      <c r="A27" t="s">
        <v>412</v>
      </c>
      <c r="B27" t="s">
        <v>588</v>
      </c>
      <c r="C27">
        <v>0.46100000000000002</v>
      </c>
      <c r="D27">
        <v>0.42299999999999999</v>
      </c>
      <c r="E27">
        <v>75.37</v>
      </c>
    </row>
    <row r="28" spans="1:5" x14ac:dyDescent="0.35">
      <c r="A28" t="s">
        <v>426</v>
      </c>
      <c r="B28" t="s">
        <v>588</v>
      </c>
      <c r="C28">
        <v>0.36499999999999999</v>
      </c>
      <c r="D28">
        <v>0.33600000000000002</v>
      </c>
      <c r="E28">
        <v>75.25</v>
      </c>
    </row>
    <row r="29" spans="1:5" x14ac:dyDescent="0.35">
      <c r="A29" t="s">
        <v>451</v>
      </c>
      <c r="B29" t="s">
        <v>588</v>
      </c>
      <c r="C29">
        <v>0.46</v>
      </c>
      <c r="D29">
        <v>0.443</v>
      </c>
      <c r="E29">
        <v>80.39</v>
      </c>
    </row>
    <row r="30" spans="1:5" x14ac:dyDescent="0.35">
      <c r="A30" t="s">
        <v>469</v>
      </c>
      <c r="B30" t="s">
        <v>588</v>
      </c>
      <c r="C30">
        <v>0.36499999999999999</v>
      </c>
      <c r="D30">
        <v>0.34300000000000003</v>
      </c>
      <c r="E30">
        <v>70.45</v>
      </c>
    </row>
    <row r="31" spans="1:5" x14ac:dyDescent="0.35">
      <c r="A31" t="s">
        <v>476</v>
      </c>
      <c r="B31" t="s">
        <v>588</v>
      </c>
      <c r="C31">
        <v>0.49099999999999999</v>
      </c>
      <c r="D31">
        <v>0.45900000000000002</v>
      </c>
      <c r="E31">
        <v>67.16</v>
      </c>
    </row>
    <row r="32" spans="1:5" x14ac:dyDescent="0.35">
      <c r="A32" t="s">
        <v>483</v>
      </c>
      <c r="B32" t="s">
        <v>589</v>
      </c>
      <c r="C32">
        <v>0.53800000000000003</v>
      </c>
      <c r="D32">
        <v>0.53</v>
      </c>
      <c r="E32">
        <v>67.89</v>
      </c>
    </row>
    <row r="33" spans="1:5" x14ac:dyDescent="0.35">
      <c r="A33" t="s">
        <v>495</v>
      </c>
      <c r="B33" t="s">
        <v>589</v>
      </c>
      <c r="C33">
        <v>0.50800000000000001</v>
      </c>
      <c r="D33">
        <v>0.50900000000000001</v>
      </c>
      <c r="E33">
        <v>80.08</v>
      </c>
    </row>
    <row r="34" spans="1:5" x14ac:dyDescent="0.35">
      <c r="A34" t="s">
        <v>506</v>
      </c>
      <c r="B34" t="s">
        <v>589</v>
      </c>
      <c r="C34">
        <v>0.55800000000000005</v>
      </c>
      <c r="D34">
        <v>0.53500000000000003</v>
      </c>
      <c r="E34">
        <v>55.89</v>
      </c>
    </row>
    <row r="35" spans="1:5" x14ac:dyDescent="0.35">
      <c r="A35" t="s">
        <v>514</v>
      </c>
      <c r="B35" t="s">
        <v>589</v>
      </c>
      <c r="C35">
        <v>0.52500000000000002</v>
      </c>
      <c r="D35">
        <v>0.51500000000000001</v>
      </c>
      <c r="E35">
        <v>61.16</v>
      </c>
    </row>
    <row r="36" spans="1:5" x14ac:dyDescent="0.35">
      <c r="A36" t="s">
        <v>521</v>
      </c>
      <c r="B36" t="s">
        <v>589</v>
      </c>
      <c r="C36">
        <v>0.47899999999999998</v>
      </c>
      <c r="D36">
        <v>0.47799999999999998</v>
      </c>
      <c r="E36">
        <v>71.58</v>
      </c>
    </row>
    <row r="37" spans="1:5" x14ac:dyDescent="0.35">
      <c r="A37" t="s">
        <v>531</v>
      </c>
      <c r="B37" t="s">
        <v>589</v>
      </c>
      <c r="C37">
        <v>0.53</v>
      </c>
      <c r="D37">
        <v>0.52400000000000002</v>
      </c>
      <c r="E37">
        <v>64</v>
      </c>
    </row>
    <row r="38" spans="1:5" x14ac:dyDescent="0.35">
      <c r="A38" t="s">
        <v>536</v>
      </c>
      <c r="B38" t="s">
        <v>589</v>
      </c>
      <c r="C38">
        <v>0.52600000000000002</v>
      </c>
      <c r="D38">
        <v>0.53200000000000003</v>
      </c>
      <c r="E38">
        <v>62.06</v>
      </c>
    </row>
    <row r="39" spans="1:5" x14ac:dyDescent="0.35">
      <c r="A39" t="s">
        <v>545</v>
      </c>
      <c r="B39" t="s">
        <v>589</v>
      </c>
      <c r="C39">
        <v>0.57899999999999996</v>
      </c>
      <c r="D39">
        <v>0.58399999999999996</v>
      </c>
      <c r="E39">
        <v>55.2</v>
      </c>
    </row>
    <row r="40" spans="1:5" x14ac:dyDescent="0.35">
      <c r="A40" t="s">
        <v>559</v>
      </c>
      <c r="C40">
        <v>0.42099999999999999</v>
      </c>
      <c r="D40">
        <v>0.40200000000000002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F69DF-2D8E-4D9D-B8F8-A221F0FFF62F}">
  <dimension ref="A1:Y515"/>
  <sheetViews>
    <sheetView zoomScale="104" workbookViewId="0">
      <pane xSplit="1" topLeftCell="W1" activePane="topRight" state="frozen"/>
      <selection activeCell="A471" sqref="A471"/>
      <selection pane="topRight" activeCell="Z1" sqref="Z1:AB1048576"/>
    </sheetView>
  </sheetViews>
  <sheetFormatPr defaultRowHeight="14.5" x14ac:dyDescent="0.35"/>
  <cols>
    <col min="1" max="1" width="17.90625" customWidth="1"/>
    <col min="2" max="2" width="26" bestFit="1" customWidth="1"/>
    <col min="3" max="3" width="19.36328125" customWidth="1"/>
    <col min="20" max="20" width="8.7265625" style="1"/>
  </cols>
  <sheetData>
    <row r="1" spans="1:25" x14ac:dyDescent="0.35">
      <c r="A1" t="s">
        <v>0</v>
      </c>
      <c r="B1" t="s">
        <v>1</v>
      </c>
      <c r="C1" t="s">
        <v>585</v>
      </c>
      <c r="D1" t="s">
        <v>556</v>
      </c>
      <c r="E1" t="s">
        <v>555</v>
      </c>
      <c r="F1" t="s">
        <v>580</v>
      </c>
      <c r="G1" t="s">
        <v>557</v>
      </c>
      <c r="H1" t="s">
        <v>558</v>
      </c>
      <c r="I1" t="s">
        <v>579</v>
      </c>
      <c r="J1" t="s">
        <v>560</v>
      </c>
      <c r="K1" t="s">
        <v>561</v>
      </c>
      <c r="L1" t="s">
        <v>562</v>
      </c>
      <c r="M1" t="s">
        <v>563</v>
      </c>
      <c r="N1" t="s">
        <v>564</v>
      </c>
      <c r="O1" t="s">
        <v>565</v>
      </c>
      <c r="P1" t="s">
        <v>581</v>
      </c>
      <c r="Q1" t="s">
        <v>582</v>
      </c>
      <c r="R1" t="s">
        <v>583</v>
      </c>
      <c r="S1" t="s">
        <v>568</v>
      </c>
      <c r="T1" s="1" t="s">
        <v>584</v>
      </c>
      <c r="U1" t="s">
        <v>569</v>
      </c>
      <c r="V1" t="s">
        <v>570</v>
      </c>
      <c r="W1" t="s">
        <v>571</v>
      </c>
      <c r="X1" t="s">
        <v>576</v>
      </c>
      <c r="Y1" t="s">
        <v>577</v>
      </c>
    </row>
    <row r="2" spans="1:25" x14ac:dyDescent="0.35">
      <c r="A2" t="s">
        <v>2</v>
      </c>
      <c r="B2" t="s">
        <v>25</v>
      </c>
      <c r="C2" t="s">
        <v>592</v>
      </c>
      <c r="D2">
        <v>10.220000000000001</v>
      </c>
      <c r="E2">
        <v>9.4600000000000009</v>
      </c>
      <c r="F2">
        <v>9.89</v>
      </c>
      <c r="G2">
        <v>14.5</v>
      </c>
      <c r="H2">
        <v>14.75</v>
      </c>
      <c r="I2">
        <v>14.53</v>
      </c>
      <c r="J2">
        <v>5.7</v>
      </c>
      <c r="K2">
        <v>5.2</v>
      </c>
      <c r="L2">
        <v>5.5</v>
      </c>
      <c r="M2">
        <v>83.7</v>
      </c>
      <c r="N2">
        <v>58.02</v>
      </c>
      <c r="O2">
        <v>70.86</v>
      </c>
      <c r="P2">
        <v>67.760000000000005</v>
      </c>
      <c r="Q2">
        <v>71.709999999999994</v>
      </c>
      <c r="R2">
        <v>69.69</v>
      </c>
      <c r="S2">
        <v>16.670000000000002</v>
      </c>
      <c r="T2">
        <v>24.42</v>
      </c>
      <c r="U2">
        <v>74.38</v>
      </c>
      <c r="V2">
        <v>59.34</v>
      </c>
      <c r="W2">
        <v>69.010000000000005</v>
      </c>
      <c r="X2">
        <v>62.79</v>
      </c>
      <c r="Y2">
        <v>0.433</v>
      </c>
    </row>
    <row r="3" spans="1:25" x14ac:dyDescent="0.35">
      <c r="A3" t="s">
        <v>3</v>
      </c>
      <c r="B3" t="s">
        <v>25</v>
      </c>
      <c r="C3" t="s">
        <v>592</v>
      </c>
      <c r="D3">
        <v>9.0500000000000007</v>
      </c>
      <c r="E3">
        <v>8.2899999999999991</v>
      </c>
      <c r="F3">
        <v>8.7200000000000006</v>
      </c>
      <c r="G3">
        <v>14.4</v>
      </c>
      <c r="H3">
        <v>14.15</v>
      </c>
      <c r="I3">
        <v>14.36</v>
      </c>
      <c r="J3">
        <v>5.76</v>
      </c>
      <c r="K3">
        <v>7.8</v>
      </c>
      <c r="L3">
        <v>6.44</v>
      </c>
      <c r="M3">
        <v>76.25</v>
      </c>
      <c r="N3">
        <v>39.11</v>
      </c>
      <c r="O3">
        <v>57.68</v>
      </c>
      <c r="P3">
        <v>68.040000000000006</v>
      </c>
      <c r="Q3">
        <v>71.98</v>
      </c>
      <c r="R3">
        <v>69.959999999999994</v>
      </c>
      <c r="S3">
        <v>12</v>
      </c>
      <c r="T3">
        <v>28.92</v>
      </c>
      <c r="U3">
        <v>76.510000000000005</v>
      </c>
      <c r="V3">
        <v>65.42</v>
      </c>
      <c r="W3">
        <v>70.75</v>
      </c>
      <c r="X3">
        <v>59.81</v>
      </c>
      <c r="Y3">
        <v>0.52700000000000002</v>
      </c>
    </row>
    <row r="4" spans="1:25" x14ac:dyDescent="0.35">
      <c r="A4" t="s">
        <v>4</v>
      </c>
      <c r="B4" t="s">
        <v>25</v>
      </c>
      <c r="C4" t="s">
        <v>592</v>
      </c>
      <c r="D4">
        <v>9.24</v>
      </c>
      <c r="E4">
        <v>8.4600000000000009</v>
      </c>
      <c r="F4">
        <v>8.92</v>
      </c>
      <c r="G4">
        <v>14.59</v>
      </c>
      <c r="H4">
        <v>14.99</v>
      </c>
      <c r="I4">
        <v>14.71</v>
      </c>
      <c r="J4">
        <v>3.88</v>
      </c>
      <c r="K4">
        <v>5.75</v>
      </c>
      <c r="L4">
        <v>4.5599999999999996</v>
      </c>
      <c r="M4">
        <v>75.900000000000006</v>
      </c>
      <c r="N4">
        <v>42.68</v>
      </c>
      <c r="O4">
        <v>59.290000000000006</v>
      </c>
      <c r="P4">
        <v>68.569999999999993</v>
      </c>
      <c r="Q4">
        <v>72.5</v>
      </c>
      <c r="R4">
        <v>70.489999999999995</v>
      </c>
      <c r="S4">
        <v>20</v>
      </c>
      <c r="T4">
        <v>28.55</v>
      </c>
      <c r="U4">
        <v>72.709999999999994</v>
      </c>
      <c r="V4">
        <v>67.069999999999993</v>
      </c>
      <c r="W4">
        <v>69.099999999999994</v>
      </c>
      <c r="X4">
        <v>67.069999999999993</v>
      </c>
      <c r="Y4">
        <v>0.38</v>
      </c>
    </row>
    <row r="5" spans="1:25" x14ac:dyDescent="0.35">
      <c r="A5" t="s">
        <v>5</v>
      </c>
      <c r="B5" t="s">
        <v>25</v>
      </c>
      <c r="C5" t="s">
        <v>592</v>
      </c>
      <c r="D5">
        <v>10.4</v>
      </c>
      <c r="E5">
        <v>9.82</v>
      </c>
      <c r="F5">
        <v>10.1</v>
      </c>
      <c r="G5">
        <v>14.31</v>
      </c>
      <c r="H5">
        <v>14.83</v>
      </c>
      <c r="I5">
        <v>14.47</v>
      </c>
      <c r="J5">
        <v>5.1100000000000003</v>
      </c>
      <c r="K5">
        <v>4.3099999999999996</v>
      </c>
      <c r="L5">
        <v>4.79</v>
      </c>
      <c r="M5">
        <v>84.75</v>
      </c>
      <c r="N5">
        <v>56.27</v>
      </c>
      <c r="O5">
        <v>70.510000000000005</v>
      </c>
      <c r="P5">
        <v>70.78</v>
      </c>
      <c r="Q5">
        <v>74.81</v>
      </c>
      <c r="R5">
        <v>72.75</v>
      </c>
      <c r="S5">
        <v>6.67</v>
      </c>
      <c r="T5">
        <v>31.77</v>
      </c>
      <c r="U5">
        <v>76.239999999999995</v>
      </c>
      <c r="V5">
        <v>71.12</v>
      </c>
      <c r="W5">
        <v>71.7</v>
      </c>
      <c r="X5">
        <v>56.4</v>
      </c>
      <c r="Y5">
        <v>0.53</v>
      </c>
    </row>
    <row r="6" spans="1:25" x14ac:dyDescent="0.35">
      <c r="A6" t="s">
        <v>6</v>
      </c>
      <c r="B6" t="s">
        <v>25</v>
      </c>
      <c r="C6" t="s">
        <v>592</v>
      </c>
      <c r="D6">
        <v>8.61</v>
      </c>
      <c r="E6">
        <v>8.4700000000000006</v>
      </c>
      <c r="F6">
        <v>8.48</v>
      </c>
      <c r="G6">
        <v>12.89</v>
      </c>
      <c r="H6">
        <v>13.13</v>
      </c>
      <c r="I6">
        <v>13.08</v>
      </c>
      <c r="J6">
        <v>3.75</v>
      </c>
      <c r="K6">
        <v>16.260000000000002</v>
      </c>
      <c r="L6">
        <v>7.75</v>
      </c>
      <c r="M6">
        <v>82.94</v>
      </c>
      <c r="N6">
        <v>38.86</v>
      </c>
      <c r="O6">
        <v>60.9</v>
      </c>
      <c r="P6">
        <v>70.28</v>
      </c>
      <c r="Q6">
        <v>74.290000000000006</v>
      </c>
      <c r="R6">
        <v>72.239999999999995</v>
      </c>
      <c r="S6">
        <v>2.5</v>
      </c>
      <c r="T6">
        <v>29.3</v>
      </c>
      <c r="U6">
        <v>74.349999999999994</v>
      </c>
      <c r="V6">
        <v>64.88</v>
      </c>
      <c r="W6">
        <v>69.87</v>
      </c>
      <c r="X6">
        <v>49.26</v>
      </c>
      <c r="Y6">
        <v>0.58899999999999997</v>
      </c>
    </row>
    <row r="7" spans="1:25" x14ac:dyDescent="0.35">
      <c r="A7" t="s">
        <v>7</v>
      </c>
      <c r="B7" t="s">
        <v>25</v>
      </c>
      <c r="C7" t="s">
        <v>592</v>
      </c>
      <c r="D7">
        <v>10.07</v>
      </c>
      <c r="E7">
        <v>9.92</v>
      </c>
      <c r="F7">
        <v>10.029999999999999</v>
      </c>
      <c r="G7">
        <v>14.36</v>
      </c>
      <c r="H7">
        <v>15.64</v>
      </c>
      <c r="I7">
        <v>15.03</v>
      </c>
      <c r="J7">
        <v>2.75</v>
      </c>
      <c r="K7">
        <v>6.13</v>
      </c>
      <c r="L7">
        <v>4.21</v>
      </c>
      <c r="M7">
        <v>87.23</v>
      </c>
      <c r="N7">
        <v>67.400000000000006</v>
      </c>
      <c r="O7">
        <v>77.314999999999998</v>
      </c>
      <c r="P7">
        <v>71.03</v>
      </c>
      <c r="Q7">
        <v>75.150000000000006</v>
      </c>
      <c r="R7">
        <v>73.040000000000006</v>
      </c>
      <c r="S7">
        <v>13.33</v>
      </c>
      <c r="T7">
        <v>38.119999999999997</v>
      </c>
      <c r="U7">
        <v>75.84</v>
      </c>
      <c r="V7">
        <v>74.239999999999995</v>
      </c>
      <c r="W7">
        <v>75.41</v>
      </c>
      <c r="X7">
        <v>69.069999999999993</v>
      </c>
      <c r="Y7">
        <v>0.42399999999999999</v>
      </c>
    </row>
    <row r="8" spans="1:25" x14ac:dyDescent="0.35">
      <c r="A8" t="s">
        <v>8</v>
      </c>
      <c r="B8" t="s">
        <v>25</v>
      </c>
      <c r="C8" t="s">
        <v>592</v>
      </c>
      <c r="D8">
        <v>10.17</v>
      </c>
      <c r="E8">
        <v>9.81</v>
      </c>
      <c r="F8">
        <v>9.99</v>
      </c>
      <c r="G8">
        <v>14.93</v>
      </c>
      <c r="H8">
        <v>14.9</v>
      </c>
      <c r="I8">
        <v>14.93</v>
      </c>
      <c r="J8">
        <v>7.03</v>
      </c>
      <c r="K8">
        <v>3.3</v>
      </c>
      <c r="L8">
        <v>5.58</v>
      </c>
      <c r="M8">
        <v>73.180000000000007</v>
      </c>
      <c r="N8">
        <v>47.15</v>
      </c>
      <c r="O8">
        <v>60.165000000000006</v>
      </c>
      <c r="P8">
        <v>70.08</v>
      </c>
      <c r="Q8">
        <v>74.069999999999993</v>
      </c>
      <c r="R8">
        <v>72.03</v>
      </c>
      <c r="S8">
        <v>12</v>
      </c>
      <c r="T8">
        <v>30.21</v>
      </c>
      <c r="U8">
        <v>78</v>
      </c>
      <c r="V8">
        <v>67.599999999999994</v>
      </c>
      <c r="W8">
        <v>73.69</v>
      </c>
      <c r="X8">
        <v>59.59</v>
      </c>
      <c r="Y8">
        <v>0.23100000000000001</v>
      </c>
    </row>
    <row r="9" spans="1:25" x14ac:dyDescent="0.35">
      <c r="A9" t="s">
        <v>9</v>
      </c>
      <c r="B9" t="s">
        <v>25</v>
      </c>
      <c r="C9" t="s">
        <v>592</v>
      </c>
      <c r="D9">
        <v>10.57</v>
      </c>
      <c r="E9">
        <v>10.37</v>
      </c>
      <c r="F9">
        <v>10.37</v>
      </c>
      <c r="G9">
        <v>14.75</v>
      </c>
      <c r="H9">
        <v>15.4</v>
      </c>
      <c r="I9">
        <v>14.77</v>
      </c>
      <c r="J9">
        <v>5.56</v>
      </c>
      <c r="K9">
        <v>11.76</v>
      </c>
      <c r="L9">
        <v>7.93</v>
      </c>
      <c r="M9">
        <v>82.41</v>
      </c>
      <c r="N9">
        <v>51.59</v>
      </c>
      <c r="O9">
        <v>67</v>
      </c>
      <c r="P9">
        <v>71.16</v>
      </c>
      <c r="Q9">
        <v>75.430000000000007</v>
      </c>
      <c r="R9">
        <v>73.239999999999995</v>
      </c>
      <c r="S9">
        <v>5</v>
      </c>
      <c r="T9">
        <v>25.23</v>
      </c>
      <c r="U9">
        <v>78.19</v>
      </c>
      <c r="V9">
        <v>74.569999999999993</v>
      </c>
      <c r="W9">
        <v>75.13</v>
      </c>
      <c r="X9">
        <v>50.49</v>
      </c>
      <c r="Y9">
        <v>0.35099999999999998</v>
      </c>
    </row>
    <row r="10" spans="1:25" x14ac:dyDescent="0.35">
      <c r="A10" t="s">
        <v>10</v>
      </c>
      <c r="B10" t="s">
        <v>25</v>
      </c>
      <c r="C10" t="s">
        <v>592</v>
      </c>
      <c r="D10">
        <v>9.44</v>
      </c>
      <c r="E10">
        <v>8.74</v>
      </c>
      <c r="F10">
        <v>9.0399999999999991</v>
      </c>
      <c r="G10">
        <v>14.38</v>
      </c>
      <c r="H10">
        <v>14.9</v>
      </c>
      <c r="I10">
        <v>14.52</v>
      </c>
      <c r="J10">
        <v>6.01</v>
      </c>
      <c r="K10">
        <v>5.27</v>
      </c>
      <c r="L10">
        <v>5.74</v>
      </c>
      <c r="M10">
        <v>79.09</v>
      </c>
      <c r="N10">
        <v>45.64</v>
      </c>
      <c r="O10">
        <v>62.365000000000002</v>
      </c>
      <c r="P10">
        <v>68.069999999999993</v>
      </c>
      <c r="Q10">
        <v>72.010000000000005</v>
      </c>
      <c r="R10">
        <v>69.989999999999995</v>
      </c>
      <c r="S10">
        <v>12.5</v>
      </c>
      <c r="T10">
        <v>32.21</v>
      </c>
      <c r="U10">
        <v>75.45</v>
      </c>
      <c r="V10">
        <v>70.91</v>
      </c>
      <c r="W10">
        <v>72.31</v>
      </c>
      <c r="X10">
        <v>62.44</v>
      </c>
      <c r="Y10">
        <v>0.20499999999999999</v>
      </c>
    </row>
    <row r="11" spans="1:25" x14ac:dyDescent="0.35">
      <c r="A11" t="s">
        <v>11</v>
      </c>
      <c r="B11" t="s">
        <v>25</v>
      </c>
      <c r="C11" t="s">
        <v>592</v>
      </c>
      <c r="D11">
        <v>9.66</v>
      </c>
      <c r="E11">
        <v>9.58</v>
      </c>
      <c r="F11">
        <v>9.59</v>
      </c>
      <c r="G11">
        <v>14.83</v>
      </c>
      <c r="H11">
        <v>15.14</v>
      </c>
      <c r="I11">
        <v>14.88</v>
      </c>
      <c r="J11">
        <v>4.1500000000000004</v>
      </c>
      <c r="K11">
        <v>3.62</v>
      </c>
      <c r="L11">
        <v>3.93</v>
      </c>
      <c r="M11">
        <v>80.739999999999995</v>
      </c>
      <c r="N11">
        <v>54.36</v>
      </c>
      <c r="O11">
        <v>67.55</v>
      </c>
      <c r="P11">
        <v>71.540000000000006</v>
      </c>
      <c r="Q11">
        <v>76.209999999999994</v>
      </c>
      <c r="R11">
        <v>73.819999999999993</v>
      </c>
      <c r="S11">
        <v>10</v>
      </c>
      <c r="T11">
        <v>38.53</v>
      </c>
      <c r="U11">
        <v>77.819999999999993</v>
      </c>
      <c r="V11">
        <v>74</v>
      </c>
      <c r="W11">
        <v>74.45</v>
      </c>
      <c r="X11">
        <v>62.34</v>
      </c>
      <c r="Y11">
        <v>0.39300000000000002</v>
      </c>
    </row>
    <row r="12" spans="1:25" x14ac:dyDescent="0.35">
      <c r="A12" t="s">
        <v>12</v>
      </c>
      <c r="B12" t="s">
        <v>25</v>
      </c>
      <c r="C12" t="s">
        <v>592</v>
      </c>
      <c r="D12">
        <v>9.3000000000000007</v>
      </c>
      <c r="E12">
        <v>8.98</v>
      </c>
      <c r="F12">
        <v>9.11</v>
      </c>
      <c r="G12">
        <v>14.45</v>
      </c>
      <c r="H12">
        <v>15.15</v>
      </c>
      <c r="I12">
        <v>14.75</v>
      </c>
      <c r="J12">
        <v>7.04</v>
      </c>
      <c r="K12">
        <v>6.61</v>
      </c>
      <c r="L12">
        <v>6.88</v>
      </c>
      <c r="M12">
        <v>76.33</v>
      </c>
      <c r="N12">
        <v>42.04</v>
      </c>
      <c r="O12">
        <v>59.185000000000002</v>
      </c>
      <c r="P12">
        <v>70.78</v>
      </c>
      <c r="Q12">
        <v>74.819999999999993</v>
      </c>
      <c r="R12">
        <v>72.75</v>
      </c>
      <c r="S12">
        <v>0</v>
      </c>
      <c r="T12">
        <v>33.770000000000003</v>
      </c>
      <c r="U12">
        <v>74.86</v>
      </c>
      <c r="V12">
        <v>69.89</v>
      </c>
      <c r="W12">
        <v>71.7</v>
      </c>
      <c r="X12">
        <v>48.77</v>
      </c>
      <c r="Y12">
        <v>0.78900000000000003</v>
      </c>
    </row>
    <row r="13" spans="1:25" x14ac:dyDescent="0.35">
      <c r="A13" t="s">
        <v>13</v>
      </c>
      <c r="B13" t="s">
        <v>25</v>
      </c>
      <c r="C13" t="s">
        <v>592</v>
      </c>
      <c r="D13">
        <v>8.9700000000000006</v>
      </c>
      <c r="E13">
        <v>8.67</v>
      </c>
      <c r="F13">
        <v>8.7799999999999994</v>
      </c>
      <c r="G13">
        <v>13.68</v>
      </c>
      <c r="H13">
        <v>14.85</v>
      </c>
      <c r="I13">
        <v>13.69</v>
      </c>
      <c r="J13">
        <v>1.3</v>
      </c>
      <c r="K13">
        <v>9.48</v>
      </c>
      <c r="L13">
        <v>3.83</v>
      </c>
      <c r="M13">
        <v>83.08</v>
      </c>
      <c r="N13">
        <v>37.630000000000003</v>
      </c>
      <c r="O13">
        <v>60.355000000000004</v>
      </c>
      <c r="P13">
        <v>68.709999999999994</v>
      </c>
      <c r="Q13">
        <v>72.650000000000006</v>
      </c>
      <c r="R13">
        <v>70.63</v>
      </c>
      <c r="S13">
        <v>4</v>
      </c>
      <c r="T13">
        <v>30.51</v>
      </c>
      <c r="U13">
        <v>74.41</v>
      </c>
      <c r="V13">
        <v>67.3</v>
      </c>
      <c r="W13">
        <v>68.75</v>
      </c>
      <c r="X13">
        <v>53.61</v>
      </c>
      <c r="Y13">
        <v>0.45400000000000001</v>
      </c>
    </row>
    <row r="14" spans="1:25" x14ac:dyDescent="0.35">
      <c r="A14" t="s">
        <v>14</v>
      </c>
      <c r="B14" t="s">
        <v>25</v>
      </c>
      <c r="C14" t="s">
        <v>592</v>
      </c>
      <c r="D14">
        <v>9.25</v>
      </c>
      <c r="E14">
        <v>7.81</v>
      </c>
      <c r="F14">
        <v>8.44</v>
      </c>
      <c r="G14">
        <v>14.35</v>
      </c>
      <c r="H14">
        <v>14.78</v>
      </c>
      <c r="I14">
        <v>14.59</v>
      </c>
      <c r="J14">
        <v>1.0900000000000001</v>
      </c>
      <c r="K14">
        <v>4</v>
      </c>
      <c r="L14">
        <v>2.4</v>
      </c>
      <c r="M14">
        <v>87.06</v>
      </c>
      <c r="N14">
        <v>71.430000000000007</v>
      </c>
      <c r="O14">
        <v>79.245000000000005</v>
      </c>
      <c r="P14">
        <v>67.989999999999995</v>
      </c>
      <c r="Q14">
        <v>71.930000000000007</v>
      </c>
      <c r="R14">
        <v>69.92</v>
      </c>
      <c r="S14">
        <v>4</v>
      </c>
      <c r="T14">
        <v>37.47</v>
      </c>
      <c r="U14">
        <v>74.91</v>
      </c>
      <c r="V14">
        <v>67.48</v>
      </c>
      <c r="W14">
        <v>69.83</v>
      </c>
      <c r="X14">
        <v>57.21</v>
      </c>
      <c r="Y14">
        <v>0.61299999999999999</v>
      </c>
    </row>
    <row r="15" spans="1:25" x14ac:dyDescent="0.35">
      <c r="A15" t="s">
        <v>15</v>
      </c>
      <c r="B15" t="s">
        <v>25</v>
      </c>
      <c r="C15" t="s">
        <v>592</v>
      </c>
      <c r="D15">
        <v>9.52</v>
      </c>
      <c r="E15">
        <v>9.07</v>
      </c>
      <c r="F15">
        <v>9.3000000000000007</v>
      </c>
      <c r="G15">
        <v>14.24</v>
      </c>
      <c r="H15">
        <v>14.56</v>
      </c>
      <c r="I15">
        <v>14.51</v>
      </c>
      <c r="J15">
        <v>4.74</v>
      </c>
      <c r="K15">
        <v>10.51</v>
      </c>
      <c r="L15">
        <v>6.95</v>
      </c>
      <c r="M15">
        <v>85.19</v>
      </c>
      <c r="N15">
        <v>53.99</v>
      </c>
      <c r="O15">
        <v>69.59</v>
      </c>
      <c r="P15">
        <v>71.52</v>
      </c>
      <c r="Q15">
        <v>76.17</v>
      </c>
      <c r="R15">
        <v>73.790000000000006</v>
      </c>
      <c r="S15">
        <v>17.14</v>
      </c>
      <c r="T15">
        <v>28.23</v>
      </c>
      <c r="U15">
        <v>78.680000000000007</v>
      </c>
      <c r="V15">
        <v>65.040000000000006</v>
      </c>
      <c r="W15">
        <v>72.319999999999993</v>
      </c>
      <c r="X15">
        <v>64.53</v>
      </c>
      <c r="Y15">
        <v>0.47699999999999998</v>
      </c>
    </row>
    <row r="16" spans="1:25" x14ac:dyDescent="0.35">
      <c r="A16" t="s">
        <v>16</v>
      </c>
      <c r="B16" t="s">
        <v>25</v>
      </c>
      <c r="C16" t="s">
        <v>592</v>
      </c>
      <c r="D16">
        <v>9.39</v>
      </c>
      <c r="E16">
        <v>9.1300000000000008</v>
      </c>
      <c r="F16">
        <v>9.25</v>
      </c>
      <c r="G16">
        <v>13.95</v>
      </c>
      <c r="H16">
        <v>14.5</v>
      </c>
      <c r="I16">
        <v>14.18</v>
      </c>
      <c r="J16">
        <v>4.08</v>
      </c>
      <c r="K16">
        <v>7.49</v>
      </c>
      <c r="L16">
        <v>5.22</v>
      </c>
      <c r="M16">
        <v>84.63</v>
      </c>
      <c r="N16">
        <v>43</v>
      </c>
      <c r="O16">
        <v>63.814999999999998</v>
      </c>
      <c r="P16">
        <v>70.7</v>
      </c>
      <c r="Q16">
        <v>74.73</v>
      </c>
      <c r="R16">
        <v>72.67</v>
      </c>
      <c r="S16">
        <v>0</v>
      </c>
      <c r="T16">
        <v>27.15</v>
      </c>
      <c r="U16">
        <v>76.150000000000006</v>
      </c>
      <c r="V16">
        <v>69.540000000000006</v>
      </c>
      <c r="W16">
        <v>71.72</v>
      </c>
      <c r="X16">
        <v>45.23</v>
      </c>
      <c r="Y16">
        <v>0.78900000000000003</v>
      </c>
    </row>
    <row r="17" spans="1:25" x14ac:dyDescent="0.35">
      <c r="A17" t="s">
        <v>17</v>
      </c>
      <c r="B17" t="s">
        <v>25</v>
      </c>
      <c r="C17" t="s">
        <v>592</v>
      </c>
      <c r="D17">
        <v>9.25</v>
      </c>
      <c r="E17">
        <v>8.64</v>
      </c>
      <c r="F17">
        <v>9.02</v>
      </c>
      <c r="G17">
        <v>14.05</v>
      </c>
      <c r="H17">
        <v>14.23</v>
      </c>
      <c r="I17">
        <v>14.06</v>
      </c>
      <c r="J17">
        <v>3.37</v>
      </c>
      <c r="K17">
        <v>1.84</v>
      </c>
      <c r="L17">
        <v>2.75</v>
      </c>
      <c r="M17">
        <v>83.56</v>
      </c>
      <c r="N17">
        <v>58.01</v>
      </c>
      <c r="O17">
        <v>70.784999999999997</v>
      </c>
      <c r="P17">
        <v>68.97</v>
      </c>
      <c r="Q17">
        <v>72.92</v>
      </c>
      <c r="R17">
        <v>70.89</v>
      </c>
      <c r="S17">
        <v>10</v>
      </c>
      <c r="T17">
        <v>38.29</v>
      </c>
      <c r="U17">
        <v>76.430000000000007</v>
      </c>
      <c r="V17">
        <v>68.88</v>
      </c>
      <c r="W17">
        <v>71.83</v>
      </c>
      <c r="X17">
        <v>65.040000000000006</v>
      </c>
      <c r="Y17">
        <v>0.27700000000000002</v>
      </c>
    </row>
    <row r="18" spans="1:25" x14ac:dyDescent="0.35">
      <c r="A18" t="s">
        <v>18</v>
      </c>
      <c r="B18" t="s">
        <v>25</v>
      </c>
      <c r="C18" t="s">
        <v>592</v>
      </c>
      <c r="D18">
        <v>10.17</v>
      </c>
      <c r="E18">
        <v>10.050000000000001</v>
      </c>
      <c r="F18">
        <v>10.130000000000001</v>
      </c>
      <c r="G18">
        <v>13.72</v>
      </c>
      <c r="H18">
        <v>13.96</v>
      </c>
      <c r="I18">
        <v>13.73</v>
      </c>
      <c r="J18">
        <v>0.59</v>
      </c>
      <c r="K18">
        <v>4.05</v>
      </c>
      <c r="L18">
        <v>2.2000000000000002</v>
      </c>
      <c r="M18">
        <v>89.18</v>
      </c>
      <c r="N18">
        <v>78.39</v>
      </c>
      <c r="O18">
        <v>83.784999999999997</v>
      </c>
      <c r="P18">
        <v>71</v>
      </c>
      <c r="Q18">
        <v>75.09</v>
      </c>
      <c r="R18">
        <v>73</v>
      </c>
      <c r="S18">
        <v>4</v>
      </c>
      <c r="T18">
        <v>30.74</v>
      </c>
      <c r="U18">
        <v>77.150000000000006</v>
      </c>
      <c r="V18">
        <v>74.63</v>
      </c>
      <c r="W18">
        <v>75.010000000000005</v>
      </c>
      <c r="X18">
        <v>51.19</v>
      </c>
      <c r="Y18">
        <v>0.52200000000000002</v>
      </c>
    </row>
    <row r="19" spans="1:25" x14ac:dyDescent="0.35">
      <c r="A19" t="s">
        <v>19</v>
      </c>
      <c r="B19" t="s">
        <v>25</v>
      </c>
      <c r="C19" t="s">
        <v>592</v>
      </c>
      <c r="D19">
        <v>9.81</v>
      </c>
      <c r="E19">
        <v>9.48</v>
      </c>
      <c r="F19">
        <v>9.59</v>
      </c>
      <c r="G19">
        <v>14.88</v>
      </c>
      <c r="H19">
        <v>15.29</v>
      </c>
      <c r="I19">
        <v>15.01</v>
      </c>
      <c r="J19">
        <v>2.2200000000000002</v>
      </c>
      <c r="K19">
        <v>6.53</v>
      </c>
      <c r="L19">
        <v>3.82</v>
      </c>
      <c r="M19">
        <v>76.319999999999993</v>
      </c>
      <c r="N19">
        <v>43.9</v>
      </c>
      <c r="O19">
        <v>60.11</v>
      </c>
      <c r="P19">
        <v>71.209999999999994</v>
      </c>
      <c r="Q19">
        <v>75.53</v>
      </c>
      <c r="R19">
        <v>73.31</v>
      </c>
      <c r="S19">
        <v>4</v>
      </c>
      <c r="T19">
        <v>35.01</v>
      </c>
      <c r="U19">
        <v>78.430000000000007</v>
      </c>
      <c r="V19">
        <v>74.73</v>
      </c>
      <c r="W19">
        <v>75.16</v>
      </c>
      <c r="X19">
        <v>55.98</v>
      </c>
      <c r="Y19">
        <v>0.4</v>
      </c>
    </row>
    <row r="20" spans="1:25" x14ac:dyDescent="0.35">
      <c r="A20" t="s">
        <v>20</v>
      </c>
      <c r="B20" t="s">
        <v>25</v>
      </c>
      <c r="C20" t="s">
        <v>592</v>
      </c>
      <c r="D20">
        <v>13.2</v>
      </c>
      <c r="E20">
        <v>12.95</v>
      </c>
      <c r="F20">
        <v>13.1</v>
      </c>
      <c r="G20">
        <v>17.88</v>
      </c>
      <c r="H20">
        <v>18.079999999999998</v>
      </c>
      <c r="I20">
        <v>17.940000000000001</v>
      </c>
      <c r="J20">
        <v>3.76</v>
      </c>
      <c r="K20">
        <v>13.06</v>
      </c>
      <c r="L20">
        <v>7.55</v>
      </c>
      <c r="M20">
        <v>77.17</v>
      </c>
      <c r="N20">
        <v>53.01</v>
      </c>
      <c r="O20">
        <v>65.09</v>
      </c>
      <c r="P20">
        <v>72.55</v>
      </c>
      <c r="Q20">
        <v>78.08</v>
      </c>
      <c r="R20">
        <v>75.25</v>
      </c>
      <c r="S20">
        <v>13.33</v>
      </c>
      <c r="T20">
        <v>28.42</v>
      </c>
      <c r="U20">
        <v>89.12</v>
      </c>
      <c r="V20">
        <v>85.72</v>
      </c>
      <c r="W20">
        <v>87.17</v>
      </c>
      <c r="X20">
        <v>63.24</v>
      </c>
      <c r="Y20">
        <v>0.182</v>
      </c>
    </row>
    <row r="21" spans="1:25" x14ac:dyDescent="0.35">
      <c r="A21" t="s">
        <v>21</v>
      </c>
      <c r="B21" t="s">
        <v>25</v>
      </c>
      <c r="C21" t="s">
        <v>592</v>
      </c>
      <c r="D21">
        <v>11.34</v>
      </c>
      <c r="E21">
        <v>11.21</v>
      </c>
      <c r="F21">
        <v>11.22</v>
      </c>
      <c r="G21">
        <v>14.97</v>
      </c>
      <c r="H21">
        <v>15.19</v>
      </c>
      <c r="I21">
        <v>14.97</v>
      </c>
      <c r="J21">
        <v>2.87</v>
      </c>
      <c r="K21">
        <v>3.05</v>
      </c>
      <c r="L21">
        <v>2.95</v>
      </c>
      <c r="M21">
        <v>81.569999999999993</v>
      </c>
      <c r="N21">
        <v>54.71</v>
      </c>
      <c r="O21">
        <v>68.14</v>
      </c>
      <c r="P21">
        <v>71.34</v>
      </c>
      <c r="Q21">
        <v>75.8</v>
      </c>
      <c r="R21">
        <v>73.52</v>
      </c>
      <c r="S21">
        <v>10</v>
      </c>
      <c r="T21">
        <v>32.43</v>
      </c>
      <c r="U21">
        <v>80.83</v>
      </c>
      <c r="V21">
        <v>77.39</v>
      </c>
      <c r="W21">
        <v>78.319999999999993</v>
      </c>
      <c r="X21">
        <v>60.86</v>
      </c>
      <c r="Y21">
        <v>0.186</v>
      </c>
    </row>
    <row r="22" spans="1:25" x14ac:dyDescent="0.35">
      <c r="A22" t="s">
        <v>22</v>
      </c>
      <c r="B22" t="s">
        <v>25</v>
      </c>
      <c r="C22" t="s">
        <v>592</v>
      </c>
      <c r="D22">
        <v>11.55</v>
      </c>
      <c r="E22">
        <v>11.02</v>
      </c>
      <c r="F22">
        <v>11.28</v>
      </c>
      <c r="G22">
        <v>15.03</v>
      </c>
      <c r="H22">
        <v>16.61</v>
      </c>
      <c r="I22">
        <v>15.71</v>
      </c>
      <c r="J22">
        <v>6.65</v>
      </c>
      <c r="K22">
        <v>8.49</v>
      </c>
      <c r="L22">
        <v>7.34</v>
      </c>
      <c r="M22">
        <v>74.78</v>
      </c>
      <c r="N22">
        <v>45.38</v>
      </c>
      <c r="O22">
        <v>60.08</v>
      </c>
      <c r="P22">
        <v>71.73</v>
      </c>
      <c r="Q22">
        <v>76.62</v>
      </c>
      <c r="R22">
        <v>74.11</v>
      </c>
      <c r="S22">
        <v>12</v>
      </c>
      <c r="T22">
        <v>27.8</v>
      </c>
      <c r="U22">
        <v>81.400000000000006</v>
      </c>
      <c r="V22">
        <v>78.05</v>
      </c>
      <c r="W22">
        <v>78.81</v>
      </c>
      <c r="X22">
        <v>58.91</v>
      </c>
      <c r="Y22">
        <v>0.48399999999999999</v>
      </c>
    </row>
    <row r="23" spans="1:25" x14ac:dyDescent="0.35">
      <c r="A23" t="s">
        <v>23</v>
      </c>
      <c r="B23" t="s">
        <v>25</v>
      </c>
      <c r="C23" t="s">
        <v>592</v>
      </c>
      <c r="D23">
        <v>11.5</v>
      </c>
      <c r="E23">
        <v>11.2</v>
      </c>
      <c r="F23">
        <v>11.31</v>
      </c>
      <c r="G23">
        <v>15.29</v>
      </c>
      <c r="H23">
        <v>15.98</v>
      </c>
      <c r="I23">
        <v>15.55</v>
      </c>
      <c r="J23">
        <v>6.93</v>
      </c>
      <c r="K23">
        <v>10.82</v>
      </c>
      <c r="L23">
        <v>8.4700000000000006</v>
      </c>
      <c r="M23">
        <v>79.44</v>
      </c>
      <c r="N23">
        <v>50.25</v>
      </c>
      <c r="O23">
        <v>64.844999999999999</v>
      </c>
      <c r="P23">
        <v>72.290000000000006</v>
      </c>
      <c r="Q23">
        <v>77.7</v>
      </c>
      <c r="R23">
        <v>74.930000000000007</v>
      </c>
      <c r="S23">
        <v>28</v>
      </c>
      <c r="T23">
        <v>23.42</v>
      </c>
      <c r="U23">
        <v>82.52</v>
      </c>
      <c r="V23">
        <v>79</v>
      </c>
      <c r="W23">
        <v>79.55</v>
      </c>
      <c r="X23">
        <v>68.86</v>
      </c>
      <c r="Y23">
        <v>0.33100000000000002</v>
      </c>
    </row>
    <row r="24" spans="1:25" x14ac:dyDescent="0.35">
      <c r="A24" t="s">
        <v>24</v>
      </c>
      <c r="B24" t="s">
        <v>25</v>
      </c>
      <c r="C24" t="s">
        <v>592</v>
      </c>
      <c r="D24">
        <v>8.99</v>
      </c>
      <c r="E24">
        <v>7.95</v>
      </c>
      <c r="F24">
        <v>8.43</v>
      </c>
      <c r="G24">
        <v>14.96</v>
      </c>
      <c r="H24">
        <v>15.34</v>
      </c>
      <c r="I24">
        <v>15.31</v>
      </c>
      <c r="J24">
        <v>5.95</v>
      </c>
      <c r="K24">
        <v>3.68</v>
      </c>
      <c r="L24">
        <v>5.12</v>
      </c>
      <c r="M24">
        <v>85.98</v>
      </c>
      <c r="N24">
        <v>50.87</v>
      </c>
      <c r="O24">
        <v>68.424999999999997</v>
      </c>
      <c r="P24">
        <v>67.88</v>
      </c>
      <c r="Q24">
        <v>71.819999999999993</v>
      </c>
      <c r="R24">
        <v>69.8</v>
      </c>
      <c r="S24">
        <v>25</v>
      </c>
      <c r="T24">
        <v>36.15</v>
      </c>
      <c r="U24">
        <v>73.459999999999994</v>
      </c>
      <c r="V24">
        <v>63.09</v>
      </c>
      <c r="W24">
        <v>68.040000000000006</v>
      </c>
      <c r="X24">
        <v>76</v>
      </c>
      <c r="Y24">
        <v>0.52500000000000002</v>
      </c>
    </row>
    <row r="25" spans="1:25" x14ac:dyDescent="0.35">
      <c r="A25" t="s">
        <v>26</v>
      </c>
      <c r="B25" t="s">
        <v>59</v>
      </c>
      <c r="C25" t="s">
        <v>592</v>
      </c>
      <c r="D25">
        <v>7.68</v>
      </c>
      <c r="E25">
        <v>5.46</v>
      </c>
      <c r="F25">
        <v>6.4</v>
      </c>
      <c r="G25">
        <v>13.36</v>
      </c>
      <c r="H25">
        <v>12.77</v>
      </c>
      <c r="I25">
        <v>13.31</v>
      </c>
      <c r="J25">
        <v>1.89</v>
      </c>
      <c r="K25">
        <v>2.29</v>
      </c>
      <c r="L25">
        <v>2.1</v>
      </c>
      <c r="M25">
        <v>82.37</v>
      </c>
      <c r="N25">
        <v>82.52</v>
      </c>
      <c r="O25">
        <v>82.444999999999993</v>
      </c>
      <c r="P25">
        <v>69.95</v>
      </c>
      <c r="Q25">
        <v>73.94</v>
      </c>
      <c r="R25">
        <v>71.89</v>
      </c>
      <c r="S25">
        <v>8</v>
      </c>
      <c r="T25">
        <v>50.92</v>
      </c>
      <c r="U25">
        <v>68.87</v>
      </c>
      <c r="V25">
        <v>62.82</v>
      </c>
      <c r="W25">
        <v>65.55</v>
      </c>
      <c r="X25">
        <v>64.569999999999993</v>
      </c>
      <c r="Y25">
        <v>0.55500000000000005</v>
      </c>
    </row>
    <row r="26" spans="1:25" x14ac:dyDescent="0.35">
      <c r="A26" t="s">
        <v>27</v>
      </c>
      <c r="B26" t="s">
        <v>59</v>
      </c>
      <c r="C26" t="s">
        <v>592</v>
      </c>
      <c r="D26">
        <v>9.19</v>
      </c>
      <c r="E26">
        <v>9.07</v>
      </c>
      <c r="F26">
        <v>9.11</v>
      </c>
      <c r="G26">
        <v>13.56</v>
      </c>
      <c r="H26">
        <v>13.93</v>
      </c>
      <c r="I26">
        <v>13.87</v>
      </c>
      <c r="J26">
        <v>5.09</v>
      </c>
      <c r="K26">
        <v>10.34</v>
      </c>
      <c r="L26">
        <v>7.22</v>
      </c>
      <c r="M26">
        <v>77.52</v>
      </c>
      <c r="N26">
        <v>51.63</v>
      </c>
      <c r="O26">
        <v>64.575000000000003</v>
      </c>
      <c r="P26">
        <v>69.930000000000007</v>
      </c>
      <c r="Q26">
        <v>73.92</v>
      </c>
      <c r="R26">
        <v>71.88</v>
      </c>
      <c r="S26">
        <v>7.5</v>
      </c>
      <c r="T26">
        <v>47.78</v>
      </c>
      <c r="U26">
        <v>73.33</v>
      </c>
      <c r="V26">
        <v>68.84</v>
      </c>
      <c r="W26">
        <v>69.33</v>
      </c>
      <c r="X26">
        <v>66.37</v>
      </c>
      <c r="Y26">
        <v>0.51800000000000002</v>
      </c>
    </row>
    <row r="27" spans="1:25" x14ac:dyDescent="0.35">
      <c r="A27" t="s">
        <v>28</v>
      </c>
      <c r="B27" t="s">
        <v>59</v>
      </c>
      <c r="C27" t="s">
        <v>592</v>
      </c>
      <c r="D27">
        <v>9.8699999999999992</v>
      </c>
      <c r="E27">
        <v>9.26</v>
      </c>
      <c r="F27">
        <v>9.56</v>
      </c>
      <c r="G27">
        <v>13.71</v>
      </c>
      <c r="H27">
        <v>14.12</v>
      </c>
      <c r="I27">
        <v>13.72</v>
      </c>
      <c r="J27">
        <v>2.0299999999999998</v>
      </c>
      <c r="K27">
        <v>5.08</v>
      </c>
      <c r="L27">
        <v>3.41</v>
      </c>
      <c r="M27">
        <v>82.29</v>
      </c>
      <c r="N27">
        <v>69.010000000000005</v>
      </c>
      <c r="O27">
        <v>75.650000000000006</v>
      </c>
      <c r="P27">
        <v>69.83</v>
      </c>
      <c r="Q27">
        <v>73.819999999999993</v>
      </c>
      <c r="R27">
        <v>71.77</v>
      </c>
      <c r="S27">
        <v>7.5</v>
      </c>
      <c r="T27">
        <v>49</v>
      </c>
      <c r="U27">
        <v>76.510000000000005</v>
      </c>
      <c r="V27">
        <v>69.430000000000007</v>
      </c>
      <c r="W27">
        <v>72.14</v>
      </c>
      <c r="X27">
        <v>66.099999999999994</v>
      </c>
      <c r="Y27">
        <v>0.52300000000000002</v>
      </c>
    </row>
    <row r="28" spans="1:25" x14ac:dyDescent="0.35">
      <c r="A28" t="s">
        <v>29</v>
      </c>
      <c r="B28" t="s">
        <v>59</v>
      </c>
      <c r="C28" t="s">
        <v>592</v>
      </c>
      <c r="D28">
        <v>9.1999999999999993</v>
      </c>
      <c r="E28">
        <v>8.7799999999999994</v>
      </c>
      <c r="F28">
        <v>8.92</v>
      </c>
      <c r="G28">
        <v>13.13</v>
      </c>
      <c r="H28">
        <v>13.96</v>
      </c>
      <c r="I28">
        <v>13.5</v>
      </c>
      <c r="J28">
        <v>8.15</v>
      </c>
      <c r="K28">
        <v>6.56</v>
      </c>
      <c r="L28">
        <v>7.45</v>
      </c>
      <c r="M28">
        <v>84.62</v>
      </c>
      <c r="N28">
        <v>66.75</v>
      </c>
      <c r="O28">
        <v>75.685000000000002</v>
      </c>
      <c r="P28">
        <v>70.010000000000005</v>
      </c>
      <c r="Q28">
        <v>74</v>
      </c>
      <c r="R28">
        <v>71.959999999999994</v>
      </c>
      <c r="S28">
        <v>22.86</v>
      </c>
      <c r="T28">
        <v>44.78</v>
      </c>
      <c r="U28">
        <v>74.489999999999995</v>
      </c>
      <c r="V28">
        <v>71.05</v>
      </c>
      <c r="W28">
        <v>71.52</v>
      </c>
      <c r="X28">
        <v>79.25</v>
      </c>
      <c r="Y28">
        <v>0.438</v>
      </c>
    </row>
    <row r="29" spans="1:25" x14ac:dyDescent="0.35">
      <c r="A29" t="s">
        <v>30</v>
      </c>
      <c r="B29" t="s">
        <v>59</v>
      </c>
      <c r="C29" t="s">
        <v>592</v>
      </c>
      <c r="D29">
        <v>10.57</v>
      </c>
      <c r="E29">
        <v>10.14</v>
      </c>
      <c r="F29">
        <v>10.31</v>
      </c>
      <c r="G29">
        <v>13.68</v>
      </c>
      <c r="H29">
        <v>14.22</v>
      </c>
      <c r="I29">
        <v>13.74</v>
      </c>
      <c r="J29">
        <v>0.59</v>
      </c>
      <c r="K29">
        <v>1.87</v>
      </c>
      <c r="L29">
        <v>1.21</v>
      </c>
      <c r="M29">
        <v>85.91</v>
      </c>
      <c r="N29">
        <v>81.48</v>
      </c>
      <c r="O29">
        <v>83.694999999999993</v>
      </c>
      <c r="P29">
        <v>71.89</v>
      </c>
      <c r="Q29">
        <v>76.95</v>
      </c>
      <c r="R29">
        <v>74.36</v>
      </c>
      <c r="S29">
        <v>5.71</v>
      </c>
      <c r="T29">
        <v>50</v>
      </c>
      <c r="U29">
        <v>76.72</v>
      </c>
      <c r="V29">
        <v>74.95</v>
      </c>
      <c r="W29">
        <v>75.23</v>
      </c>
      <c r="X29">
        <v>63.8</v>
      </c>
      <c r="Y29">
        <v>0.33500000000000002</v>
      </c>
    </row>
    <row r="30" spans="1:25" x14ac:dyDescent="0.35">
      <c r="A30" t="s">
        <v>575</v>
      </c>
      <c r="B30" t="s">
        <v>59</v>
      </c>
      <c r="C30" t="s">
        <v>592</v>
      </c>
      <c r="D30">
        <v>10.93</v>
      </c>
      <c r="E30">
        <v>10.65</v>
      </c>
      <c r="F30">
        <v>10.77</v>
      </c>
      <c r="G30">
        <v>13.48</v>
      </c>
      <c r="H30">
        <v>13.93</v>
      </c>
      <c r="I30">
        <v>13.6</v>
      </c>
      <c r="J30">
        <v>1.45</v>
      </c>
      <c r="K30">
        <v>0.69</v>
      </c>
      <c r="L30">
        <v>1.0900000000000001</v>
      </c>
      <c r="M30">
        <v>88.17</v>
      </c>
      <c r="N30">
        <v>77.05</v>
      </c>
      <c r="O30">
        <v>82.61</v>
      </c>
      <c r="P30">
        <v>72.010000000000005</v>
      </c>
      <c r="Q30">
        <v>77.209999999999994</v>
      </c>
      <c r="R30">
        <v>74.540000000000006</v>
      </c>
      <c r="S30">
        <v>13.33</v>
      </c>
      <c r="T30">
        <v>47.45</v>
      </c>
      <c r="U30">
        <v>77.86</v>
      </c>
      <c r="V30">
        <v>76.489999999999995</v>
      </c>
      <c r="W30">
        <v>76.91</v>
      </c>
      <c r="X30">
        <v>71.959999999999994</v>
      </c>
      <c r="Y30">
        <v>0.39400000000000002</v>
      </c>
    </row>
    <row r="31" spans="1:25" x14ac:dyDescent="0.35">
      <c r="A31" t="s">
        <v>32</v>
      </c>
      <c r="B31" t="s">
        <v>59</v>
      </c>
      <c r="C31" t="s">
        <v>592</v>
      </c>
      <c r="D31">
        <v>9.73</v>
      </c>
      <c r="E31">
        <v>9.2799999999999994</v>
      </c>
      <c r="F31">
        <v>9.5</v>
      </c>
      <c r="G31">
        <v>13.18</v>
      </c>
      <c r="H31">
        <v>13.64</v>
      </c>
      <c r="I31">
        <v>13.26</v>
      </c>
      <c r="J31">
        <v>3.35</v>
      </c>
      <c r="K31">
        <v>10.43</v>
      </c>
      <c r="L31">
        <v>5.9</v>
      </c>
      <c r="M31">
        <v>82.82</v>
      </c>
      <c r="N31">
        <v>47.66</v>
      </c>
      <c r="O31">
        <v>65.239999999999995</v>
      </c>
      <c r="P31">
        <v>71.09</v>
      </c>
      <c r="Q31">
        <v>75.27</v>
      </c>
      <c r="R31">
        <v>73.13</v>
      </c>
      <c r="S31">
        <v>6.67</v>
      </c>
      <c r="T31">
        <v>32.22</v>
      </c>
      <c r="U31">
        <v>78.73</v>
      </c>
      <c r="V31">
        <v>71.53</v>
      </c>
      <c r="W31">
        <v>74.180000000000007</v>
      </c>
      <c r="X31">
        <v>59.07</v>
      </c>
      <c r="Y31">
        <v>0.40300000000000002</v>
      </c>
    </row>
    <row r="32" spans="1:25" x14ac:dyDescent="0.35">
      <c r="A32" t="s">
        <v>33</v>
      </c>
      <c r="B32" t="s">
        <v>59</v>
      </c>
      <c r="C32" t="s">
        <v>592</v>
      </c>
      <c r="D32">
        <v>9.07</v>
      </c>
      <c r="E32">
        <v>8.66</v>
      </c>
      <c r="F32">
        <v>8.85</v>
      </c>
      <c r="G32">
        <v>12.61</v>
      </c>
      <c r="H32">
        <v>13.34</v>
      </c>
      <c r="I32">
        <v>12.65</v>
      </c>
      <c r="J32">
        <v>5.75</v>
      </c>
      <c r="K32">
        <v>6.24</v>
      </c>
      <c r="L32">
        <v>5.94</v>
      </c>
      <c r="M32">
        <v>84.09</v>
      </c>
      <c r="N32">
        <v>50.98</v>
      </c>
      <c r="O32">
        <v>67.534999999999997</v>
      </c>
      <c r="P32">
        <v>71.430000000000007</v>
      </c>
      <c r="Q32">
        <v>75.98</v>
      </c>
      <c r="R32">
        <v>73.650000000000006</v>
      </c>
      <c r="S32">
        <v>15.56</v>
      </c>
      <c r="T32">
        <v>26.61</v>
      </c>
      <c r="U32">
        <v>76.22</v>
      </c>
      <c r="V32">
        <v>70.17</v>
      </c>
      <c r="W32">
        <v>72.09</v>
      </c>
      <c r="X32">
        <v>60.54</v>
      </c>
      <c r="Y32">
        <v>0.44400000000000001</v>
      </c>
    </row>
    <row r="33" spans="1:25" x14ac:dyDescent="0.35">
      <c r="A33" t="s">
        <v>34</v>
      </c>
      <c r="B33" t="s">
        <v>59</v>
      </c>
      <c r="C33" t="s">
        <v>592</v>
      </c>
      <c r="D33">
        <v>9.93</v>
      </c>
      <c r="E33">
        <v>9.5399999999999991</v>
      </c>
      <c r="F33">
        <v>9.73</v>
      </c>
      <c r="G33">
        <v>12.85</v>
      </c>
      <c r="H33">
        <v>13.66</v>
      </c>
      <c r="I33">
        <v>13.09</v>
      </c>
      <c r="J33">
        <v>3.86</v>
      </c>
      <c r="K33">
        <v>6.84</v>
      </c>
      <c r="L33">
        <v>5.17</v>
      </c>
      <c r="M33">
        <v>79.95</v>
      </c>
      <c r="N33">
        <v>62.63</v>
      </c>
      <c r="O33">
        <v>71.290000000000006</v>
      </c>
      <c r="P33">
        <v>71.849999999999994</v>
      </c>
      <c r="Q33">
        <v>76.87</v>
      </c>
      <c r="R33">
        <v>74.3</v>
      </c>
      <c r="S33">
        <v>8</v>
      </c>
      <c r="T33">
        <v>36.82</v>
      </c>
      <c r="U33">
        <v>78.739999999999995</v>
      </c>
      <c r="V33">
        <v>73.55</v>
      </c>
      <c r="W33">
        <v>74.97</v>
      </c>
      <c r="X33">
        <v>62.42</v>
      </c>
      <c r="Y33">
        <v>0.435</v>
      </c>
    </row>
    <row r="34" spans="1:25" x14ac:dyDescent="0.35">
      <c r="A34" t="s">
        <v>35</v>
      </c>
      <c r="B34" t="s">
        <v>59</v>
      </c>
      <c r="C34" t="s">
        <v>592</v>
      </c>
      <c r="D34">
        <v>9.93</v>
      </c>
      <c r="E34">
        <v>9.8800000000000008</v>
      </c>
      <c r="F34">
        <v>9.89</v>
      </c>
      <c r="G34">
        <v>13.32</v>
      </c>
      <c r="H34">
        <v>13.62</v>
      </c>
      <c r="I34">
        <v>13.53</v>
      </c>
      <c r="J34">
        <v>0.32</v>
      </c>
      <c r="K34">
        <v>2.63</v>
      </c>
      <c r="L34">
        <v>1.43</v>
      </c>
      <c r="M34">
        <v>87.79</v>
      </c>
      <c r="N34">
        <v>79.86</v>
      </c>
      <c r="O34">
        <v>83.825000000000003</v>
      </c>
      <c r="P34">
        <v>71.900000000000006</v>
      </c>
      <c r="Q34">
        <v>76.98</v>
      </c>
      <c r="R34">
        <v>74.38</v>
      </c>
      <c r="S34">
        <v>5.71</v>
      </c>
      <c r="T34">
        <v>49.85</v>
      </c>
      <c r="U34">
        <v>74.44</v>
      </c>
      <c r="V34">
        <v>73.23</v>
      </c>
      <c r="W34">
        <v>73.92</v>
      </c>
      <c r="X34">
        <v>63.27</v>
      </c>
      <c r="Y34">
        <v>0.31900000000000001</v>
      </c>
    </row>
    <row r="35" spans="1:25" x14ac:dyDescent="0.35">
      <c r="A35" t="s">
        <v>36</v>
      </c>
      <c r="B35" t="s">
        <v>59</v>
      </c>
      <c r="C35" t="s">
        <v>592</v>
      </c>
      <c r="D35">
        <v>10.11</v>
      </c>
      <c r="E35">
        <v>10.119999999999999</v>
      </c>
      <c r="F35">
        <v>10.119999999999999</v>
      </c>
      <c r="G35">
        <v>12.93</v>
      </c>
      <c r="H35">
        <v>13.77</v>
      </c>
      <c r="I35">
        <v>13.26</v>
      </c>
      <c r="J35">
        <v>1.61</v>
      </c>
      <c r="K35">
        <v>3.27</v>
      </c>
      <c r="L35">
        <v>2.4</v>
      </c>
      <c r="M35">
        <v>89.61</v>
      </c>
      <c r="N35">
        <v>78.819999999999993</v>
      </c>
      <c r="O35">
        <v>84.215000000000003</v>
      </c>
      <c r="P35">
        <v>71.91</v>
      </c>
      <c r="Q35">
        <v>77</v>
      </c>
      <c r="R35">
        <v>74.39</v>
      </c>
      <c r="S35">
        <v>22.5</v>
      </c>
      <c r="T35">
        <v>48.53</v>
      </c>
      <c r="U35">
        <v>77.7</v>
      </c>
      <c r="V35">
        <v>74.97</v>
      </c>
      <c r="W35">
        <v>76.55</v>
      </c>
      <c r="X35">
        <v>75.959999999999994</v>
      </c>
      <c r="Y35">
        <v>0.30399999999999999</v>
      </c>
    </row>
    <row r="36" spans="1:25" x14ac:dyDescent="0.35">
      <c r="A36" t="s">
        <v>37</v>
      </c>
      <c r="B36" t="s">
        <v>59</v>
      </c>
      <c r="C36" t="s">
        <v>592</v>
      </c>
      <c r="D36">
        <v>10.66</v>
      </c>
      <c r="E36">
        <v>10.28</v>
      </c>
      <c r="F36">
        <v>10.29</v>
      </c>
      <c r="G36">
        <v>13.33</v>
      </c>
      <c r="H36">
        <v>13.94</v>
      </c>
      <c r="I36">
        <v>13.4</v>
      </c>
      <c r="J36">
        <v>7.42</v>
      </c>
      <c r="K36">
        <v>9.08</v>
      </c>
      <c r="L36">
        <v>8.02</v>
      </c>
      <c r="M36">
        <v>85.69</v>
      </c>
      <c r="N36">
        <v>49.47</v>
      </c>
      <c r="O36">
        <v>67.58</v>
      </c>
      <c r="P36">
        <v>71.53</v>
      </c>
      <c r="Q36">
        <v>76.2</v>
      </c>
      <c r="R36">
        <v>73.81</v>
      </c>
      <c r="S36">
        <v>6</v>
      </c>
      <c r="T36">
        <v>28.16</v>
      </c>
      <c r="U36">
        <v>81.31</v>
      </c>
      <c r="V36">
        <v>74.930000000000007</v>
      </c>
      <c r="W36">
        <v>76.92</v>
      </c>
      <c r="X36">
        <v>54.79</v>
      </c>
      <c r="Y36">
        <v>0.29399999999999998</v>
      </c>
    </row>
    <row r="37" spans="1:25" x14ac:dyDescent="0.35">
      <c r="A37" t="s">
        <v>38</v>
      </c>
      <c r="B37" t="s">
        <v>59</v>
      </c>
      <c r="C37" t="s">
        <v>592</v>
      </c>
      <c r="D37">
        <v>9.0500000000000007</v>
      </c>
      <c r="E37">
        <v>8.33</v>
      </c>
      <c r="F37">
        <v>8.74</v>
      </c>
      <c r="G37">
        <v>13.28</v>
      </c>
      <c r="H37">
        <v>13.54</v>
      </c>
      <c r="I37">
        <v>13.28</v>
      </c>
      <c r="J37">
        <v>7.38</v>
      </c>
      <c r="K37">
        <v>4.1500000000000004</v>
      </c>
      <c r="L37">
        <v>6.08</v>
      </c>
      <c r="M37">
        <v>90.74</v>
      </c>
      <c r="N37">
        <v>61.74</v>
      </c>
      <c r="O37">
        <v>76.239999999999995</v>
      </c>
      <c r="P37">
        <v>71.91</v>
      </c>
      <c r="Q37">
        <v>77</v>
      </c>
      <c r="R37">
        <v>74.39</v>
      </c>
      <c r="S37">
        <v>10</v>
      </c>
      <c r="T37">
        <v>31.39</v>
      </c>
      <c r="U37">
        <v>77</v>
      </c>
      <c r="V37">
        <v>68.569999999999993</v>
      </c>
      <c r="W37">
        <v>72.73</v>
      </c>
      <c r="X37">
        <v>62.24</v>
      </c>
      <c r="Y37">
        <v>0.33400000000000002</v>
      </c>
    </row>
    <row r="38" spans="1:25" x14ac:dyDescent="0.35">
      <c r="A38" t="s">
        <v>39</v>
      </c>
      <c r="B38" t="s">
        <v>59</v>
      </c>
      <c r="C38" t="s">
        <v>592</v>
      </c>
      <c r="D38">
        <v>7.35</v>
      </c>
      <c r="E38">
        <v>5.73</v>
      </c>
      <c r="F38">
        <v>6.52</v>
      </c>
      <c r="G38">
        <v>12.75</v>
      </c>
      <c r="H38">
        <v>12.92</v>
      </c>
      <c r="I38">
        <v>12.92</v>
      </c>
      <c r="J38">
        <v>3.29</v>
      </c>
      <c r="K38">
        <v>2.74</v>
      </c>
      <c r="L38">
        <v>3.03</v>
      </c>
      <c r="M38">
        <v>84.2</v>
      </c>
      <c r="N38">
        <v>73.44</v>
      </c>
      <c r="O38">
        <v>78.819999999999993</v>
      </c>
      <c r="P38">
        <v>69.819999999999993</v>
      </c>
      <c r="Q38">
        <v>73.81</v>
      </c>
      <c r="R38">
        <v>71.77</v>
      </c>
      <c r="S38">
        <v>11.43</v>
      </c>
      <c r="T38">
        <v>36.04</v>
      </c>
      <c r="U38">
        <v>70.05</v>
      </c>
      <c r="V38">
        <v>62.93</v>
      </c>
      <c r="W38">
        <v>65.02</v>
      </c>
      <c r="X38">
        <v>64.56</v>
      </c>
      <c r="Y38">
        <v>0.59399999999999997</v>
      </c>
    </row>
    <row r="39" spans="1:25" x14ac:dyDescent="0.35">
      <c r="A39" t="s">
        <v>40</v>
      </c>
      <c r="B39" t="s">
        <v>59</v>
      </c>
      <c r="C39" t="s">
        <v>592</v>
      </c>
      <c r="D39">
        <v>10.57</v>
      </c>
      <c r="E39">
        <v>9.98</v>
      </c>
      <c r="F39">
        <v>10.130000000000001</v>
      </c>
      <c r="G39">
        <v>13.46</v>
      </c>
      <c r="H39">
        <v>14.46</v>
      </c>
      <c r="I39">
        <v>13.46</v>
      </c>
      <c r="J39">
        <v>1.05</v>
      </c>
      <c r="K39">
        <v>0.78</v>
      </c>
      <c r="L39">
        <v>0.92</v>
      </c>
      <c r="M39">
        <v>88.46</v>
      </c>
      <c r="N39">
        <v>84.6</v>
      </c>
      <c r="O39">
        <v>86.53</v>
      </c>
      <c r="P39">
        <v>71.83</v>
      </c>
      <c r="Q39">
        <v>76.84</v>
      </c>
      <c r="R39">
        <v>74.27</v>
      </c>
      <c r="S39">
        <v>16.670000000000002</v>
      </c>
      <c r="T39">
        <v>49.17</v>
      </c>
      <c r="U39">
        <v>73</v>
      </c>
      <c r="V39">
        <v>71.12</v>
      </c>
      <c r="W39">
        <v>71.59</v>
      </c>
      <c r="X39">
        <v>74.55</v>
      </c>
      <c r="Y39">
        <v>0.34799999999999998</v>
      </c>
    </row>
    <row r="40" spans="1:25" x14ac:dyDescent="0.35">
      <c r="A40" t="s">
        <v>41</v>
      </c>
      <c r="B40" t="s">
        <v>59</v>
      </c>
      <c r="C40" t="s">
        <v>592</v>
      </c>
      <c r="D40">
        <v>9.9700000000000006</v>
      </c>
      <c r="E40">
        <v>9.36</v>
      </c>
      <c r="F40">
        <v>9.73</v>
      </c>
      <c r="G40">
        <v>12.72</v>
      </c>
      <c r="H40">
        <v>15.07</v>
      </c>
      <c r="I40">
        <v>13.91</v>
      </c>
      <c r="J40">
        <v>0.47</v>
      </c>
      <c r="K40">
        <v>1.53</v>
      </c>
      <c r="L40">
        <v>0.97</v>
      </c>
      <c r="M40">
        <v>89.91</v>
      </c>
      <c r="N40">
        <v>80.89</v>
      </c>
      <c r="O40">
        <v>85.4</v>
      </c>
      <c r="P40">
        <v>70.97</v>
      </c>
      <c r="Q40">
        <v>75.02</v>
      </c>
      <c r="R40">
        <v>72.95</v>
      </c>
      <c r="S40">
        <v>5</v>
      </c>
      <c r="T40">
        <v>49.32</v>
      </c>
      <c r="U40">
        <v>70.86</v>
      </c>
      <c r="V40">
        <v>70.290000000000006</v>
      </c>
      <c r="W40">
        <v>70.36</v>
      </c>
      <c r="X40">
        <v>61.66</v>
      </c>
      <c r="Y40">
        <v>0.33200000000000002</v>
      </c>
    </row>
    <row r="41" spans="1:25" x14ac:dyDescent="0.35">
      <c r="A41" t="s">
        <v>42</v>
      </c>
      <c r="B41" t="s">
        <v>59</v>
      </c>
      <c r="C41" t="s">
        <v>592</v>
      </c>
      <c r="D41">
        <v>10.1</v>
      </c>
      <c r="E41">
        <v>9.1199999999999992</v>
      </c>
      <c r="F41">
        <v>9.61</v>
      </c>
      <c r="G41">
        <v>13.39</v>
      </c>
      <c r="H41">
        <v>14.51</v>
      </c>
      <c r="I41">
        <v>13.52</v>
      </c>
      <c r="J41">
        <v>1.57</v>
      </c>
      <c r="K41">
        <v>0.15</v>
      </c>
      <c r="L41">
        <v>0.89</v>
      </c>
      <c r="M41">
        <v>90.55</v>
      </c>
      <c r="N41">
        <v>80.73</v>
      </c>
      <c r="O41">
        <v>85.64</v>
      </c>
      <c r="P41">
        <v>71.88</v>
      </c>
      <c r="Q41">
        <v>76.94</v>
      </c>
      <c r="R41">
        <v>74.349999999999994</v>
      </c>
      <c r="S41">
        <v>12</v>
      </c>
      <c r="T41">
        <v>50.06</v>
      </c>
      <c r="U41">
        <v>74.900000000000006</v>
      </c>
      <c r="V41">
        <v>72.599999999999994</v>
      </c>
      <c r="W41">
        <v>72.88</v>
      </c>
      <c r="X41">
        <v>69.98</v>
      </c>
      <c r="Y41">
        <v>0.123</v>
      </c>
    </row>
    <row r="42" spans="1:25" x14ac:dyDescent="0.35">
      <c r="A42" t="s">
        <v>43</v>
      </c>
      <c r="B42" t="s">
        <v>59</v>
      </c>
      <c r="C42" t="s">
        <v>592</v>
      </c>
      <c r="D42">
        <v>9.33</v>
      </c>
      <c r="E42">
        <v>8.89</v>
      </c>
      <c r="F42">
        <v>9.1199999999999992</v>
      </c>
      <c r="G42">
        <v>12.6</v>
      </c>
      <c r="H42">
        <v>12.86</v>
      </c>
      <c r="I42">
        <v>12.65</v>
      </c>
      <c r="J42">
        <v>4.09</v>
      </c>
      <c r="K42">
        <v>6.18</v>
      </c>
      <c r="L42">
        <v>4.88</v>
      </c>
      <c r="M42">
        <v>83.95</v>
      </c>
      <c r="N42">
        <v>51.5</v>
      </c>
      <c r="O42">
        <v>67.724999999999994</v>
      </c>
      <c r="P42">
        <v>71.260000000000005</v>
      </c>
      <c r="Q42">
        <v>75.63</v>
      </c>
      <c r="R42">
        <v>73.39</v>
      </c>
      <c r="S42">
        <v>11.11</v>
      </c>
      <c r="T42">
        <v>30.77</v>
      </c>
      <c r="U42">
        <v>76.91</v>
      </c>
      <c r="V42">
        <v>68.5</v>
      </c>
      <c r="W42">
        <v>72.47</v>
      </c>
      <c r="X42">
        <v>62.85</v>
      </c>
      <c r="Y42">
        <v>0.38</v>
      </c>
    </row>
    <row r="43" spans="1:25" x14ac:dyDescent="0.35">
      <c r="A43" t="s">
        <v>44</v>
      </c>
      <c r="B43" t="s">
        <v>59</v>
      </c>
      <c r="C43" t="s">
        <v>592</v>
      </c>
      <c r="D43">
        <v>8.75</v>
      </c>
      <c r="E43">
        <v>8.43</v>
      </c>
      <c r="F43">
        <v>8.51</v>
      </c>
      <c r="G43">
        <v>12.95</v>
      </c>
      <c r="H43">
        <v>13.29</v>
      </c>
      <c r="I43">
        <v>13.12</v>
      </c>
      <c r="J43">
        <v>5.23</v>
      </c>
      <c r="K43">
        <v>6.59</v>
      </c>
      <c r="L43">
        <v>5.75</v>
      </c>
      <c r="M43">
        <v>89.52</v>
      </c>
      <c r="N43">
        <v>54.6</v>
      </c>
      <c r="O43">
        <v>72.06</v>
      </c>
      <c r="P43">
        <v>70.98</v>
      </c>
      <c r="Q43">
        <v>75.05</v>
      </c>
      <c r="R43">
        <v>72.97</v>
      </c>
      <c r="S43">
        <v>11.43</v>
      </c>
      <c r="T43">
        <v>37.840000000000003</v>
      </c>
      <c r="U43">
        <v>75.540000000000006</v>
      </c>
      <c r="V43">
        <v>63.5</v>
      </c>
      <c r="W43">
        <v>70.83</v>
      </c>
      <c r="X43">
        <v>66.239999999999995</v>
      </c>
      <c r="Y43">
        <v>0.39</v>
      </c>
    </row>
    <row r="44" spans="1:25" x14ac:dyDescent="0.35">
      <c r="A44" t="s">
        <v>45</v>
      </c>
      <c r="B44" t="s">
        <v>59</v>
      </c>
      <c r="C44" t="s">
        <v>592</v>
      </c>
      <c r="D44">
        <v>9.9700000000000006</v>
      </c>
      <c r="E44">
        <v>9.7100000000000009</v>
      </c>
      <c r="F44">
        <v>9.82</v>
      </c>
      <c r="G44">
        <v>13.4</v>
      </c>
      <c r="H44">
        <v>13.71</v>
      </c>
      <c r="I44">
        <v>13.54</v>
      </c>
      <c r="J44">
        <v>3.98</v>
      </c>
      <c r="K44">
        <v>4.01</v>
      </c>
      <c r="L44">
        <v>3.99</v>
      </c>
      <c r="M44">
        <v>81.95</v>
      </c>
      <c r="N44">
        <v>63.72</v>
      </c>
      <c r="O44">
        <v>72.835000000000008</v>
      </c>
      <c r="P44">
        <v>69.790000000000006</v>
      </c>
      <c r="Q44">
        <v>73.78</v>
      </c>
      <c r="R44">
        <v>71.739999999999995</v>
      </c>
      <c r="S44">
        <v>10</v>
      </c>
      <c r="T44">
        <v>46.26</v>
      </c>
      <c r="U44">
        <v>77.010000000000005</v>
      </c>
      <c r="V44">
        <v>68.13</v>
      </c>
      <c r="W44">
        <v>72.319999999999993</v>
      </c>
      <c r="X44">
        <v>67.489999999999995</v>
      </c>
      <c r="Y44">
        <v>0.53700000000000003</v>
      </c>
    </row>
    <row r="45" spans="1:25" x14ac:dyDescent="0.35">
      <c r="A45" t="s">
        <v>46</v>
      </c>
      <c r="B45" t="s">
        <v>59</v>
      </c>
      <c r="C45" t="s">
        <v>592</v>
      </c>
      <c r="D45">
        <v>9.75</v>
      </c>
      <c r="E45">
        <v>9.4700000000000006</v>
      </c>
      <c r="F45">
        <v>9.6300000000000008</v>
      </c>
      <c r="G45">
        <v>13.36</v>
      </c>
      <c r="H45">
        <v>14.05</v>
      </c>
      <c r="I45">
        <v>13.87</v>
      </c>
      <c r="J45">
        <v>1.86</v>
      </c>
      <c r="K45">
        <v>10.38</v>
      </c>
      <c r="L45">
        <v>5.47</v>
      </c>
      <c r="M45">
        <v>89.15</v>
      </c>
      <c r="N45">
        <v>65.86</v>
      </c>
      <c r="O45">
        <v>77.504999999999995</v>
      </c>
      <c r="P45">
        <v>69.73</v>
      </c>
      <c r="Q45">
        <v>73.709999999999994</v>
      </c>
      <c r="R45">
        <v>71.67</v>
      </c>
      <c r="S45">
        <v>0</v>
      </c>
      <c r="T45">
        <v>39.49</v>
      </c>
      <c r="U45">
        <v>75.38</v>
      </c>
      <c r="V45">
        <v>65.56</v>
      </c>
      <c r="W45">
        <v>71.27</v>
      </c>
      <c r="X45">
        <v>54.35</v>
      </c>
      <c r="Y45">
        <v>0.81299999999999994</v>
      </c>
    </row>
    <row r="46" spans="1:25" x14ac:dyDescent="0.35">
      <c r="A46" t="s">
        <v>47</v>
      </c>
      <c r="B46" t="s">
        <v>59</v>
      </c>
      <c r="C46" t="s">
        <v>592</v>
      </c>
      <c r="D46">
        <v>9.4499999999999993</v>
      </c>
      <c r="E46">
        <v>9.11</v>
      </c>
      <c r="F46">
        <v>9.19</v>
      </c>
      <c r="G46">
        <v>12.98</v>
      </c>
      <c r="H46">
        <v>13.97</v>
      </c>
      <c r="I46">
        <v>13.53</v>
      </c>
      <c r="J46">
        <v>2.4700000000000002</v>
      </c>
      <c r="K46">
        <v>4.51</v>
      </c>
      <c r="L46">
        <v>3.24</v>
      </c>
      <c r="M46">
        <v>87.22</v>
      </c>
      <c r="N46">
        <v>55.86</v>
      </c>
      <c r="O46">
        <v>71.539999999999992</v>
      </c>
      <c r="P46">
        <v>70.739999999999995</v>
      </c>
      <c r="Q46">
        <v>74.77</v>
      </c>
      <c r="R46">
        <v>72.709999999999994</v>
      </c>
      <c r="S46">
        <v>8.57</v>
      </c>
      <c r="T46">
        <v>32.78</v>
      </c>
      <c r="U46">
        <v>78.27</v>
      </c>
      <c r="V46">
        <v>69.569999999999993</v>
      </c>
      <c r="W46">
        <v>73.67</v>
      </c>
      <c r="X46">
        <v>61.04</v>
      </c>
      <c r="Y46">
        <v>0.52400000000000002</v>
      </c>
    </row>
    <row r="47" spans="1:25" x14ac:dyDescent="0.35">
      <c r="A47" t="s">
        <v>48</v>
      </c>
      <c r="B47" t="s">
        <v>59</v>
      </c>
      <c r="C47" t="s">
        <v>592</v>
      </c>
      <c r="D47">
        <v>9.41</v>
      </c>
      <c r="E47">
        <v>8.98</v>
      </c>
      <c r="F47">
        <v>9.14</v>
      </c>
      <c r="G47">
        <v>13.35</v>
      </c>
      <c r="H47">
        <v>13.89</v>
      </c>
      <c r="I47">
        <v>13.58</v>
      </c>
      <c r="J47">
        <v>3.11</v>
      </c>
      <c r="K47">
        <v>7.56</v>
      </c>
      <c r="L47">
        <v>4.5999999999999996</v>
      </c>
      <c r="M47">
        <v>85.45</v>
      </c>
      <c r="N47">
        <v>43.87</v>
      </c>
      <c r="O47">
        <v>64.66</v>
      </c>
      <c r="P47">
        <v>71.81</v>
      </c>
      <c r="Q47">
        <v>76.78</v>
      </c>
      <c r="R47">
        <v>74.23</v>
      </c>
      <c r="S47">
        <v>2.86</v>
      </c>
      <c r="T47">
        <v>25.7</v>
      </c>
      <c r="U47">
        <v>78.59</v>
      </c>
      <c r="V47">
        <v>71.2</v>
      </c>
      <c r="W47">
        <v>74.400000000000006</v>
      </c>
      <c r="X47">
        <v>47.74</v>
      </c>
      <c r="Y47">
        <v>0.56499999999999995</v>
      </c>
    </row>
    <row r="48" spans="1:25" x14ac:dyDescent="0.35">
      <c r="A48" t="s">
        <v>49</v>
      </c>
      <c r="B48" t="s">
        <v>59</v>
      </c>
      <c r="C48" t="s">
        <v>592</v>
      </c>
      <c r="D48">
        <v>8.23</v>
      </c>
      <c r="E48">
        <v>5.92</v>
      </c>
      <c r="F48">
        <v>7.05</v>
      </c>
      <c r="G48">
        <v>13.38</v>
      </c>
      <c r="H48">
        <v>13.3</v>
      </c>
      <c r="I48">
        <v>13.37</v>
      </c>
      <c r="J48">
        <v>2.0499999999999998</v>
      </c>
      <c r="K48">
        <v>3.69</v>
      </c>
      <c r="L48">
        <v>2.82</v>
      </c>
      <c r="M48">
        <v>86.23</v>
      </c>
      <c r="N48">
        <v>73.37</v>
      </c>
      <c r="O48">
        <v>79.800000000000011</v>
      </c>
      <c r="P48">
        <v>70.34</v>
      </c>
      <c r="Q48">
        <v>74.349999999999994</v>
      </c>
      <c r="R48">
        <v>72.3</v>
      </c>
      <c r="S48">
        <v>8</v>
      </c>
      <c r="T48">
        <v>48.78</v>
      </c>
      <c r="U48">
        <v>72.22</v>
      </c>
      <c r="V48">
        <v>58.44</v>
      </c>
      <c r="W48">
        <v>65.62</v>
      </c>
      <c r="X48">
        <v>65.11</v>
      </c>
      <c r="Y48">
        <v>0.59299999999999997</v>
      </c>
    </row>
    <row r="49" spans="1:25" x14ac:dyDescent="0.35">
      <c r="A49" t="s">
        <v>50</v>
      </c>
      <c r="B49" t="s">
        <v>59</v>
      </c>
      <c r="C49" t="s">
        <v>592</v>
      </c>
      <c r="D49">
        <v>8.7899999999999991</v>
      </c>
      <c r="E49">
        <v>6.28</v>
      </c>
      <c r="F49">
        <v>7.26</v>
      </c>
      <c r="G49">
        <v>13.15</v>
      </c>
      <c r="H49">
        <v>12.87</v>
      </c>
      <c r="I49">
        <v>12.99</v>
      </c>
      <c r="J49">
        <v>1.59</v>
      </c>
      <c r="K49">
        <v>0.43</v>
      </c>
      <c r="L49">
        <v>1</v>
      </c>
      <c r="M49">
        <v>84.66</v>
      </c>
      <c r="N49">
        <v>78.02</v>
      </c>
      <c r="O49">
        <v>81.34</v>
      </c>
      <c r="P49">
        <v>70.58</v>
      </c>
      <c r="Q49">
        <v>74.61</v>
      </c>
      <c r="R49">
        <v>72.55</v>
      </c>
      <c r="S49">
        <v>15</v>
      </c>
      <c r="T49">
        <v>49.11</v>
      </c>
      <c r="U49">
        <v>70.98</v>
      </c>
      <c r="V49">
        <v>62.16</v>
      </c>
      <c r="W49">
        <v>64.67</v>
      </c>
      <c r="X49">
        <v>72.400000000000006</v>
      </c>
      <c r="Y49">
        <v>0.499</v>
      </c>
    </row>
    <row r="50" spans="1:25" x14ac:dyDescent="0.35">
      <c r="A50" t="s">
        <v>51</v>
      </c>
      <c r="B50" t="s">
        <v>59</v>
      </c>
      <c r="C50" t="s">
        <v>592</v>
      </c>
      <c r="D50">
        <v>10.43</v>
      </c>
      <c r="E50">
        <v>10.46</v>
      </c>
      <c r="F50">
        <v>10.45</v>
      </c>
      <c r="G50">
        <v>12.93</v>
      </c>
      <c r="H50">
        <v>13.95</v>
      </c>
      <c r="I50">
        <v>13.43</v>
      </c>
      <c r="J50">
        <v>8.36</v>
      </c>
      <c r="K50">
        <v>4.0999999999999996</v>
      </c>
      <c r="L50">
        <v>6.52</v>
      </c>
      <c r="M50">
        <v>80.56</v>
      </c>
      <c r="N50">
        <v>61.1</v>
      </c>
      <c r="O50">
        <v>70.83</v>
      </c>
      <c r="P50">
        <v>71.78</v>
      </c>
      <c r="Q50">
        <v>76.709999999999994</v>
      </c>
      <c r="R50">
        <v>74.19</v>
      </c>
      <c r="S50">
        <v>15</v>
      </c>
      <c r="T50">
        <v>32.81</v>
      </c>
      <c r="U50">
        <v>76.95</v>
      </c>
      <c r="V50">
        <v>75.41</v>
      </c>
      <c r="W50">
        <v>75.66</v>
      </c>
      <c r="X50">
        <v>65.89</v>
      </c>
      <c r="Y50">
        <v>0.14599999999999999</v>
      </c>
    </row>
    <row r="51" spans="1:25" x14ac:dyDescent="0.35">
      <c r="A51" t="s">
        <v>52</v>
      </c>
      <c r="B51" t="s">
        <v>59</v>
      </c>
      <c r="C51" t="s">
        <v>592</v>
      </c>
      <c r="D51">
        <v>9.5399999999999991</v>
      </c>
      <c r="E51">
        <v>9.8699999999999992</v>
      </c>
      <c r="F51">
        <v>9.69</v>
      </c>
      <c r="G51">
        <v>12.71</v>
      </c>
      <c r="H51">
        <v>13.44</v>
      </c>
      <c r="I51">
        <v>13.15</v>
      </c>
      <c r="J51">
        <v>3.73</v>
      </c>
      <c r="K51">
        <v>4.63</v>
      </c>
      <c r="L51">
        <v>4.08</v>
      </c>
      <c r="M51">
        <v>84.25</v>
      </c>
      <c r="N51">
        <v>54.55</v>
      </c>
      <c r="O51">
        <v>69.400000000000006</v>
      </c>
      <c r="P51">
        <v>71.77</v>
      </c>
      <c r="Q51">
        <v>76.709999999999994</v>
      </c>
      <c r="R51">
        <v>74.180000000000007</v>
      </c>
      <c r="S51">
        <v>32</v>
      </c>
      <c r="T51">
        <v>24.51</v>
      </c>
      <c r="U51">
        <v>75</v>
      </c>
      <c r="V51">
        <v>68.17</v>
      </c>
      <c r="W51">
        <v>71.099999999999994</v>
      </c>
      <c r="X51">
        <v>72.61</v>
      </c>
      <c r="Y51">
        <v>0.34300000000000003</v>
      </c>
    </row>
    <row r="52" spans="1:25" x14ac:dyDescent="0.35">
      <c r="A52" t="s">
        <v>53</v>
      </c>
      <c r="B52" t="s">
        <v>59</v>
      </c>
      <c r="C52" t="s">
        <v>592</v>
      </c>
      <c r="D52">
        <v>11.9</v>
      </c>
      <c r="E52">
        <v>11.75</v>
      </c>
      <c r="F52">
        <v>11.82</v>
      </c>
      <c r="G52">
        <v>14.98</v>
      </c>
      <c r="H52">
        <v>14.61</v>
      </c>
      <c r="I52">
        <v>14.61</v>
      </c>
      <c r="J52">
        <v>6.97</v>
      </c>
      <c r="K52">
        <v>9.35</v>
      </c>
      <c r="L52">
        <v>8</v>
      </c>
      <c r="M52">
        <v>83.37</v>
      </c>
      <c r="N52">
        <v>60.73</v>
      </c>
      <c r="O52">
        <v>72.05</v>
      </c>
      <c r="P52">
        <v>73.599999999999994</v>
      </c>
      <c r="Q52">
        <v>77.099999999999994</v>
      </c>
      <c r="R52">
        <v>75.03</v>
      </c>
      <c r="S52">
        <v>16.670000000000002</v>
      </c>
      <c r="T52">
        <v>35.58</v>
      </c>
      <c r="U52">
        <v>83.38</v>
      </c>
      <c r="V52">
        <v>80.59</v>
      </c>
      <c r="W52">
        <v>81.17</v>
      </c>
      <c r="X52">
        <v>68.930000000000007</v>
      </c>
      <c r="Y52">
        <v>0.28199999999999997</v>
      </c>
    </row>
    <row r="53" spans="1:25" x14ac:dyDescent="0.35">
      <c r="A53" t="s">
        <v>54</v>
      </c>
      <c r="B53" t="s">
        <v>59</v>
      </c>
      <c r="C53" t="s">
        <v>592</v>
      </c>
      <c r="D53">
        <v>11.12</v>
      </c>
      <c r="E53">
        <v>10.86</v>
      </c>
      <c r="F53">
        <v>10.87</v>
      </c>
      <c r="G53">
        <v>12.86</v>
      </c>
      <c r="H53">
        <v>13.22</v>
      </c>
      <c r="I53">
        <v>13.13</v>
      </c>
      <c r="J53">
        <v>6.4</v>
      </c>
      <c r="K53">
        <v>5.84</v>
      </c>
      <c r="L53">
        <v>6.18</v>
      </c>
      <c r="M53">
        <v>82.19</v>
      </c>
      <c r="N53">
        <v>51.3</v>
      </c>
      <c r="O53">
        <v>66.745000000000005</v>
      </c>
      <c r="P53">
        <v>71.84</v>
      </c>
      <c r="Q53">
        <v>76.849999999999994</v>
      </c>
      <c r="R53">
        <v>74.290000000000006</v>
      </c>
      <c r="S53">
        <v>12</v>
      </c>
      <c r="T53">
        <v>30.73</v>
      </c>
      <c r="U53">
        <v>80.97</v>
      </c>
      <c r="V53">
        <v>76.02</v>
      </c>
      <c r="W53">
        <v>77.45</v>
      </c>
      <c r="X53">
        <v>63.45</v>
      </c>
      <c r="Y53">
        <v>0.188</v>
      </c>
    </row>
    <row r="54" spans="1:25" x14ac:dyDescent="0.35">
      <c r="A54" t="s">
        <v>55</v>
      </c>
      <c r="B54" t="s">
        <v>59</v>
      </c>
      <c r="C54" t="s">
        <v>592</v>
      </c>
      <c r="D54">
        <v>11.86</v>
      </c>
      <c r="E54">
        <v>11.73</v>
      </c>
      <c r="F54">
        <v>11.79</v>
      </c>
      <c r="G54">
        <v>14.65</v>
      </c>
      <c r="H54">
        <v>14.98</v>
      </c>
      <c r="I54">
        <v>14.79</v>
      </c>
      <c r="J54">
        <v>9.43</v>
      </c>
      <c r="K54">
        <v>6.15</v>
      </c>
      <c r="L54">
        <v>8.1300000000000008</v>
      </c>
      <c r="M54">
        <v>81.11</v>
      </c>
      <c r="N54">
        <v>52.15</v>
      </c>
      <c r="O54">
        <v>66.63</v>
      </c>
      <c r="P54">
        <v>72.42</v>
      </c>
      <c r="Q54">
        <v>77.89</v>
      </c>
      <c r="R54">
        <v>75.09</v>
      </c>
      <c r="S54">
        <v>16</v>
      </c>
      <c r="T54">
        <v>33.08</v>
      </c>
      <c r="U54">
        <v>86.96</v>
      </c>
      <c r="V54">
        <v>82.17</v>
      </c>
      <c r="W54">
        <v>82.76</v>
      </c>
      <c r="X54">
        <v>68.88</v>
      </c>
      <c r="Y54">
        <v>0.16</v>
      </c>
    </row>
    <row r="55" spans="1:25" x14ac:dyDescent="0.35">
      <c r="A55" t="s">
        <v>56</v>
      </c>
      <c r="B55" t="s">
        <v>59</v>
      </c>
      <c r="C55" t="s">
        <v>592</v>
      </c>
      <c r="D55">
        <v>11.39</v>
      </c>
      <c r="E55">
        <v>11.05</v>
      </c>
      <c r="F55">
        <v>11.2</v>
      </c>
      <c r="G55">
        <v>14.16</v>
      </c>
      <c r="H55">
        <v>14.25</v>
      </c>
      <c r="I55">
        <v>14.18</v>
      </c>
      <c r="J55">
        <v>3.39</v>
      </c>
      <c r="K55">
        <v>8.69</v>
      </c>
      <c r="L55">
        <v>5.44</v>
      </c>
      <c r="M55">
        <v>79.67</v>
      </c>
      <c r="N55">
        <v>49.12</v>
      </c>
      <c r="O55">
        <v>64.394999999999996</v>
      </c>
      <c r="P55">
        <v>71.95</v>
      </c>
      <c r="Q55">
        <v>77.069999999999993</v>
      </c>
      <c r="R55">
        <v>74.45</v>
      </c>
      <c r="S55">
        <v>14.29</v>
      </c>
      <c r="T55">
        <v>34.89</v>
      </c>
      <c r="U55">
        <v>82.47</v>
      </c>
      <c r="V55">
        <v>75.36</v>
      </c>
      <c r="W55">
        <v>78.099999999999994</v>
      </c>
      <c r="X55">
        <v>68.540000000000006</v>
      </c>
      <c r="Y55">
        <v>0.29899999999999999</v>
      </c>
    </row>
    <row r="56" spans="1:25" x14ac:dyDescent="0.35">
      <c r="A56" t="s">
        <v>57</v>
      </c>
      <c r="B56" t="s">
        <v>59</v>
      </c>
      <c r="C56" t="s">
        <v>592</v>
      </c>
      <c r="D56">
        <v>11.27</v>
      </c>
      <c r="E56">
        <v>11.05</v>
      </c>
      <c r="F56">
        <v>11.13</v>
      </c>
      <c r="G56">
        <v>14.07</v>
      </c>
      <c r="H56">
        <v>15.24</v>
      </c>
      <c r="I56">
        <v>14.62</v>
      </c>
      <c r="J56">
        <v>7.22</v>
      </c>
      <c r="K56">
        <v>7.11</v>
      </c>
      <c r="L56">
        <v>7.17</v>
      </c>
      <c r="M56">
        <v>80</v>
      </c>
      <c r="N56">
        <v>56.85</v>
      </c>
      <c r="O56">
        <v>68.424999999999997</v>
      </c>
      <c r="P56">
        <v>71.48</v>
      </c>
      <c r="Q56">
        <v>76.099999999999994</v>
      </c>
      <c r="R56">
        <v>73.73</v>
      </c>
      <c r="S56">
        <v>30</v>
      </c>
      <c r="T56">
        <v>31.58</v>
      </c>
      <c r="U56">
        <v>78.77</v>
      </c>
      <c r="V56">
        <v>76.77</v>
      </c>
      <c r="W56">
        <v>76.959999999999994</v>
      </c>
      <c r="X56">
        <v>76.540000000000006</v>
      </c>
      <c r="Y56">
        <v>0.192</v>
      </c>
    </row>
    <row r="57" spans="1:25" x14ac:dyDescent="0.35">
      <c r="A57" t="s">
        <v>58</v>
      </c>
      <c r="B57" t="s">
        <v>59</v>
      </c>
      <c r="C57" t="s">
        <v>592</v>
      </c>
      <c r="D57">
        <v>9.9700000000000006</v>
      </c>
      <c r="E57">
        <v>7.98</v>
      </c>
      <c r="F57">
        <v>8.76</v>
      </c>
      <c r="G57">
        <v>13.74</v>
      </c>
      <c r="H57">
        <v>14.13</v>
      </c>
      <c r="I57">
        <v>13.79</v>
      </c>
      <c r="J57">
        <v>3.44</v>
      </c>
      <c r="K57">
        <v>3.13</v>
      </c>
      <c r="L57">
        <v>3.3</v>
      </c>
      <c r="M57">
        <v>81.61</v>
      </c>
      <c r="N57">
        <v>61.45</v>
      </c>
      <c r="O57">
        <v>71.53</v>
      </c>
      <c r="P57">
        <v>71.8</v>
      </c>
      <c r="Q57">
        <v>76.78</v>
      </c>
      <c r="R57">
        <v>74.23</v>
      </c>
      <c r="S57">
        <v>16</v>
      </c>
      <c r="T57">
        <v>42.08</v>
      </c>
      <c r="U57">
        <v>77.03</v>
      </c>
      <c r="V57">
        <v>69.510000000000005</v>
      </c>
      <c r="W57">
        <v>71.41</v>
      </c>
      <c r="X57">
        <v>72.62</v>
      </c>
      <c r="Y57">
        <v>0.36799999999999999</v>
      </c>
    </row>
    <row r="58" spans="1:25" x14ac:dyDescent="0.35">
      <c r="A58" t="s">
        <v>60</v>
      </c>
      <c r="B58" t="s">
        <v>79</v>
      </c>
      <c r="C58" t="s">
        <v>592</v>
      </c>
      <c r="D58">
        <v>8.4600000000000009</v>
      </c>
      <c r="E58">
        <v>7.57</v>
      </c>
      <c r="F58">
        <v>8.0299999999999994</v>
      </c>
      <c r="G58">
        <v>13.14</v>
      </c>
      <c r="H58">
        <v>12.84</v>
      </c>
      <c r="I58">
        <v>12.91</v>
      </c>
      <c r="J58">
        <v>1.1399999999999999</v>
      </c>
      <c r="K58">
        <v>1.8</v>
      </c>
      <c r="L58">
        <v>1.44</v>
      </c>
      <c r="M58">
        <v>86.66</v>
      </c>
      <c r="N58">
        <v>80.010000000000005</v>
      </c>
      <c r="O58">
        <v>83.335000000000008</v>
      </c>
      <c r="P58">
        <v>69.28</v>
      </c>
      <c r="Q58">
        <v>73.239999999999995</v>
      </c>
      <c r="R58">
        <v>71.209999999999994</v>
      </c>
      <c r="S58">
        <v>0</v>
      </c>
      <c r="T58">
        <v>31.24</v>
      </c>
      <c r="U58">
        <v>68.930000000000007</v>
      </c>
      <c r="V58">
        <v>62.13</v>
      </c>
      <c r="W58">
        <v>63.99</v>
      </c>
      <c r="X58">
        <v>49.59</v>
      </c>
      <c r="Y58">
        <v>0.84899999999999998</v>
      </c>
    </row>
    <row r="59" spans="1:25" x14ac:dyDescent="0.35">
      <c r="A59" t="s">
        <v>61</v>
      </c>
      <c r="B59" t="s">
        <v>79</v>
      </c>
      <c r="C59" t="s">
        <v>592</v>
      </c>
      <c r="D59">
        <v>8.67</v>
      </c>
      <c r="E59">
        <v>8.86</v>
      </c>
      <c r="F59">
        <v>8.81</v>
      </c>
      <c r="G59">
        <v>13.36</v>
      </c>
      <c r="H59">
        <v>14.19</v>
      </c>
      <c r="I59">
        <v>13.37</v>
      </c>
      <c r="J59">
        <v>5.22</v>
      </c>
      <c r="K59">
        <v>4.79</v>
      </c>
      <c r="L59">
        <v>5.0599999999999996</v>
      </c>
      <c r="M59">
        <v>83.7</v>
      </c>
      <c r="N59">
        <v>48.31</v>
      </c>
      <c r="O59">
        <v>66.004999999999995</v>
      </c>
      <c r="P59">
        <v>71.290000000000006</v>
      </c>
      <c r="Q59">
        <v>75.7</v>
      </c>
      <c r="R59">
        <v>73.44</v>
      </c>
      <c r="S59">
        <v>4.4400000000000004</v>
      </c>
      <c r="T59">
        <v>34.31</v>
      </c>
      <c r="U59">
        <v>75.040000000000006</v>
      </c>
      <c r="V59">
        <v>71.91</v>
      </c>
      <c r="W59">
        <v>72.02</v>
      </c>
      <c r="X59">
        <v>55.72</v>
      </c>
      <c r="Y59">
        <v>0.46800000000000003</v>
      </c>
    </row>
    <row r="60" spans="1:25" x14ac:dyDescent="0.35">
      <c r="A60" t="s">
        <v>62</v>
      </c>
      <c r="B60" t="s">
        <v>79</v>
      </c>
      <c r="C60" t="s">
        <v>592</v>
      </c>
      <c r="D60">
        <v>7.94</v>
      </c>
      <c r="E60">
        <v>7.91</v>
      </c>
      <c r="F60">
        <v>7.91</v>
      </c>
      <c r="G60">
        <v>12.91</v>
      </c>
      <c r="H60">
        <v>14.16</v>
      </c>
      <c r="I60">
        <v>13.56</v>
      </c>
      <c r="J60">
        <v>1.8</v>
      </c>
      <c r="K60">
        <v>8.9600000000000009</v>
      </c>
      <c r="L60">
        <v>4.91</v>
      </c>
      <c r="M60">
        <v>86.63</v>
      </c>
      <c r="N60">
        <v>66.930000000000007</v>
      </c>
      <c r="O60">
        <v>76.78</v>
      </c>
      <c r="P60">
        <v>70.56</v>
      </c>
      <c r="Q60">
        <v>74.58</v>
      </c>
      <c r="R60">
        <v>72.52</v>
      </c>
      <c r="S60">
        <v>11.43</v>
      </c>
      <c r="T60">
        <v>39.67</v>
      </c>
      <c r="U60">
        <v>73.77</v>
      </c>
      <c r="V60">
        <v>70.98</v>
      </c>
      <c r="W60">
        <v>71.02</v>
      </c>
      <c r="X60">
        <v>60.23</v>
      </c>
      <c r="Y60">
        <v>0.377</v>
      </c>
    </row>
    <row r="61" spans="1:25" x14ac:dyDescent="0.35">
      <c r="A61" t="s">
        <v>63</v>
      </c>
      <c r="B61" t="s">
        <v>79</v>
      </c>
      <c r="C61" t="s">
        <v>592</v>
      </c>
      <c r="D61">
        <v>8.67</v>
      </c>
      <c r="E61">
        <v>8.6199999999999992</v>
      </c>
      <c r="F61">
        <v>8.6199999999999992</v>
      </c>
      <c r="G61">
        <v>12.47</v>
      </c>
      <c r="H61">
        <v>13.67</v>
      </c>
      <c r="I61">
        <v>12.76</v>
      </c>
      <c r="J61">
        <v>3.26</v>
      </c>
      <c r="K61">
        <v>6.9</v>
      </c>
      <c r="L61">
        <v>4.7300000000000004</v>
      </c>
      <c r="M61">
        <v>82.89</v>
      </c>
      <c r="N61">
        <v>57.26</v>
      </c>
      <c r="O61">
        <v>70.075000000000003</v>
      </c>
      <c r="P61">
        <v>70.92</v>
      </c>
      <c r="Q61">
        <v>74.959999999999994</v>
      </c>
      <c r="R61">
        <v>72.89</v>
      </c>
      <c r="S61">
        <v>10</v>
      </c>
      <c r="T61">
        <v>27.98</v>
      </c>
      <c r="U61">
        <v>74.02</v>
      </c>
      <c r="V61">
        <v>69.87</v>
      </c>
      <c r="W61">
        <v>70.23</v>
      </c>
      <c r="X61">
        <v>57.58</v>
      </c>
      <c r="Y61">
        <v>0.49099999999999999</v>
      </c>
    </row>
    <row r="62" spans="1:25" x14ac:dyDescent="0.35">
      <c r="A62" t="s">
        <v>64</v>
      </c>
      <c r="B62" t="s">
        <v>79</v>
      </c>
      <c r="C62" t="s">
        <v>592</v>
      </c>
      <c r="D62">
        <v>9.06</v>
      </c>
      <c r="E62">
        <v>9.32</v>
      </c>
      <c r="F62">
        <v>9.2899999999999991</v>
      </c>
      <c r="G62">
        <v>14.34</v>
      </c>
      <c r="H62">
        <v>15.33</v>
      </c>
      <c r="I62">
        <v>15.05</v>
      </c>
      <c r="J62">
        <v>4.92</v>
      </c>
      <c r="K62">
        <v>5.85</v>
      </c>
      <c r="L62">
        <v>5.3</v>
      </c>
      <c r="M62">
        <v>83.46</v>
      </c>
      <c r="N62">
        <v>58.91</v>
      </c>
      <c r="O62">
        <v>71.185000000000002</v>
      </c>
      <c r="P62">
        <v>71.83</v>
      </c>
      <c r="Q62">
        <v>76.819999999999993</v>
      </c>
      <c r="R62">
        <v>74.260000000000005</v>
      </c>
      <c r="S62">
        <v>8.57</v>
      </c>
      <c r="T62">
        <v>36.07</v>
      </c>
      <c r="U62">
        <v>76.13</v>
      </c>
      <c r="V62">
        <v>74.209999999999994</v>
      </c>
      <c r="W62">
        <v>74.900000000000006</v>
      </c>
      <c r="X62">
        <v>60.69</v>
      </c>
      <c r="Y62">
        <v>0.34399999999999997</v>
      </c>
    </row>
    <row r="63" spans="1:25" x14ac:dyDescent="0.35">
      <c r="A63" t="s">
        <v>65</v>
      </c>
      <c r="B63" t="s">
        <v>79</v>
      </c>
      <c r="C63" t="s">
        <v>592</v>
      </c>
      <c r="D63">
        <v>8.7100000000000009</v>
      </c>
      <c r="E63">
        <v>8.31</v>
      </c>
      <c r="F63">
        <v>8.42</v>
      </c>
      <c r="G63">
        <v>13.88</v>
      </c>
      <c r="H63">
        <v>15.07</v>
      </c>
      <c r="I63">
        <v>14.2</v>
      </c>
      <c r="J63">
        <v>5.51</v>
      </c>
      <c r="K63">
        <v>8.0399999999999991</v>
      </c>
      <c r="L63">
        <v>6.59</v>
      </c>
      <c r="M63">
        <v>76.8</v>
      </c>
      <c r="N63">
        <v>57.53</v>
      </c>
      <c r="O63">
        <v>67.164999999999992</v>
      </c>
      <c r="P63">
        <v>71.58</v>
      </c>
      <c r="Q63">
        <v>76.3</v>
      </c>
      <c r="R63">
        <v>73.88</v>
      </c>
      <c r="S63">
        <v>0</v>
      </c>
      <c r="T63">
        <v>31</v>
      </c>
      <c r="U63">
        <v>77.11</v>
      </c>
      <c r="V63">
        <v>72.42</v>
      </c>
      <c r="W63">
        <v>73.099999999999994</v>
      </c>
      <c r="X63">
        <v>48.05</v>
      </c>
      <c r="Y63">
        <v>0.72199999999999998</v>
      </c>
    </row>
    <row r="64" spans="1:25" x14ac:dyDescent="0.35">
      <c r="A64" t="s">
        <v>66</v>
      </c>
      <c r="B64" t="s">
        <v>79</v>
      </c>
      <c r="C64" t="s">
        <v>592</v>
      </c>
      <c r="D64">
        <v>9.1300000000000008</v>
      </c>
      <c r="E64">
        <v>9.34</v>
      </c>
      <c r="F64">
        <v>9.23</v>
      </c>
      <c r="G64">
        <v>13.84</v>
      </c>
      <c r="H64">
        <v>14.86</v>
      </c>
      <c r="I64">
        <v>14.16</v>
      </c>
      <c r="J64">
        <v>3.06</v>
      </c>
      <c r="K64">
        <v>7.09</v>
      </c>
      <c r="L64">
        <v>4.7300000000000004</v>
      </c>
      <c r="M64">
        <v>80.989999999999995</v>
      </c>
      <c r="N64">
        <v>57.84</v>
      </c>
      <c r="O64">
        <v>69.414999999999992</v>
      </c>
      <c r="P64">
        <v>71.91</v>
      </c>
      <c r="Q64">
        <v>76.989999999999995</v>
      </c>
      <c r="R64">
        <v>74.39</v>
      </c>
      <c r="S64">
        <v>8.89</v>
      </c>
      <c r="T64">
        <v>40.369999999999997</v>
      </c>
      <c r="U64">
        <v>76.72</v>
      </c>
      <c r="V64">
        <v>74.489999999999995</v>
      </c>
      <c r="W64">
        <v>74.66</v>
      </c>
      <c r="X64">
        <v>63.63</v>
      </c>
      <c r="Y64">
        <v>0.35499999999999998</v>
      </c>
    </row>
    <row r="65" spans="1:25" x14ac:dyDescent="0.35">
      <c r="A65" t="s">
        <v>67</v>
      </c>
      <c r="B65" t="s">
        <v>79</v>
      </c>
      <c r="C65" t="s">
        <v>592</v>
      </c>
      <c r="D65">
        <v>8.4600000000000009</v>
      </c>
      <c r="E65">
        <v>8.1199999999999992</v>
      </c>
      <c r="F65">
        <v>8.1300000000000008</v>
      </c>
      <c r="G65">
        <v>13.14</v>
      </c>
      <c r="H65">
        <v>13.91</v>
      </c>
      <c r="I65">
        <v>13.42</v>
      </c>
      <c r="J65">
        <v>4.22</v>
      </c>
      <c r="K65">
        <v>2.98</v>
      </c>
      <c r="L65">
        <v>3.68</v>
      </c>
      <c r="M65">
        <v>84.1</v>
      </c>
      <c r="N65">
        <v>64.3</v>
      </c>
      <c r="O65">
        <v>74.199999999999989</v>
      </c>
      <c r="P65">
        <v>71.28</v>
      </c>
      <c r="Q65">
        <v>75.67</v>
      </c>
      <c r="R65">
        <v>73.42</v>
      </c>
      <c r="S65">
        <v>5.71</v>
      </c>
      <c r="T65">
        <v>28.98</v>
      </c>
      <c r="U65">
        <v>74.64</v>
      </c>
      <c r="V65">
        <v>70.8</v>
      </c>
      <c r="W65">
        <v>71.14</v>
      </c>
      <c r="X65">
        <v>51.45</v>
      </c>
      <c r="Y65">
        <v>0.45300000000000001</v>
      </c>
    </row>
    <row r="66" spans="1:25" x14ac:dyDescent="0.35">
      <c r="A66" t="s">
        <v>68</v>
      </c>
      <c r="B66" t="s">
        <v>79</v>
      </c>
      <c r="C66" t="s">
        <v>592</v>
      </c>
      <c r="D66">
        <v>8.4</v>
      </c>
      <c r="E66">
        <v>8.1199999999999992</v>
      </c>
      <c r="F66">
        <v>8.14</v>
      </c>
      <c r="G66">
        <v>13.15</v>
      </c>
      <c r="H66">
        <v>14.26</v>
      </c>
      <c r="I66">
        <v>13.52</v>
      </c>
      <c r="J66">
        <v>4.42</v>
      </c>
      <c r="K66">
        <v>6.45</v>
      </c>
      <c r="L66">
        <v>5.25</v>
      </c>
      <c r="M66">
        <v>84.74</v>
      </c>
      <c r="N66">
        <v>58.83</v>
      </c>
      <c r="O66">
        <v>71.784999999999997</v>
      </c>
      <c r="P66">
        <v>70.400000000000006</v>
      </c>
      <c r="Q66">
        <v>74.42</v>
      </c>
      <c r="R66">
        <v>72.36</v>
      </c>
      <c r="S66">
        <v>14.29</v>
      </c>
      <c r="T66">
        <v>39.85</v>
      </c>
      <c r="U66">
        <v>72.599999999999994</v>
      </c>
      <c r="V66">
        <v>67.45</v>
      </c>
      <c r="W66">
        <v>68.89</v>
      </c>
      <c r="X66">
        <v>68.72</v>
      </c>
      <c r="Y66">
        <v>0.46400000000000002</v>
      </c>
    </row>
    <row r="67" spans="1:25" x14ac:dyDescent="0.35">
      <c r="A67" t="s">
        <v>69</v>
      </c>
      <c r="B67" t="s">
        <v>79</v>
      </c>
      <c r="C67" t="s">
        <v>592</v>
      </c>
      <c r="D67">
        <v>8.77</v>
      </c>
      <c r="E67">
        <v>8.93</v>
      </c>
      <c r="F67">
        <v>8.85</v>
      </c>
      <c r="G67">
        <v>12.83</v>
      </c>
      <c r="H67">
        <v>13.71</v>
      </c>
      <c r="I67">
        <v>13.07</v>
      </c>
      <c r="J67">
        <v>1.93</v>
      </c>
      <c r="K67">
        <v>2.82</v>
      </c>
      <c r="L67">
        <v>2.2999999999999998</v>
      </c>
      <c r="M67">
        <v>87.17</v>
      </c>
      <c r="N67">
        <v>65.91</v>
      </c>
      <c r="O67">
        <v>76.539999999999992</v>
      </c>
      <c r="P67">
        <v>70.540000000000006</v>
      </c>
      <c r="Q67">
        <v>74.56</v>
      </c>
      <c r="R67">
        <v>72.5</v>
      </c>
      <c r="S67">
        <v>0</v>
      </c>
      <c r="T67">
        <v>36.99</v>
      </c>
      <c r="U67">
        <v>74.11</v>
      </c>
      <c r="V67">
        <v>70.8</v>
      </c>
      <c r="W67">
        <v>71.5</v>
      </c>
      <c r="X67">
        <v>50.47</v>
      </c>
      <c r="Y67">
        <v>0.80500000000000005</v>
      </c>
    </row>
    <row r="68" spans="1:25" x14ac:dyDescent="0.35">
      <c r="A68" t="s">
        <v>70</v>
      </c>
      <c r="B68" t="s">
        <v>79</v>
      </c>
      <c r="C68" t="s">
        <v>592</v>
      </c>
      <c r="D68">
        <v>8.9700000000000006</v>
      </c>
      <c r="E68">
        <v>8.98</v>
      </c>
      <c r="F68">
        <v>8.98</v>
      </c>
      <c r="G68">
        <v>12.52</v>
      </c>
      <c r="H68">
        <v>13.23</v>
      </c>
      <c r="I68">
        <v>12.89</v>
      </c>
      <c r="J68">
        <v>5.3</v>
      </c>
      <c r="K68">
        <v>7.14</v>
      </c>
      <c r="L68">
        <v>6.02</v>
      </c>
      <c r="M68">
        <v>89.72</v>
      </c>
      <c r="N68">
        <v>58.76</v>
      </c>
      <c r="O68">
        <v>74.239999999999995</v>
      </c>
      <c r="P68">
        <v>71.819999999999993</v>
      </c>
      <c r="Q68">
        <v>76.8</v>
      </c>
      <c r="R68">
        <v>74.25</v>
      </c>
      <c r="S68">
        <v>6.67</v>
      </c>
      <c r="T68">
        <v>26.94</v>
      </c>
      <c r="U68">
        <v>77.95</v>
      </c>
      <c r="V68">
        <v>69.930000000000007</v>
      </c>
      <c r="W68">
        <v>74.06</v>
      </c>
      <c r="X68">
        <v>50.22</v>
      </c>
      <c r="Y68">
        <v>0.45700000000000002</v>
      </c>
    </row>
    <row r="69" spans="1:25" x14ac:dyDescent="0.35">
      <c r="A69" t="s">
        <v>71</v>
      </c>
      <c r="B69" t="s">
        <v>79</v>
      </c>
      <c r="C69" t="s">
        <v>592</v>
      </c>
      <c r="D69">
        <v>9.14</v>
      </c>
      <c r="E69">
        <v>8.91</v>
      </c>
      <c r="F69">
        <v>8.99</v>
      </c>
      <c r="G69">
        <v>13.25</v>
      </c>
      <c r="H69">
        <v>14.32</v>
      </c>
      <c r="I69">
        <v>13.72</v>
      </c>
      <c r="J69">
        <v>6.05</v>
      </c>
      <c r="K69">
        <v>6.86</v>
      </c>
      <c r="L69">
        <v>6.34</v>
      </c>
      <c r="M69">
        <v>84.4</v>
      </c>
      <c r="N69">
        <v>49.48</v>
      </c>
      <c r="O69">
        <v>66.94</v>
      </c>
      <c r="P69">
        <v>70.78</v>
      </c>
      <c r="Q69">
        <v>74.81</v>
      </c>
      <c r="R69">
        <v>72.75</v>
      </c>
      <c r="S69">
        <v>10</v>
      </c>
      <c r="T69">
        <v>37.9</v>
      </c>
      <c r="U69">
        <v>74.66</v>
      </c>
      <c r="V69">
        <v>67.430000000000007</v>
      </c>
      <c r="W69">
        <v>70.930000000000007</v>
      </c>
      <c r="X69">
        <v>63.37</v>
      </c>
      <c r="Y69">
        <v>0.41899999999999998</v>
      </c>
    </row>
    <row r="70" spans="1:25" x14ac:dyDescent="0.35">
      <c r="A70" t="s">
        <v>72</v>
      </c>
      <c r="B70" t="s">
        <v>79</v>
      </c>
      <c r="C70" t="s">
        <v>592</v>
      </c>
      <c r="D70">
        <v>11.72</v>
      </c>
      <c r="E70">
        <v>11.62</v>
      </c>
      <c r="F70">
        <v>11.63</v>
      </c>
      <c r="G70">
        <v>16.37</v>
      </c>
      <c r="H70">
        <v>16.91</v>
      </c>
      <c r="I70">
        <v>16.57</v>
      </c>
      <c r="J70">
        <v>8.43</v>
      </c>
      <c r="K70">
        <v>12.01</v>
      </c>
      <c r="L70">
        <v>9.8800000000000008</v>
      </c>
      <c r="M70">
        <v>80.180000000000007</v>
      </c>
      <c r="N70">
        <v>54.25</v>
      </c>
      <c r="O70">
        <v>67.215000000000003</v>
      </c>
      <c r="P70">
        <v>72.510000000000005</v>
      </c>
      <c r="Q70">
        <v>77.28</v>
      </c>
      <c r="R70">
        <v>75.2</v>
      </c>
      <c r="S70">
        <v>8.89</v>
      </c>
      <c r="T70">
        <v>35.08</v>
      </c>
      <c r="U70">
        <v>88.15</v>
      </c>
      <c r="V70">
        <v>82.9</v>
      </c>
      <c r="W70">
        <v>83.99</v>
      </c>
      <c r="X70">
        <v>63.38</v>
      </c>
      <c r="Y70">
        <v>0.17199999999999999</v>
      </c>
    </row>
    <row r="71" spans="1:25" x14ac:dyDescent="0.35">
      <c r="A71" t="s">
        <v>73</v>
      </c>
      <c r="B71" t="s">
        <v>79</v>
      </c>
      <c r="C71" t="s">
        <v>592</v>
      </c>
      <c r="D71">
        <v>11.25</v>
      </c>
      <c r="E71">
        <v>11.53</v>
      </c>
      <c r="F71">
        <v>11.37</v>
      </c>
      <c r="G71">
        <v>14.02</v>
      </c>
      <c r="H71">
        <v>14.81</v>
      </c>
      <c r="I71">
        <v>14.37</v>
      </c>
      <c r="J71">
        <v>4.78</v>
      </c>
      <c r="K71">
        <v>2.14</v>
      </c>
      <c r="L71">
        <v>3.62</v>
      </c>
      <c r="M71">
        <v>79.77</v>
      </c>
      <c r="N71">
        <v>62.54</v>
      </c>
      <c r="O71">
        <v>71.155000000000001</v>
      </c>
      <c r="P71">
        <v>72.989999999999995</v>
      </c>
      <c r="Q71">
        <v>77.03</v>
      </c>
      <c r="R71">
        <v>74.849999999999994</v>
      </c>
      <c r="S71">
        <v>15</v>
      </c>
      <c r="T71">
        <v>36.21</v>
      </c>
      <c r="U71">
        <v>82.18</v>
      </c>
      <c r="V71">
        <v>79.63</v>
      </c>
      <c r="W71">
        <v>80</v>
      </c>
      <c r="X71">
        <v>65.38</v>
      </c>
      <c r="Y71">
        <v>0.14699999999999999</v>
      </c>
    </row>
    <row r="72" spans="1:25" x14ac:dyDescent="0.35">
      <c r="A72" t="s">
        <v>74</v>
      </c>
      <c r="B72" t="s">
        <v>79</v>
      </c>
      <c r="C72" t="s">
        <v>592</v>
      </c>
      <c r="D72">
        <v>10.41</v>
      </c>
      <c r="E72">
        <v>10.68</v>
      </c>
      <c r="F72">
        <v>10.53</v>
      </c>
      <c r="G72">
        <v>13.67</v>
      </c>
      <c r="H72">
        <v>14.42</v>
      </c>
      <c r="I72">
        <v>13.86</v>
      </c>
      <c r="J72">
        <v>6.39</v>
      </c>
      <c r="K72">
        <v>4.43</v>
      </c>
      <c r="L72">
        <v>5.55</v>
      </c>
      <c r="M72">
        <v>83.7</v>
      </c>
      <c r="N72">
        <v>63.35</v>
      </c>
      <c r="O72">
        <v>73.525000000000006</v>
      </c>
      <c r="P72">
        <v>71.73</v>
      </c>
      <c r="Q72">
        <v>76.62</v>
      </c>
      <c r="R72">
        <v>74.12</v>
      </c>
      <c r="S72">
        <v>20</v>
      </c>
      <c r="T72">
        <v>28.73</v>
      </c>
      <c r="U72">
        <v>78.22</v>
      </c>
      <c r="V72">
        <v>74.88</v>
      </c>
      <c r="W72">
        <v>75.13</v>
      </c>
      <c r="X72">
        <v>62.49</v>
      </c>
      <c r="Y72">
        <v>0.27</v>
      </c>
    </row>
    <row r="73" spans="1:25" x14ac:dyDescent="0.35">
      <c r="A73" t="s">
        <v>75</v>
      </c>
      <c r="B73" t="s">
        <v>79</v>
      </c>
      <c r="C73" t="s">
        <v>592</v>
      </c>
      <c r="D73">
        <v>11.65</v>
      </c>
      <c r="E73">
        <v>12.23</v>
      </c>
      <c r="F73">
        <v>12</v>
      </c>
      <c r="G73">
        <v>15.13</v>
      </c>
      <c r="H73">
        <v>16.07</v>
      </c>
      <c r="I73">
        <v>15.47</v>
      </c>
      <c r="J73">
        <v>4.4400000000000004</v>
      </c>
      <c r="K73">
        <v>5.62</v>
      </c>
      <c r="L73">
        <v>4.9400000000000004</v>
      </c>
      <c r="M73">
        <v>76.349999999999994</v>
      </c>
      <c r="N73">
        <v>56.34</v>
      </c>
      <c r="O73">
        <v>66.344999999999999</v>
      </c>
      <c r="P73">
        <v>71.97</v>
      </c>
      <c r="Q73">
        <v>76.709999999999994</v>
      </c>
      <c r="R73">
        <v>74.48</v>
      </c>
      <c r="S73">
        <v>20</v>
      </c>
      <c r="T73">
        <v>47.44</v>
      </c>
      <c r="U73">
        <v>80.33</v>
      </c>
      <c r="V73">
        <v>78.91</v>
      </c>
      <c r="W73">
        <v>80.17</v>
      </c>
      <c r="X73">
        <v>75.62</v>
      </c>
      <c r="Y73">
        <v>8.1000000000000003E-2</v>
      </c>
    </row>
    <row r="74" spans="1:25" x14ac:dyDescent="0.35">
      <c r="A74" t="s">
        <v>76</v>
      </c>
      <c r="B74" t="s">
        <v>79</v>
      </c>
      <c r="C74" t="s">
        <v>592</v>
      </c>
      <c r="D74">
        <v>11.47</v>
      </c>
      <c r="E74">
        <v>11.81</v>
      </c>
      <c r="F74">
        <v>11.65</v>
      </c>
      <c r="G74">
        <v>14.79</v>
      </c>
      <c r="H74">
        <v>15.53</v>
      </c>
      <c r="I74">
        <v>15.28</v>
      </c>
      <c r="J74">
        <v>4.2</v>
      </c>
      <c r="K74">
        <v>5.45</v>
      </c>
      <c r="L74">
        <v>4.72</v>
      </c>
      <c r="M74">
        <v>82.67</v>
      </c>
      <c r="N74">
        <v>57.48</v>
      </c>
      <c r="O74">
        <v>70.075000000000003</v>
      </c>
      <c r="P74">
        <v>73.84</v>
      </c>
      <c r="Q74">
        <v>78.53</v>
      </c>
      <c r="R74">
        <v>75.62</v>
      </c>
      <c r="S74">
        <v>32</v>
      </c>
      <c r="T74">
        <v>39.79</v>
      </c>
      <c r="U74">
        <v>83.01</v>
      </c>
      <c r="V74">
        <v>81.900000000000006</v>
      </c>
      <c r="W74">
        <v>82.51</v>
      </c>
      <c r="X74">
        <v>83.53</v>
      </c>
      <c r="Y74">
        <v>0.08</v>
      </c>
    </row>
    <row r="75" spans="1:25" x14ac:dyDescent="0.35">
      <c r="A75" t="s">
        <v>77</v>
      </c>
      <c r="B75" t="s">
        <v>79</v>
      </c>
      <c r="C75" t="s">
        <v>592</v>
      </c>
      <c r="D75">
        <v>10.62</v>
      </c>
      <c r="E75">
        <v>11.07</v>
      </c>
      <c r="F75">
        <v>10.89</v>
      </c>
      <c r="G75">
        <v>14.23</v>
      </c>
      <c r="H75">
        <v>14.96</v>
      </c>
      <c r="I75">
        <v>14.57</v>
      </c>
      <c r="J75">
        <v>4.4000000000000004</v>
      </c>
      <c r="K75">
        <v>5.5</v>
      </c>
      <c r="L75">
        <v>4.87</v>
      </c>
      <c r="M75">
        <v>80.569999999999993</v>
      </c>
      <c r="N75">
        <v>60.51</v>
      </c>
      <c r="O75">
        <v>70.539999999999992</v>
      </c>
      <c r="P75">
        <v>73.239999999999995</v>
      </c>
      <c r="Q75">
        <v>77.14</v>
      </c>
      <c r="R75">
        <v>75.08</v>
      </c>
      <c r="S75">
        <v>12</v>
      </c>
      <c r="T75">
        <v>39.68</v>
      </c>
      <c r="U75">
        <v>81.59</v>
      </c>
      <c r="V75">
        <v>80.72</v>
      </c>
      <c r="W75">
        <v>80.61</v>
      </c>
      <c r="X75">
        <v>68.75</v>
      </c>
      <c r="Y75">
        <v>0.17499999999999999</v>
      </c>
    </row>
    <row r="76" spans="1:25" x14ac:dyDescent="0.35">
      <c r="A76" t="s">
        <v>78</v>
      </c>
      <c r="B76" t="s">
        <v>79</v>
      </c>
      <c r="C76" t="s">
        <v>592</v>
      </c>
      <c r="D76">
        <v>10.9</v>
      </c>
      <c r="E76">
        <v>11.19</v>
      </c>
      <c r="F76">
        <v>11.06</v>
      </c>
      <c r="G76">
        <v>14.75</v>
      </c>
      <c r="H76">
        <v>15.46</v>
      </c>
      <c r="I76">
        <v>14.8</v>
      </c>
      <c r="J76">
        <v>4.3099999999999996</v>
      </c>
      <c r="K76">
        <v>6.71</v>
      </c>
      <c r="L76">
        <v>5.32</v>
      </c>
      <c r="M76">
        <v>80.540000000000006</v>
      </c>
      <c r="N76">
        <v>59.2</v>
      </c>
      <c r="O76">
        <v>69.87</v>
      </c>
      <c r="P76">
        <v>71.900000000000006</v>
      </c>
      <c r="Q76">
        <v>77.05</v>
      </c>
      <c r="R76">
        <v>74.37</v>
      </c>
      <c r="S76">
        <v>10</v>
      </c>
      <c r="T76">
        <v>32.42</v>
      </c>
      <c r="U76">
        <v>80.06</v>
      </c>
      <c r="V76">
        <v>78.55</v>
      </c>
      <c r="W76">
        <v>78.88</v>
      </c>
      <c r="X76">
        <v>60.14</v>
      </c>
      <c r="Y76">
        <v>0.12</v>
      </c>
    </row>
    <row r="77" spans="1:25" x14ac:dyDescent="0.35">
      <c r="A77" t="s">
        <v>80</v>
      </c>
      <c r="B77" t="s">
        <v>92</v>
      </c>
      <c r="C77" t="s">
        <v>592</v>
      </c>
      <c r="D77">
        <v>9.4</v>
      </c>
      <c r="E77">
        <v>8.98</v>
      </c>
      <c r="F77">
        <v>9.14</v>
      </c>
      <c r="G77">
        <v>13.16</v>
      </c>
      <c r="H77">
        <v>13.72</v>
      </c>
      <c r="I77">
        <v>13.38</v>
      </c>
      <c r="J77">
        <v>1.85</v>
      </c>
      <c r="K77">
        <v>3.68</v>
      </c>
      <c r="L77">
        <v>2.48</v>
      </c>
      <c r="M77">
        <v>85.13</v>
      </c>
      <c r="N77">
        <v>45.37</v>
      </c>
      <c r="O77">
        <v>65.25</v>
      </c>
      <c r="P77">
        <v>70.98</v>
      </c>
      <c r="Q77">
        <v>75.040000000000006</v>
      </c>
      <c r="R77">
        <v>72.959999999999994</v>
      </c>
      <c r="S77">
        <v>14.29</v>
      </c>
      <c r="T77">
        <v>35.5</v>
      </c>
      <c r="U77">
        <v>76.44</v>
      </c>
      <c r="V77">
        <v>69.319999999999993</v>
      </c>
      <c r="W77">
        <v>72.33</v>
      </c>
      <c r="X77">
        <v>68.77</v>
      </c>
      <c r="Y77">
        <v>0.45500000000000002</v>
      </c>
    </row>
    <row r="78" spans="1:25" x14ac:dyDescent="0.35">
      <c r="A78" t="s">
        <v>81</v>
      </c>
      <c r="B78" t="s">
        <v>92</v>
      </c>
      <c r="C78" t="s">
        <v>592</v>
      </c>
      <c r="D78">
        <v>8.65</v>
      </c>
      <c r="E78">
        <v>8.3699999999999992</v>
      </c>
      <c r="F78">
        <v>8.43</v>
      </c>
      <c r="G78">
        <v>12.53</v>
      </c>
      <c r="H78">
        <v>12.91</v>
      </c>
      <c r="I78">
        <v>12.6</v>
      </c>
      <c r="J78">
        <v>1.75</v>
      </c>
      <c r="K78">
        <v>4.17</v>
      </c>
      <c r="L78">
        <v>2.5499999999999998</v>
      </c>
      <c r="M78">
        <v>85.03</v>
      </c>
      <c r="N78">
        <v>44.48</v>
      </c>
      <c r="O78">
        <v>64.754999999999995</v>
      </c>
      <c r="P78">
        <v>71.42</v>
      </c>
      <c r="Q78">
        <v>75.959999999999994</v>
      </c>
      <c r="R78">
        <v>73.63</v>
      </c>
      <c r="S78">
        <v>5</v>
      </c>
      <c r="T78">
        <v>29.27</v>
      </c>
      <c r="U78">
        <v>76.08</v>
      </c>
      <c r="V78">
        <v>66.5</v>
      </c>
      <c r="W78">
        <v>71.48</v>
      </c>
      <c r="X78">
        <v>54.92</v>
      </c>
      <c r="Y78">
        <v>0.57599999999999996</v>
      </c>
    </row>
    <row r="79" spans="1:25" x14ac:dyDescent="0.35">
      <c r="A79" t="s">
        <v>82</v>
      </c>
      <c r="B79" t="s">
        <v>92</v>
      </c>
      <c r="C79" t="s">
        <v>592</v>
      </c>
      <c r="D79">
        <v>7.56</v>
      </c>
      <c r="E79">
        <v>7.32</v>
      </c>
      <c r="F79">
        <v>7.32</v>
      </c>
      <c r="G79">
        <v>12.17</v>
      </c>
      <c r="H79">
        <v>12.63</v>
      </c>
      <c r="I79">
        <v>12.21</v>
      </c>
      <c r="J79">
        <v>1.1499999999999999</v>
      </c>
      <c r="K79">
        <v>3.18</v>
      </c>
      <c r="L79">
        <v>1.86</v>
      </c>
      <c r="M79">
        <v>85.8</v>
      </c>
      <c r="N79">
        <v>49.29</v>
      </c>
      <c r="O79">
        <v>67.545000000000002</v>
      </c>
      <c r="P79">
        <v>70.430000000000007</v>
      </c>
      <c r="Q79">
        <v>74.45</v>
      </c>
      <c r="R79">
        <v>72.39</v>
      </c>
      <c r="S79">
        <v>17.78</v>
      </c>
      <c r="T79">
        <v>29.73</v>
      </c>
      <c r="U79">
        <v>73.3</v>
      </c>
      <c r="V79">
        <v>61.35</v>
      </c>
      <c r="W79">
        <v>68.38</v>
      </c>
      <c r="X79">
        <v>69.73</v>
      </c>
      <c r="Y79">
        <v>0.53300000000000003</v>
      </c>
    </row>
    <row r="80" spans="1:25" x14ac:dyDescent="0.35">
      <c r="A80" t="s">
        <v>83</v>
      </c>
      <c r="B80" t="s">
        <v>92</v>
      </c>
      <c r="C80" t="s">
        <v>592</v>
      </c>
      <c r="D80">
        <v>9.17</v>
      </c>
      <c r="E80">
        <v>8.77</v>
      </c>
      <c r="F80">
        <v>8.9600000000000009</v>
      </c>
      <c r="G80">
        <v>12.57</v>
      </c>
      <c r="H80">
        <v>13.07</v>
      </c>
      <c r="I80">
        <v>12.91</v>
      </c>
      <c r="J80">
        <v>1.7</v>
      </c>
      <c r="K80">
        <v>3.04</v>
      </c>
      <c r="L80">
        <v>2.13</v>
      </c>
      <c r="M80">
        <v>88.4</v>
      </c>
      <c r="N80">
        <v>44.74</v>
      </c>
      <c r="O80">
        <v>66.570000000000007</v>
      </c>
      <c r="P80">
        <v>72.069999999999993</v>
      </c>
      <c r="Q80">
        <v>77.319999999999993</v>
      </c>
      <c r="R80">
        <v>74.63</v>
      </c>
      <c r="S80">
        <v>5</v>
      </c>
      <c r="T80">
        <v>27.9</v>
      </c>
      <c r="U80">
        <v>78.52</v>
      </c>
      <c r="V80">
        <v>70.23</v>
      </c>
      <c r="W80">
        <v>74.08</v>
      </c>
      <c r="X80">
        <v>53.42</v>
      </c>
      <c r="Y80">
        <v>0.58899999999999997</v>
      </c>
    </row>
    <row r="81" spans="1:25" x14ac:dyDescent="0.35">
      <c r="A81" t="s">
        <v>84</v>
      </c>
      <c r="B81" t="s">
        <v>92</v>
      </c>
      <c r="C81" t="s">
        <v>592</v>
      </c>
      <c r="D81">
        <v>10.1</v>
      </c>
      <c r="E81">
        <v>9.89</v>
      </c>
      <c r="F81">
        <v>9.92</v>
      </c>
      <c r="G81">
        <v>13.02</v>
      </c>
      <c r="H81">
        <v>12.89</v>
      </c>
      <c r="I81">
        <v>12.89</v>
      </c>
      <c r="J81">
        <v>3.01</v>
      </c>
      <c r="K81">
        <v>7.48</v>
      </c>
      <c r="L81">
        <v>4.53</v>
      </c>
      <c r="M81">
        <v>86.21</v>
      </c>
      <c r="N81">
        <v>46.91</v>
      </c>
      <c r="O81">
        <v>66.56</v>
      </c>
      <c r="P81">
        <v>71.64</v>
      </c>
      <c r="Q81">
        <v>76.44</v>
      </c>
      <c r="R81">
        <v>73.98</v>
      </c>
      <c r="S81">
        <v>5</v>
      </c>
      <c r="T81">
        <v>20.190000000000001</v>
      </c>
      <c r="U81">
        <v>80.16</v>
      </c>
      <c r="V81">
        <v>71.37</v>
      </c>
      <c r="W81">
        <v>75.45</v>
      </c>
      <c r="X81">
        <v>45.63</v>
      </c>
      <c r="Y81">
        <v>0.51900000000000002</v>
      </c>
    </row>
    <row r="82" spans="1:25" x14ac:dyDescent="0.35">
      <c r="A82" t="s">
        <v>85</v>
      </c>
      <c r="B82" t="s">
        <v>92</v>
      </c>
      <c r="C82" t="s">
        <v>592</v>
      </c>
      <c r="D82">
        <v>9.81</v>
      </c>
      <c r="E82">
        <v>9.36</v>
      </c>
      <c r="F82">
        <v>9.58</v>
      </c>
      <c r="G82">
        <v>13.56</v>
      </c>
      <c r="H82">
        <v>13.92</v>
      </c>
      <c r="I82">
        <v>13.61</v>
      </c>
      <c r="J82">
        <v>3.56</v>
      </c>
      <c r="K82">
        <v>3.9</v>
      </c>
      <c r="L82">
        <v>3.67</v>
      </c>
      <c r="M82">
        <v>83.06</v>
      </c>
      <c r="N82">
        <v>43.57</v>
      </c>
      <c r="O82">
        <v>63.314999999999998</v>
      </c>
      <c r="P82">
        <v>72.05</v>
      </c>
      <c r="Q82">
        <v>77.3</v>
      </c>
      <c r="R82">
        <v>74.61</v>
      </c>
      <c r="S82">
        <v>11.11</v>
      </c>
      <c r="T82">
        <v>23.9</v>
      </c>
      <c r="U82">
        <v>79.2</v>
      </c>
      <c r="V82">
        <v>71.42</v>
      </c>
      <c r="W82">
        <v>74.849999999999994</v>
      </c>
      <c r="X82">
        <v>58.32</v>
      </c>
      <c r="Y82">
        <v>0.48699999999999999</v>
      </c>
    </row>
    <row r="83" spans="1:25" x14ac:dyDescent="0.35">
      <c r="A83" t="s">
        <v>86</v>
      </c>
      <c r="B83" t="s">
        <v>92</v>
      </c>
      <c r="C83" t="s">
        <v>592</v>
      </c>
      <c r="D83">
        <v>9.11</v>
      </c>
      <c r="E83">
        <v>8.76</v>
      </c>
      <c r="F83">
        <v>8.94</v>
      </c>
      <c r="G83">
        <v>13.42</v>
      </c>
      <c r="H83">
        <v>12.94</v>
      </c>
      <c r="I83">
        <v>12.94</v>
      </c>
      <c r="J83">
        <v>2.12</v>
      </c>
      <c r="K83">
        <v>3.93</v>
      </c>
      <c r="L83">
        <v>2.73</v>
      </c>
      <c r="M83">
        <v>88.42</v>
      </c>
      <c r="N83">
        <v>47.03</v>
      </c>
      <c r="O83">
        <v>67.724999999999994</v>
      </c>
      <c r="P83">
        <v>71.44</v>
      </c>
      <c r="Q83">
        <v>76.02</v>
      </c>
      <c r="R83">
        <v>73.67</v>
      </c>
      <c r="S83">
        <v>6.67</v>
      </c>
      <c r="T83">
        <v>26.47</v>
      </c>
      <c r="U83">
        <v>78.16</v>
      </c>
      <c r="V83">
        <v>64.91</v>
      </c>
      <c r="W83">
        <v>71.819999999999993</v>
      </c>
      <c r="X83">
        <v>55</v>
      </c>
      <c r="Y83">
        <v>0.498</v>
      </c>
    </row>
    <row r="84" spans="1:25" x14ac:dyDescent="0.35">
      <c r="A84" t="s">
        <v>87</v>
      </c>
      <c r="B84" t="s">
        <v>92</v>
      </c>
      <c r="C84" t="s">
        <v>592</v>
      </c>
      <c r="D84">
        <v>10.02</v>
      </c>
      <c r="E84">
        <v>9.44</v>
      </c>
      <c r="F84">
        <v>9.74</v>
      </c>
      <c r="G84">
        <v>13.4</v>
      </c>
      <c r="H84">
        <v>13.98</v>
      </c>
      <c r="I84">
        <v>13.44</v>
      </c>
      <c r="J84">
        <v>5.63</v>
      </c>
      <c r="K84">
        <v>6.39</v>
      </c>
      <c r="L84">
        <v>5.88</v>
      </c>
      <c r="M84">
        <v>85.09</v>
      </c>
      <c r="N84">
        <v>44.56</v>
      </c>
      <c r="O84">
        <v>64.825000000000003</v>
      </c>
      <c r="P84">
        <v>71.790000000000006</v>
      </c>
      <c r="Q84">
        <v>76.739999999999995</v>
      </c>
      <c r="R84">
        <v>74.209999999999994</v>
      </c>
      <c r="S84">
        <v>15.56</v>
      </c>
      <c r="T84">
        <v>23.39</v>
      </c>
      <c r="U84">
        <v>79.8</v>
      </c>
      <c r="V84">
        <v>71.75</v>
      </c>
      <c r="W84">
        <v>75.28</v>
      </c>
      <c r="X84">
        <v>59.8</v>
      </c>
      <c r="Y84">
        <v>0.40100000000000002</v>
      </c>
    </row>
    <row r="85" spans="1:25" x14ac:dyDescent="0.35">
      <c r="A85" t="s">
        <v>88</v>
      </c>
      <c r="B85" t="s">
        <v>92</v>
      </c>
      <c r="C85" t="s">
        <v>592</v>
      </c>
      <c r="D85">
        <v>8.8800000000000008</v>
      </c>
      <c r="E85">
        <v>8.3000000000000007</v>
      </c>
      <c r="F85">
        <v>8.5299999999999994</v>
      </c>
      <c r="G85">
        <v>12.74</v>
      </c>
      <c r="H85">
        <v>13.42</v>
      </c>
      <c r="I85">
        <v>12.89</v>
      </c>
      <c r="J85">
        <v>3.92</v>
      </c>
      <c r="K85">
        <v>5.09</v>
      </c>
      <c r="L85">
        <v>4.3099999999999996</v>
      </c>
      <c r="M85">
        <v>85.85</v>
      </c>
      <c r="N85">
        <v>44.31</v>
      </c>
      <c r="O85">
        <v>65.08</v>
      </c>
      <c r="P85">
        <v>71.569999999999993</v>
      </c>
      <c r="Q85">
        <v>76.28</v>
      </c>
      <c r="R85">
        <v>73.87</v>
      </c>
      <c r="S85">
        <v>11.11</v>
      </c>
      <c r="T85">
        <v>23.32</v>
      </c>
      <c r="U85">
        <v>76.05</v>
      </c>
      <c r="V85">
        <v>65.260000000000005</v>
      </c>
      <c r="W85">
        <v>71.2</v>
      </c>
      <c r="X85">
        <v>54.11</v>
      </c>
      <c r="Y85">
        <v>0.51100000000000001</v>
      </c>
    </row>
    <row r="86" spans="1:25" x14ac:dyDescent="0.35">
      <c r="A86" t="s">
        <v>89</v>
      </c>
      <c r="B86" t="s">
        <v>92</v>
      </c>
      <c r="C86" t="s">
        <v>592</v>
      </c>
      <c r="D86">
        <v>8.32</v>
      </c>
      <c r="E86">
        <v>7.92</v>
      </c>
      <c r="F86">
        <v>8.1199999999999992</v>
      </c>
      <c r="G86">
        <v>12.87</v>
      </c>
      <c r="H86">
        <v>13.02</v>
      </c>
      <c r="I86">
        <v>12.87</v>
      </c>
      <c r="J86">
        <v>4.54</v>
      </c>
      <c r="K86">
        <v>4.45</v>
      </c>
      <c r="L86">
        <v>4.51</v>
      </c>
      <c r="M86">
        <v>83.36</v>
      </c>
      <c r="N86">
        <v>52.09</v>
      </c>
      <c r="O86">
        <v>67.724999999999994</v>
      </c>
      <c r="P86">
        <v>70.290000000000006</v>
      </c>
      <c r="Q86">
        <v>74.3</v>
      </c>
      <c r="R86">
        <v>72.25</v>
      </c>
      <c r="S86">
        <v>26.67</v>
      </c>
      <c r="T86">
        <v>27.23</v>
      </c>
      <c r="U86">
        <v>72.52</v>
      </c>
      <c r="V86">
        <v>63.41</v>
      </c>
      <c r="W86">
        <v>67.92</v>
      </c>
      <c r="X86">
        <v>73.03</v>
      </c>
      <c r="Y86">
        <v>0.46</v>
      </c>
    </row>
    <row r="87" spans="1:25" x14ac:dyDescent="0.35">
      <c r="A87" t="s">
        <v>90</v>
      </c>
      <c r="B87" t="s">
        <v>92</v>
      </c>
      <c r="C87" t="s">
        <v>592</v>
      </c>
      <c r="D87">
        <v>11.99</v>
      </c>
      <c r="E87">
        <v>11.95</v>
      </c>
      <c r="F87">
        <v>11.96</v>
      </c>
      <c r="G87">
        <v>15.82</v>
      </c>
      <c r="H87">
        <v>15.86</v>
      </c>
      <c r="I87">
        <v>15.84</v>
      </c>
      <c r="J87">
        <v>4.26</v>
      </c>
      <c r="K87">
        <v>5.17</v>
      </c>
      <c r="L87">
        <v>4.63</v>
      </c>
      <c r="M87">
        <v>80.58</v>
      </c>
      <c r="N87">
        <v>53.92</v>
      </c>
      <c r="O87">
        <v>67.25</v>
      </c>
      <c r="P87">
        <v>73.08</v>
      </c>
      <c r="Q87">
        <v>78.84</v>
      </c>
      <c r="R87">
        <v>75.89</v>
      </c>
      <c r="S87">
        <v>18</v>
      </c>
      <c r="T87">
        <v>27.2</v>
      </c>
      <c r="U87">
        <v>86.64</v>
      </c>
      <c r="V87">
        <v>81.48</v>
      </c>
      <c r="W87">
        <v>82.89</v>
      </c>
      <c r="X87">
        <v>67.400000000000006</v>
      </c>
      <c r="Y87">
        <v>0.22</v>
      </c>
    </row>
    <row r="88" spans="1:25" x14ac:dyDescent="0.35">
      <c r="A88" t="s">
        <v>91</v>
      </c>
      <c r="B88" t="s">
        <v>92</v>
      </c>
      <c r="C88" t="s">
        <v>592</v>
      </c>
      <c r="D88">
        <v>10.4</v>
      </c>
      <c r="E88">
        <v>10.28</v>
      </c>
      <c r="F88">
        <v>10.29</v>
      </c>
      <c r="G88">
        <v>13.25</v>
      </c>
      <c r="H88">
        <v>13.78</v>
      </c>
      <c r="I88">
        <v>13.35</v>
      </c>
      <c r="J88">
        <v>4.91</v>
      </c>
      <c r="K88">
        <v>4.16</v>
      </c>
      <c r="L88">
        <v>4.66</v>
      </c>
      <c r="M88">
        <v>84.75</v>
      </c>
      <c r="N88">
        <v>44.8</v>
      </c>
      <c r="O88">
        <v>64.775000000000006</v>
      </c>
      <c r="P88">
        <v>71.33</v>
      </c>
      <c r="Q88">
        <v>75.78</v>
      </c>
      <c r="R88">
        <v>73.5</v>
      </c>
      <c r="S88">
        <v>5.71</v>
      </c>
      <c r="T88">
        <v>23.83</v>
      </c>
      <c r="U88">
        <v>80.14</v>
      </c>
      <c r="V88">
        <v>73.209999999999994</v>
      </c>
      <c r="W88">
        <v>76.19</v>
      </c>
      <c r="X88">
        <v>52.2</v>
      </c>
      <c r="Y88">
        <v>0.27700000000000002</v>
      </c>
    </row>
    <row r="89" spans="1:25" x14ac:dyDescent="0.35">
      <c r="A89" t="s">
        <v>93</v>
      </c>
      <c r="B89" t="s">
        <v>104</v>
      </c>
      <c r="C89" t="s">
        <v>592</v>
      </c>
      <c r="D89">
        <v>9.2899999999999991</v>
      </c>
      <c r="E89">
        <v>8.08</v>
      </c>
      <c r="F89">
        <v>8.6</v>
      </c>
      <c r="G89">
        <v>14.08</v>
      </c>
      <c r="H89">
        <v>13.92</v>
      </c>
      <c r="I89">
        <v>13.92</v>
      </c>
      <c r="J89">
        <v>0.64</v>
      </c>
      <c r="K89">
        <v>4.99</v>
      </c>
      <c r="L89">
        <v>2.5099999999999998</v>
      </c>
      <c r="M89">
        <v>88.64</v>
      </c>
      <c r="N89">
        <v>66.709999999999994</v>
      </c>
      <c r="O89">
        <v>77.674999999999997</v>
      </c>
      <c r="P89">
        <v>71.260000000000005</v>
      </c>
      <c r="Q89">
        <v>75.63</v>
      </c>
      <c r="R89">
        <v>73.39</v>
      </c>
      <c r="S89">
        <v>6.67</v>
      </c>
      <c r="T89">
        <v>42.71</v>
      </c>
      <c r="U89">
        <v>78.400000000000006</v>
      </c>
      <c r="V89">
        <v>68.59</v>
      </c>
      <c r="W89">
        <v>73.11</v>
      </c>
      <c r="X89">
        <v>65.14</v>
      </c>
      <c r="Y89">
        <v>0.42</v>
      </c>
    </row>
    <row r="90" spans="1:25" x14ac:dyDescent="0.35">
      <c r="A90" t="s">
        <v>94</v>
      </c>
      <c r="B90" t="s">
        <v>104</v>
      </c>
      <c r="C90" t="s">
        <v>592</v>
      </c>
      <c r="D90">
        <v>8.92</v>
      </c>
      <c r="E90">
        <v>7.98</v>
      </c>
      <c r="F90">
        <v>8.4</v>
      </c>
      <c r="G90">
        <v>12.08</v>
      </c>
      <c r="H90">
        <v>12.49</v>
      </c>
      <c r="I90">
        <v>12.26</v>
      </c>
      <c r="J90">
        <v>2.5299999999999998</v>
      </c>
      <c r="K90">
        <v>6.56</v>
      </c>
      <c r="L90">
        <v>4.18</v>
      </c>
      <c r="M90">
        <v>87.13</v>
      </c>
      <c r="N90">
        <v>62.03</v>
      </c>
      <c r="O90">
        <v>74.58</v>
      </c>
      <c r="P90">
        <v>71.739999999999995</v>
      </c>
      <c r="Q90">
        <v>76.64</v>
      </c>
      <c r="R90">
        <v>74.13</v>
      </c>
      <c r="S90">
        <v>2.86</v>
      </c>
      <c r="T90">
        <v>41.69</v>
      </c>
      <c r="U90">
        <v>75.63</v>
      </c>
      <c r="V90">
        <v>67.19</v>
      </c>
      <c r="W90">
        <v>71.66</v>
      </c>
      <c r="X90">
        <v>58.12</v>
      </c>
      <c r="Y90">
        <v>0.64300000000000002</v>
      </c>
    </row>
    <row r="91" spans="1:25" x14ac:dyDescent="0.35">
      <c r="A91" t="s">
        <v>95</v>
      </c>
      <c r="B91" t="s">
        <v>104</v>
      </c>
      <c r="C91" t="s">
        <v>592</v>
      </c>
      <c r="D91">
        <v>8.65</v>
      </c>
      <c r="E91">
        <v>8.09</v>
      </c>
      <c r="F91">
        <v>8.35</v>
      </c>
      <c r="G91">
        <v>12.45</v>
      </c>
      <c r="H91">
        <v>12.66</v>
      </c>
      <c r="I91">
        <v>12.6</v>
      </c>
      <c r="J91">
        <v>2.71</v>
      </c>
      <c r="K91">
        <v>9.34</v>
      </c>
      <c r="L91">
        <v>5.03</v>
      </c>
      <c r="M91">
        <v>87.17</v>
      </c>
      <c r="N91">
        <v>48.41</v>
      </c>
      <c r="O91">
        <v>67.789999999999992</v>
      </c>
      <c r="P91">
        <v>71.430000000000007</v>
      </c>
      <c r="Q91">
        <v>75.989999999999995</v>
      </c>
      <c r="R91">
        <v>73.650000000000006</v>
      </c>
      <c r="S91">
        <v>13.33</v>
      </c>
      <c r="T91">
        <v>30.93</v>
      </c>
      <c r="U91">
        <v>75.849999999999994</v>
      </c>
      <c r="V91">
        <v>69.78</v>
      </c>
      <c r="W91">
        <v>72.010000000000005</v>
      </c>
      <c r="X91">
        <v>65.83</v>
      </c>
      <c r="Y91">
        <v>0.54</v>
      </c>
    </row>
    <row r="92" spans="1:25" x14ac:dyDescent="0.35">
      <c r="A92" t="s">
        <v>96</v>
      </c>
      <c r="B92" t="s">
        <v>104</v>
      </c>
      <c r="C92" t="s">
        <v>592</v>
      </c>
      <c r="D92">
        <v>8.7100000000000009</v>
      </c>
      <c r="E92">
        <v>8.2200000000000006</v>
      </c>
      <c r="F92">
        <v>8.35</v>
      </c>
      <c r="G92">
        <v>12.97</v>
      </c>
      <c r="H92">
        <v>13.5</v>
      </c>
      <c r="I92">
        <v>12.97</v>
      </c>
      <c r="J92">
        <v>3.11</v>
      </c>
      <c r="K92">
        <v>7.52</v>
      </c>
      <c r="L92">
        <v>4.49</v>
      </c>
      <c r="M92">
        <v>85.73</v>
      </c>
      <c r="N92">
        <v>40.47</v>
      </c>
      <c r="O92">
        <v>63.1</v>
      </c>
      <c r="P92">
        <v>72.13</v>
      </c>
      <c r="Q92">
        <v>77.47</v>
      </c>
      <c r="R92">
        <v>74.739999999999995</v>
      </c>
      <c r="S92">
        <v>20</v>
      </c>
      <c r="T92">
        <v>35.479999999999997</v>
      </c>
      <c r="U92">
        <v>76.72</v>
      </c>
      <c r="V92">
        <v>65.94</v>
      </c>
      <c r="W92">
        <v>71.67</v>
      </c>
      <c r="X92">
        <v>74.48</v>
      </c>
      <c r="Y92">
        <v>0.49</v>
      </c>
    </row>
    <row r="93" spans="1:25" x14ac:dyDescent="0.35">
      <c r="A93" t="s">
        <v>97</v>
      </c>
      <c r="B93" t="s">
        <v>104</v>
      </c>
      <c r="C93" t="s">
        <v>592</v>
      </c>
      <c r="D93">
        <v>8.92</v>
      </c>
      <c r="E93">
        <v>8.51</v>
      </c>
      <c r="F93">
        <v>8.6999999999999993</v>
      </c>
      <c r="G93">
        <v>12.95</v>
      </c>
      <c r="H93">
        <v>14.02</v>
      </c>
      <c r="I93">
        <v>13.37</v>
      </c>
      <c r="J93">
        <v>1.5</v>
      </c>
      <c r="K93">
        <v>12.3</v>
      </c>
      <c r="L93">
        <v>5.27</v>
      </c>
      <c r="M93">
        <v>89.04</v>
      </c>
      <c r="N93">
        <v>50.6</v>
      </c>
      <c r="O93">
        <v>69.820000000000007</v>
      </c>
      <c r="P93">
        <v>72.150000000000006</v>
      </c>
      <c r="Q93">
        <v>77.489999999999995</v>
      </c>
      <c r="R93">
        <v>74.75</v>
      </c>
      <c r="S93">
        <v>10</v>
      </c>
      <c r="T93">
        <v>36</v>
      </c>
      <c r="U93">
        <v>76.400000000000006</v>
      </c>
      <c r="V93">
        <v>63.01</v>
      </c>
      <c r="W93">
        <v>71.91</v>
      </c>
      <c r="X93">
        <v>65.81</v>
      </c>
      <c r="Y93">
        <v>0.53500000000000003</v>
      </c>
    </row>
    <row r="94" spans="1:25" x14ac:dyDescent="0.35">
      <c r="A94" t="s">
        <v>98</v>
      </c>
      <c r="B94" t="s">
        <v>104</v>
      </c>
      <c r="C94" t="s">
        <v>592</v>
      </c>
      <c r="D94">
        <v>7.99</v>
      </c>
      <c r="E94">
        <v>7.39</v>
      </c>
      <c r="F94">
        <v>7.7</v>
      </c>
      <c r="G94">
        <v>11.88</v>
      </c>
      <c r="H94">
        <v>12.73</v>
      </c>
      <c r="I94">
        <v>12.21</v>
      </c>
      <c r="J94">
        <v>1.1000000000000001</v>
      </c>
      <c r="K94">
        <v>4.17</v>
      </c>
      <c r="L94">
        <v>2.06</v>
      </c>
      <c r="M94">
        <v>88.69</v>
      </c>
      <c r="N94">
        <v>41.47</v>
      </c>
      <c r="O94">
        <v>65.08</v>
      </c>
      <c r="P94">
        <v>71.89</v>
      </c>
      <c r="Q94">
        <v>76.959999999999994</v>
      </c>
      <c r="R94">
        <v>74.37</v>
      </c>
      <c r="S94">
        <v>20</v>
      </c>
      <c r="T94">
        <v>23.14</v>
      </c>
      <c r="U94">
        <v>72.19</v>
      </c>
      <c r="V94">
        <v>63.59</v>
      </c>
      <c r="W94">
        <v>67.540000000000006</v>
      </c>
      <c r="X94">
        <v>65.099999999999994</v>
      </c>
      <c r="Y94">
        <v>0.55400000000000005</v>
      </c>
    </row>
    <row r="95" spans="1:25" x14ac:dyDescent="0.35">
      <c r="A95" t="s">
        <v>99</v>
      </c>
      <c r="B95" t="s">
        <v>104</v>
      </c>
      <c r="C95" t="s">
        <v>592</v>
      </c>
      <c r="D95">
        <v>8.5299999999999994</v>
      </c>
      <c r="E95">
        <v>8.02</v>
      </c>
      <c r="F95">
        <v>8.32</v>
      </c>
      <c r="G95">
        <v>12.68</v>
      </c>
      <c r="H95">
        <v>13.04</v>
      </c>
      <c r="I95">
        <v>12.68</v>
      </c>
      <c r="J95">
        <v>3.28</v>
      </c>
      <c r="K95">
        <v>3.05</v>
      </c>
      <c r="L95">
        <v>3.2</v>
      </c>
      <c r="M95">
        <v>86.55</v>
      </c>
      <c r="N95">
        <v>47.76</v>
      </c>
      <c r="O95">
        <v>67.155000000000001</v>
      </c>
      <c r="P95">
        <v>71.27</v>
      </c>
      <c r="Q95">
        <v>75.66</v>
      </c>
      <c r="R95">
        <v>73.41</v>
      </c>
      <c r="S95">
        <v>14.29</v>
      </c>
      <c r="T95">
        <v>27.27</v>
      </c>
      <c r="U95">
        <v>73.989999999999995</v>
      </c>
      <c r="V95">
        <v>64.02</v>
      </c>
      <c r="W95">
        <v>69.930000000000007</v>
      </c>
      <c r="X95">
        <v>63.43</v>
      </c>
      <c r="Y95">
        <v>0.58099999999999996</v>
      </c>
    </row>
    <row r="96" spans="1:25" x14ac:dyDescent="0.35">
      <c r="A96" t="s">
        <v>100</v>
      </c>
      <c r="B96" t="s">
        <v>104</v>
      </c>
      <c r="C96" t="s">
        <v>592</v>
      </c>
      <c r="D96">
        <v>8.35</v>
      </c>
      <c r="E96">
        <v>7.87</v>
      </c>
      <c r="F96">
        <v>8.0399999999999991</v>
      </c>
      <c r="G96">
        <v>12.66</v>
      </c>
      <c r="H96">
        <v>13.33</v>
      </c>
      <c r="I96">
        <v>12.93</v>
      </c>
      <c r="J96">
        <v>1.93</v>
      </c>
      <c r="K96">
        <v>3.55</v>
      </c>
      <c r="L96">
        <v>2.5</v>
      </c>
      <c r="M96">
        <v>87.33</v>
      </c>
      <c r="N96">
        <v>50.09</v>
      </c>
      <c r="O96">
        <v>68.710000000000008</v>
      </c>
      <c r="P96">
        <v>71.41</v>
      </c>
      <c r="Q96">
        <v>75.94</v>
      </c>
      <c r="R96">
        <v>73.62</v>
      </c>
      <c r="S96">
        <v>8.57</v>
      </c>
      <c r="T96">
        <v>29.39</v>
      </c>
      <c r="U96">
        <v>75.25</v>
      </c>
      <c r="V96">
        <v>69.13</v>
      </c>
      <c r="W96">
        <v>71.319999999999993</v>
      </c>
      <c r="X96">
        <v>58.35</v>
      </c>
      <c r="Y96">
        <v>0.56899999999999995</v>
      </c>
    </row>
    <row r="97" spans="1:25" x14ac:dyDescent="0.35">
      <c r="A97" t="s">
        <v>101</v>
      </c>
      <c r="B97" t="s">
        <v>104</v>
      </c>
      <c r="C97" t="s">
        <v>592</v>
      </c>
      <c r="D97">
        <v>9.1300000000000008</v>
      </c>
      <c r="E97">
        <v>8.07</v>
      </c>
      <c r="F97">
        <v>8.6</v>
      </c>
      <c r="G97">
        <v>12.67</v>
      </c>
      <c r="H97">
        <v>12.93</v>
      </c>
      <c r="I97">
        <v>12.67</v>
      </c>
      <c r="J97">
        <v>2.93</v>
      </c>
      <c r="K97">
        <v>7.77</v>
      </c>
      <c r="L97">
        <v>4.67</v>
      </c>
      <c r="M97">
        <v>85.79</v>
      </c>
      <c r="N97">
        <v>49.82</v>
      </c>
      <c r="O97">
        <v>67.805000000000007</v>
      </c>
      <c r="P97">
        <v>71.67</v>
      </c>
      <c r="Q97">
        <v>76.48</v>
      </c>
      <c r="R97">
        <v>74.02</v>
      </c>
      <c r="S97">
        <v>14.29</v>
      </c>
      <c r="T97">
        <v>22.91</v>
      </c>
      <c r="U97">
        <v>76.739999999999995</v>
      </c>
      <c r="V97">
        <v>68.260000000000005</v>
      </c>
      <c r="W97">
        <v>71.92</v>
      </c>
      <c r="X97">
        <v>59.34</v>
      </c>
      <c r="Y97">
        <v>0.442</v>
      </c>
    </row>
    <row r="98" spans="1:25" x14ac:dyDescent="0.35">
      <c r="A98" t="s">
        <v>102</v>
      </c>
      <c r="B98" t="s">
        <v>104</v>
      </c>
      <c r="C98" t="s">
        <v>592</v>
      </c>
      <c r="D98">
        <v>11.73</v>
      </c>
      <c r="E98">
        <v>11.29</v>
      </c>
      <c r="F98">
        <v>11.51</v>
      </c>
      <c r="G98">
        <v>15.46</v>
      </c>
      <c r="H98">
        <v>15.71</v>
      </c>
      <c r="I98">
        <v>15.55</v>
      </c>
      <c r="J98">
        <v>4.66</v>
      </c>
      <c r="K98">
        <v>11.68</v>
      </c>
      <c r="L98">
        <v>7.38</v>
      </c>
      <c r="M98">
        <v>81.180000000000007</v>
      </c>
      <c r="N98">
        <v>51.59</v>
      </c>
      <c r="O98">
        <v>66.385000000000005</v>
      </c>
      <c r="P98">
        <v>72.45</v>
      </c>
      <c r="Q98">
        <v>77.930000000000007</v>
      </c>
      <c r="R98">
        <v>75.12</v>
      </c>
      <c r="S98">
        <v>15.56</v>
      </c>
      <c r="T98">
        <v>29.7</v>
      </c>
      <c r="U98">
        <v>84.24</v>
      </c>
      <c r="V98">
        <v>80.180000000000007</v>
      </c>
      <c r="W98">
        <v>81.040000000000006</v>
      </c>
      <c r="X98">
        <v>66.98</v>
      </c>
      <c r="Y98">
        <v>0.35799999999999998</v>
      </c>
    </row>
    <row r="99" spans="1:25" x14ac:dyDescent="0.35">
      <c r="A99" t="s">
        <v>103</v>
      </c>
      <c r="B99" t="s">
        <v>104</v>
      </c>
      <c r="C99" t="s">
        <v>592</v>
      </c>
      <c r="D99">
        <v>11.27</v>
      </c>
      <c r="E99">
        <v>10.33</v>
      </c>
      <c r="F99">
        <v>10.48</v>
      </c>
      <c r="G99">
        <v>15.18</v>
      </c>
      <c r="H99">
        <v>14.84</v>
      </c>
      <c r="I99">
        <v>14.84</v>
      </c>
      <c r="J99">
        <v>4.0199999999999996</v>
      </c>
      <c r="K99">
        <v>4.7</v>
      </c>
      <c r="L99">
        <v>4.3</v>
      </c>
      <c r="M99">
        <v>79.44</v>
      </c>
      <c r="N99">
        <v>53.3</v>
      </c>
      <c r="O99">
        <v>66.37</v>
      </c>
      <c r="P99">
        <v>71.84</v>
      </c>
      <c r="Q99">
        <v>76.849999999999994</v>
      </c>
      <c r="R99">
        <v>74.290000000000006</v>
      </c>
      <c r="S99">
        <v>0</v>
      </c>
      <c r="T99">
        <v>35.49</v>
      </c>
      <c r="U99">
        <v>80.989999999999995</v>
      </c>
      <c r="V99">
        <v>76.7</v>
      </c>
      <c r="W99">
        <v>77.400000000000006</v>
      </c>
      <c r="X99">
        <v>53.62</v>
      </c>
      <c r="Y99">
        <v>0.754</v>
      </c>
    </row>
    <row r="100" spans="1:25" x14ac:dyDescent="0.35">
      <c r="A100" t="s">
        <v>105</v>
      </c>
      <c r="B100" t="s">
        <v>122</v>
      </c>
      <c r="C100" t="s">
        <v>592</v>
      </c>
      <c r="D100">
        <v>8.9700000000000006</v>
      </c>
      <c r="E100">
        <v>8.74</v>
      </c>
      <c r="F100">
        <v>8.86</v>
      </c>
      <c r="G100">
        <v>12.57</v>
      </c>
      <c r="H100">
        <v>13.19</v>
      </c>
      <c r="I100">
        <v>13</v>
      </c>
      <c r="J100">
        <v>4.28</v>
      </c>
      <c r="K100">
        <v>3.69</v>
      </c>
      <c r="L100">
        <v>4.05</v>
      </c>
      <c r="M100">
        <v>84.94</v>
      </c>
      <c r="N100">
        <v>56.98</v>
      </c>
      <c r="O100">
        <v>70.959999999999994</v>
      </c>
      <c r="P100">
        <v>71.39</v>
      </c>
      <c r="Q100">
        <v>75.900000000000006</v>
      </c>
      <c r="R100">
        <v>73.59</v>
      </c>
      <c r="S100">
        <v>2.86</v>
      </c>
      <c r="T100">
        <v>25.04</v>
      </c>
      <c r="U100">
        <v>75.069999999999993</v>
      </c>
      <c r="V100">
        <v>70.89</v>
      </c>
      <c r="W100">
        <v>71.55</v>
      </c>
      <c r="X100">
        <v>46.63</v>
      </c>
      <c r="Y100">
        <v>0.60099999999999998</v>
      </c>
    </row>
    <row r="101" spans="1:25" x14ac:dyDescent="0.35">
      <c r="A101" t="s">
        <v>106</v>
      </c>
      <c r="B101" t="s">
        <v>122</v>
      </c>
      <c r="C101" t="s">
        <v>592</v>
      </c>
      <c r="D101">
        <v>7.51</v>
      </c>
      <c r="E101">
        <v>6.9</v>
      </c>
      <c r="F101">
        <v>7.19</v>
      </c>
      <c r="G101">
        <v>11.57</v>
      </c>
      <c r="H101">
        <v>12.42</v>
      </c>
      <c r="I101">
        <v>11.98</v>
      </c>
      <c r="J101">
        <v>3.04</v>
      </c>
      <c r="K101">
        <v>4.0199999999999996</v>
      </c>
      <c r="L101">
        <v>3.38</v>
      </c>
      <c r="M101">
        <v>88.03</v>
      </c>
      <c r="N101">
        <v>50.5</v>
      </c>
      <c r="O101">
        <v>69.265000000000001</v>
      </c>
      <c r="P101">
        <v>71.81</v>
      </c>
      <c r="Q101">
        <v>76.78</v>
      </c>
      <c r="R101">
        <v>74.23</v>
      </c>
      <c r="S101">
        <v>13.33</v>
      </c>
      <c r="T101">
        <v>25.43</v>
      </c>
      <c r="U101">
        <v>72.959999999999994</v>
      </c>
      <c r="V101">
        <v>67.56</v>
      </c>
      <c r="W101">
        <v>69.33</v>
      </c>
      <c r="X101">
        <v>59.53</v>
      </c>
      <c r="Y101">
        <v>0.54800000000000004</v>
      </c>
    </row>
    <row r="102" spans="1:25" x14ac:dyDescent="0.35">
      <c r="A102" t="s">
        <v>107</v>
      </c>
      <c r="B102" t="s">
        <v>122</v>
      </c>
      <c r="C102" t="s">
        <v>592</v>
      </c>
      <c r="D102">
        <v>8.68</v>
      </c>
      <c r="E102">
        <v>7.72</v>
      </c>
      <c r="F102">
        <v>8.27</v>
      </c>
      <c r="G102">
        <v>11.81</v>
      </c>
      <c r="H102">
        <v>12.22</v>
      </c>
      <c r="I102">
        <v>12.02</v>
      </c>
      <c r="J102">
        <v>3.85</v>
      </c>
      <c r="K102">
        <v>4.47</v>
      </c>
      <c r="L102">
        <v>4.09</v>
      </c>
      <c r="M102">
        <v>86.88</v>
      </c>
      <c r="N102">
        <v>57.73</v>
      </c>
      <c r="O102">
        <v>72.304999999999993</v>
      </c>
      <c r="P102">
        <v>71.98</v>
      </c>
      <c r="Q102">
        <v>77.13</v>
      </c>
      <c r="R102">
        <v>74.489999999999995</v>
      </c>
      <c r="S102">
        <v>15.56</v>
      </c>
      <c r="T102">
        <v>37.5</v>
      </c>
      <c r="U102">
        <v>74.95</v>
      </c>
      <c r="V102">
        <v>67.56</v>
      </c>
      <c r="W102">
        <v>71</v>
      </c>
      <c r="X102">
        <v>69.55</v>
      </c>
      <c r="Y102">
        <v>0.55000000000000004</v>
      </c>
    </row>
    <row r="103" spans="1:25" x14ac:dyDescent="0.35">
      <c r="A103" t="s">
        <v>108</v>
      </c>
      <c r="B103" t="s">
        <v>122</v>
      </c>
      <c r="C103" t="s">
        <v>592</v>
      </c>
      <c r="D103">
        <v>8.94</v>
      </c>
      <c r="E103">
        <v>8.4499999999999993</v>
      </c>
      <c r="F103">
        <v>8.69</v>
      </c>
      <c r="G103">
        <v>12.45</v>
      </c>
      <c r="H103">
        <v>13.03</v>
      </c>
      <c r="I103">
        <v>12.45</v>
      </c>
      <c r="J103">
        <v>2.48</v>
      </c>
      <c r="K103">
        <v>4.05</v>
      </c>
      <c r="L103">
        <v>3.11</v>
      </c>
      <c r="M103">
        <v>85.02</v>
      </c>
      <c r="N103">
        <v>60.39</v>
      </c>
      <c r="O103">
        <v>72.704999999999998</v>
      </c>
      <c r="P103">
        <v>71.38</v>
      </c>
      <c r="Q103">
        <v>75.89</v>
      </c>
      <c r="R103">
        <v>73.58</v>
      </c>
      <c r="S103">
        <v>17.5</v>
      </c>
      <c r="T103">
        <v>37.81</v>
      </c>
      <c r="U103">
        <v>73.08</v>
      </c>
      <c r="V103">
        <v>69.42</v>
      </c>
      <c r="W103">
        <v>69.77</v>
      </c>
      <c r="X103">
        <v>71.790000000000006</v>
      </c>
      <c r="Y103">
        <v>0.49299999999999999</v>
      </c>
    </row>
    <row r="104" spans="1:25" x14ac:dyDescent="0.35">
      <c r="A104" t="s">
        <v>109</v>
      </c>
      <c r="B104" t="s">
        <v>122</v>
      </c>
      <c r="C104" t="s">
        <v>592</v>
      </c>
      <c r="D104">
        <v>7.88</v>
      </c>
      <c r="E104">
        <v>7.42</v>
      </c>
      <c r="F104">
        <v>7.57</v>
      </c>
      <c r="G104">
        <v>12.18</v>
      </c>
      <c r="H104">
        <v>12.4</v>
      </c>
      <c r="I104">
        <v>12.23</v>
      </c>
      <c r="J104">
        <v>1.9</v>
      </c>
      <c r="K104">
        <v>2</v>
      </c>
      <c r="L104">
        <v>1.94</v>
      </c>
      <c r="M104">
        <v>89.56</v>
      </c>
      <c r="N104">
        <v>59.03</v>
      </c>
      <c r="O104">
        <v>74.295000000000002</v>
      </c>
      <c r="P104">
        <v>71.760000000000005</v>
      </c>
      <c r="Q104">
        <v>76.680000000000007</v>
      </c>
      <c r="R104">
        <v>74.16</v>
      </c>
      <c r="S104">
        <v>17.5</v>
      </c>
      <c r="T104">
        <v>26.22</v>
      </c>
      <c r="U104">
        <v>73.349999999999994</v>
      </c>
      <c r="V104">
        <v>63.65</v>
      </c>
      <c r="W104">
        <v>68.95</v>
      </c>
      <c r="X104">
        <v>63.98</v>
      </c>
      <c r="Y104">
        <v>0.51200000000000001</v>
      </c>
    </row>
    <row r="105" spans="1:25" x14ac:dyDescent="0.35">
      <c r="A105" t="s">
        <v>110</v>
      </c>
      <c r="B105" t="s">
        <v>122</v>
      </c>
      <c r="C105" t="s">
        <v>592</v>
      </c>
      <c r="D105">
        <v>8.2100000000000009</v>
      </c>
      <c r="E105">
        <v>7.62</v>
      </c>
      <c r="F105">
        <v>7.95</v>
      </c>
      <c r="G105">
        <v>12.33</v>
      </c>
      <c r="H105">
        <v>12.37</v>
      </c>
      <c r="I105">
        <v>12.33</v>
      </c>
      <c r="J105">
        <v>1.58</v>
      </c>
      <c r="K105">
        <v>3.08</v>
      </c>
      <c r="L105">
        <v>2.13</v>
      </c>
      <c r="M105">
        <v>86.04</v>
      </c>
      <c r="N105">
        <v>52.71</v>
      </c>
      <c r="O105">
        <v>69.375</v>
      </c>
      <c r="P105">
        <v>71.930000000000007</v>
      </c>
      <c r="Q105">
        <v>77.03</v>
      </c>
      <c r="R105">
        <v>74.42</v>
      </c>
      <c r="S105">
        <v>11.11</v>
      </c>
      <c r="T105">
        <v>34.81</v>
      </c>
      <c r="U105">
        <v>74.62</v>
      </c>
      <c r="V105">
        <v>62.52</v>
      </c>
      <c r="W105">
        <v>70.12</v>
      </c>
      <c r="X105">
        <v>65.650000000000006</v>
      </c>
      <c r="Y105">
        <v>0.54</v>
      </c>
    </row>
    <row r="106" spans="1:25" x14ac:dyDescent="0.35">
      <c r="A106" t="s">
        <v>111</v>
      </c>
      <c r="B106" t="s">
        <v>122</v>
      </c>
      <c r="C106" t="s">
        <v>592</v>
      </c>
      <c r="D106">
        <v>7.93</v>
      </c>
      <c r="E106">
        <v>7.13</v>
      </c>
      <c r="F106">
        <v>7.48</v>
      </c>
      <c r="G106">
        <v>11.97</v>
      </c>
      <c r="H106">
        <v>12.78</v>
      </c>
      <c r="I106">
        <v>12.34</v>
      </c>
      <c r="J106">
        <v>1.39</v>
      </c>
      <c r="K106">
        <v>7.31</v>
      </c>
      <c r="L106">
        <v>3.24</v>
      </c>
      <c r="M106">
        <v>87.78</v>
      </c>
      <c r="N106">
        <v>41.94</v>
      </c>
      <c r="O106">
        <v>64.86</v>
      </c>
      <c r="P106">
        <v>71.959999999999994</v>
      </c>
      <c r="Q106">
        <v>77.11</v>
      </c>
      <c r="R106">
        <v>74.47</v>
      </c>
      <c r="S106">
        <v>13.33</v>
      </c>
      <c r="T106">
        <v>30.16</v>
      </c>
      <c r="U106">
        <v>73.489999999999995</v>
      </c>
      <c r="V106">
        <v>66.069999999999993</v>
      </c>
      <c r="W106">
        <v>69.510000000000005</v>
      </c>
      <c r="X106">
        <v>63.76</v>
      </c>
      <c r="Y106">
        <v>0.57399999999999995</v>
      </c>
    </row>
    <row r="107" spans="1:25" x14ac:dyDescent="0.35">
      <c r="A107" t="s">
        <v>112</v>
      </c>
      <c r="B107" t="s">
        <v>122</v>
      </c>
      <c r="C107" t="s">
        <v>592</v>
      </c>
      <c r="D107">
        <v>8.49</v>
      </c>
      <c r="E107">
        <v>8.07</v>
      </c>
      <c r="F107">
        <v>8.25</v>
      </c>
      <c r="G107">
        <v>11.81</v>
      </c>
      <c r="H107">
        <v>12.2</v>
      </c>
      <c r="I107">
        <v>11.82</v>
      </c>
      <c r="J107">
        <v>1.01</v>
      </c>
      <c r="K107">
        <v>2.98</v>
      </c>
      <c r="L107">
        <v>1.8</v>
      </c>
      <c r="M107">
        <v>92.37</v>
      </c>
      <c r="N107">
        <v>66.58</v>
      </c>
      <c r="O107">
        <v>79.474999999999994</v>
      </c>
      <c r="P107">
        <v>71.290000000000006</v>
      </c>
      <c r="Q107">
        <v>75.69</v>
      </c>
      <c r="R107">
        <v>73.44</v>
      </c>
      <c r="S107">
        <v>12.82</v>
      </c>
      <c r="T107">
        <v>23.69</v>
      </c>
      <c r="U107">
        <v>71.459999999999994</v>
      </c>
      <c r="V107">
        <v>66.05</v>
      </c>
      <c r="W107">
        <v>67.650000000000006</v>
      </c>
      <c r="X107">
        <v>58.28</v>
      </c>
      <c r="Y107">
        <v>0.56999999999999995</v>
      </c>
    </row>
    <row r="108" spans="1:25" x14ac:dyDescent="0.35">
      <c r="A108" t="s">
        <v>113</v>
      </c>
      <c r="B108" t="s">
        <v>122</v>
      </c>
      <c r="C108" t="s">
        <v>592</v>
      </c>
      <c r="D108">
        <v>8.2200000000000006</v>
      </c>
      <c r="E108">
        <v>7.72</v>
      </c>
      <c r="F108">
        <v>8.08</v>
      </c>
      <c r="G108">
        <v>12.44</v>
      </c>
      <c r="H108">
        <v>12.62</v>
      </c>
      <c r="I108">
        <v>12.49</v>
      </c>
      <c r="J108">
        <v>3.37</v>
      </c>
      <c r="K108">
        <v>3.56</v>
      </c>
      <c r="L108">
        <v>3.45</v>
      </c>
      <c r="M108">
        <v>89.67</v>
      </c>
      <c r="N108">
        <v>63.99</v>
      </c>
      <c r="O108">
        <v>76.83</v>
      </c>
      <c r="P108">
        <v>71.98</v>
      </c>
      <c r="Q108">
        <v>77.150000000000006</v>
      </c>
      <c r="R108">
        <v>74.510000000000005</v>
      </c>
      <c r="S108">
        <v>15.56</v>
      </c>
      <c r="T108">
        <v>28.85</v>
      </c>
      <c r="U108">
        <v>74.53</v>
      </c>
      <c r="V108">
        <v>70.680000000000007</v>
      </c>
      <c r="W108">
        <v>71.55</v>
      </c>
      <c r="X108">
        <v>65.599999999999994</v>
      </c>
      <c r="Y108">
        <v>0.44500000000000001</v>
      </c>
    </row>
    <row r="109" spans="1:25" x14ac:dyDescent="0.35">
      <c r="A109" t="s">
        <v>114</v>
      </c>
      <c r="B109" t="s">
        <v>122</v>
      </c>
      <c r="C109" t="s">
        <v>592</v>
      </c>
      <c r="D109">
        <v>8.4</v>
      </c>
      <c r="E109">
        <v>7.88</v>
      </c>
      <c r="F109">
        <v>8.09</v>
      </c>
      <c r="G109">
        <v>12.38</v>
      </c>
      <c r="H109">
        <v>12.59</v>
      </c>
      <c r="I109">
        <v>12.42</v>
      </c>
      <c r="J109">
        <v>2.63</v>
      </c>
      <c r="K109">
        <v>2.69</v>
      </c>
      <c r="L109">
        <v>2.65</v>
      </c>
      <c r="M109">
        <v>88.71</v>
      </c>
      <c r="N109">
        <v>67.11</v>
      </c>
      <c r="O109">
        <v>77.91</v>
      </c>
      <c r="P109">
        <v>71.290000000000006</v>
      </c>
      <c r="Q109">
        <v>75.680000000000007</v>
      </c>
      <c r="R109">
        <v>73.430000000000007</v>
      </c>
      <c r="S109">
        <v>12.5</v>
      </c>
      <c r="T109">
        <v>28.09</v>
      </c>
      <c r="U109">
        <v>70.040000000000006</v>
      </c>
      <c r="V109">
        <v>69.260000000000005</v>
      </c>
      <c r="W109">
        <v>69.400000000000006</v>
      </c>
      <c r="X109">
        <v>60.91</v>
      </c>
      <c r="Y109">
        <v>0.501</v>
      </c>
    </row>
    <row r="110" spans="1:25" x14ac:dyDescent="0.35">
      <c r="A110" t="s">
        <v>115</v>
      </c>
      <c r="B110" t="s">
        <v>122</v>
      </c>
      <c r="C110" t="s">
        <v>592</v>
      </c>
      <c r="D110">
        <v>8.19</v>
      </c>
      <c r="E110">
        <v>7.53</v>
      </c>
      <c r="F110">
        <v>7.68</v>
      </c>
      <c r="G110">
        <v>11.86</v>
      </c>
      <c r="H110">
        <v>12.56</v>
      </c>
      <c r="I110">
        <v>12.11</v>
      </c>
      <c r="J110">
        <v>3.42</v>
      </c>
      <c r="K110">
        <v>2.08</v>
      </c>
      <c r="L110">
        <v>2.84</v>
      </c>
      <c r="M110">
        <v>85.96</v>
      </c>
      <c r="N110">
        <v>69.56</v>
      </c>
      <c r="O110">
        <v>77.759999999999991</v>
      </c>
      <c r="P110">
        <v>69</v>
      </c>
      <c r="Q110">
        <v>72.95</v>
      </c>
      <c r="R110">
        <v>70.930000000000007</v>
      </c>
      <c r="S110">
        <v>22.86</v>
      </c>
      <c r="T110">
        <v>34.25</v>
      </c>
      <c r="U110">
        <v>71.02</v>
      </c>
      <c r="V110">
        <v>66.61</v>
      </c>
      <c r="W110">
        <v>67.25</v>
      </c>
      <c r="X110">
        <v>72.489999999999995</v>
      </c>
      <c r="Y110">
        <v>0.50700000000000001</v>
      </c>
    </row>
    <row r="111" spans="1:25" x14ac:dyDescent="0.35">
      <c r="A111" t="s">
        <v>116</v>
      </c>
      <c r="B111" t="s">
        <v>122</v>
      </c>
      <c r="C111" t="s">
        <v>592</v>
      </c>
      <c r="D111">
        <v>7.79</v>
      </c>
      <c r="E111">
        <v>6.87</v>
      </c>
      <c r="F111">
        <v>7.27</v>
      </c>
      <c r="G111">
        <v>11.56</v>
      </c>
      <c r="H111">
        <v>12.64</v>
      </c>
      <c r="I111">
        <v>12.5</v>
      </c>
      <c r="J111">
        <v>4.24</v>
      </c>
      <c r="K111">
        <v>3.04</v>
      </c>
      <c r="L111">
        <v>3.72</v>
      </c>
      <c r="M111">
        <v>88.09</v>
      </c>
      <c r="N111">
        <v>69.849999999999994</v>
      </c>
      <c r="O111">
        <v>78.97</v>
      </c>
      <c r="P111">
        <v>71.67</v>
      </c>
      <c r="Q111">
        <v>76.489999999999995</v>
      </c>
      <c r="R111">
        <v>74.02</v>
      </c>
      <c r="S111">
        <v>0</v>
      </c>
      <c r="T111">
        <v>38.99</v>
      </c>
      <c r="U111">
        <v>70.489999999999995</v>
      </c>
      <c r="V111">
        <v>66</v>
      </c>
      <c r="W111">
        <v>67.48</v>
      </c>
      <c r="X111">
        <v>52.27</v>
      </c>
      <c r="Y111">
        <v>0.85</v>
      </c>
    </row>
    <row r="112" spans="1:25" x14ac:dyDescent="0.35">
      <c r="A112" t="s">
        <v>117</v>
      </c>
      <c r="B112" t="s">
        <v>122</v>
      </c>
      <c r="C112" t="s">
        <v>592</v>
      </c>
      <c r="D112">
        <v>8.0399999999999991</v>
      </c>
      <c r="E112">
        <v>7.05</v>
      </c>
      <c r="F112">
        <v>7.51</v>
      </c>
      <c r="G112">
        <v>11.9</v>
      </c>
      <c r="H112">
        <v>12.44</v>
      </c>
      <c r="I112">
        <v>11.9</v>
      </c>
      <c r="J112">
        <v>4.29</v>
      </c>
      <c r="K112">
        <v>5.88</v>
      </c>
      <c r="L112">
        <v>4.91</v>
      </c>
      <c r="M112">
        <v>83.99</v>
      </c>
      <c r="N112">
        <v>55.97</v>
      </c>
      <c r="O112">
        <v>69.97999999999999</v>
      </c>
      <c r="P112">
        <v>71.11</v>
      </c>
      <c r="Q112">
        <v>75.319999999999993</v>
      </c>
      <c r="R112">
        <v>73.17</v>
      </c>
      <c r="S112">
        <v>0</v>
      </c>
      <c r="T112">
        <v>25.8</v>
      </c>
      <c r="U112">
        <v>71.760000000000005</v>
      </c>
      <c r="V112">
        <v>66.53</v>
      </c>
      <c r="W112">
        <v>67.400000000000006</v>
      </c>
      <c r="X112">
        <v>43.2</v>
      </c>
      <c r="Y112">
        <v>0.83799999999999997</v>
      </c>
    </row>
    <row r="113" spans="1:25" x14ac:dyDescent="0.35">
      <c r="A113" t="s">
        <v>118</v>
      </c>
      <c r="B113" t="s">
        <v>122</v>
      </c>
      <c r="C113" t="s">
        <v>592</v>
      </c>
      <c r="D113">
        <v>11.08</v>
      </c>
      <c r="E113">
        <v>10.77</v>
      </c>
      <c r="F113">
        <v>10.93</v>
      </c>
      <c r="G113">
        <v>14.5</v>
      </c>
      <c r="H113">
        <v>14.34</v>
      </c>
      <c r="I113">
        <v>14.46</v>
      </c>
      <c r="J113">
        <v>8.09</v>
      </c>
      <c r="K113">
        <v>5.1100000000000003</v>
      </c>
      <c r="L113">
        <v>6.98</v>
      </c>
      <c r="M113">
        <v>79.03</v>
      </c>
      <c r="N113">
        <v>46.24</v>
      </c>
      <c r="O113">
        <v>62.635000000000005</v>
      </c>
      <c r="P113">
        <v>72.98</v>
      </c>
      <c r="Q113">
        <v>78.7</v>
      </c>
      <c r="R113">
        <v>75.77</v>
      </c>
      <c r="S113">
        <v>8</v>
      </c>
      <c r="T113">
        <v>30.06</v>
      </c>
      <c r="U113">
        <v>82.43</v>
      </c>
      <c r="V113">
        <v>79.66</v>
      </c>
      <c r="W113">
        <v>80.569999999999993</v>
      </c>
      <c r="X113">
        <v>58.53</v>
      </c>
      <c r="Y113">
        <v>0.26800000000000002</v>
      </c>
    </row>
    <row r="114" spans="1:25" x14ac:dyDescent="0.35">
      <c r="A114" t="s">
        <v>119</v>
      </c>
      <c r="B114" t="s">
        <v>122</v>
      </c>
      <c r="C114" t="s">
        <v>592</v>
      </c>
      <c r="D114">
        <v>10.65</v>
      </c>
      <c r="E114">
        <v>10.029999999999999</v>
      </c>
      <c r="F114">
        <v>10.36</v>
      </c>
      <c r="G114">
        <v>13.19</v>
      </c>
      <c r="H114">
        <v>13.99</v>
      </c>
      <c r="I114">
        <v>13.41</v>
      </c>
      <c r="J114">
        <v>5.14</v>
      </c>
      <c r="K114">
        <v>4.67</v>
      </c>
      <c r="L114">
        <v>4.9400000000000004</v>
      </c>
      <c r="M114">
        <v>82.64</v>
      </c>
      <c r="N114">
        <v>58.38</v>
      </c>
      <c r="O114">
        <v>70.510000000000005</v>
      </c>
      <c r="P114">
        <v>72.239999999999995</v>
      </c>
      <c r="Q114">
        <v>77.64</v>
      </c>
      <c r="R114">
        <v>74.87</v>
      </c>
      <c r="S114">
        <v>26.67</v>
      </c>
      <c r="T114">
        <v>24.97</v>
      </c>
      <c r="U114">
        <v>81.09</v>
      </c>
      <c r="V114">
        <v>76.3</v>
      </c>
      <c r="W114">
        <v>77.08</v>
      </c>
      <c r="X114">
        <v>67.94</v>
      </c>
      <c r="Y114">
        <v>0.16300000000000001</v>
      </c>
    </row>
    <row r="115" spans="1:25" x14ac:dyDescent="0.35">
      <c r="A115" t="s">
        <v>120</v>
      </c>
      <c r="B115" t="s">
        <v>122</v>
      </c>
      <c r="C115" t="s">
        <v>592</v>
      </c>
      <c r="D115">
        <v>9.58</v>
      </c>
      <c r="E115">
        <v>9.3800000000000008</v>
      </c>
      <c r="F115">
        <v>9.44</v>
      </c>
      <c r="G115">
        <v>13.28</v>
      </c>
      <c r="H115">
        <v>13.99</v>
      </c>
      <c r="I115">
        <v>13.5</v>
      </c>
      <c r="J115">
        <v>2.1800000000000002</v>
      </c>
      <c r="K115">
        <v>2.5499999999999998</v>
      </c>
      <c r="L115">
        <v>2.34</v>
      </c>
      <c r="M115">
        <v>88.35</v>
      </c>
      <c r="N115">
        <v>67.430000000000007</v>
      </c>
      <c r="O115">
        <v>77.89</v>
      </c>
      <c r="P115">
        <v>71.58</v>
      </c>
      <c r="Q115">
        <v>76.3</v>
      </c>
      <c r="R115">
        <v>73.88</v>
      </c>
      <c r="S115">
        <v>17.39</v>
      </c>
      <c r="T115">
        <v>22.14</v>
      </c>
      <c r="U115">
        <v>74.17</v>
      </c>
      <c r="V115">
        <v>70.55</v>
      </c>
      <c r="W115">
        <v>71.19</v>
      </c>
      <c r="X115">
        <v>58.64</v>
      </c>
      <c r="Y115">
        <v>0.436</v>
      </c>
    </row>
    <row r="116" spans="1:25" x14ac:dyDescent="0.35">
      <c r="A116" t="s">
        <v>121</v>
      </c>
      <c r="B116" t="s">
        <v>122</v>
      </c>
      <c r="C116" t="s">
        <v>592</v>
      </c>
      <c r="D116">
        <v>10.32</v>
      </c>
      <c r="E116">
        <v>9.69</v>
      </c>
      <c r="F116">
        <v>9.94</v>
      </c>
      <c r="G116">
        <v>13.55</v>
      </c>
      <c r="H116">
        <v>14.31</v>
      </c>
      <c r="I116">
        <v>13.69</v>
      </c>
      <c r="J116">
        <v>6.35</v>
      </c>
      <c r="K116">
        <v>3.84</v>
      </c>
      <c r="L116">
        <v>5.29</v>
      </c>
      <c r="M116">
        <v>82.51</v>
      </c>
      <c r="N116">
        <v>59.92</v>
      </c>
      <c r="O116">
        <v>71.215000000000003</v>
      </c>
      <c r="P116">
        <v>72.319999999999993</v>
      </c>
      <c r="Q116">
        <v>77.75</v>
      </c>
      <c r="R116">
        <v>74.97</v>
      </c>
      <c r="S116">
        <v>30</v>
      </c>
      <c r="T116">
        <v>27.35</v>
      </c>
      <c r="U116">
        <v>80.150000000000006</v>
      </c>
      <c r="V116">
        <v>76.36</v>
      </c>
      <c r="W116">
        <v>76.819999999999993</v>
      </c>
      <c r="X116">
        <v>73.09</v>
      </c>
      <c r="Y116">
        <v>0.29399999999999998</v>
      </c>
    </row>
    <row r="117" spans="1:25" x14ac:dyDescent="0.35">
      <c r="A117" t="s">
        <v>124</v>
      </c>
      <c r="B117" t="s">
        <v>123</v>
      </c>
      <c r="C117" t="s">
        <v>592</v>
      </c>
      <c r="D117">
        <v>9.74</v>
      </c>
      <c r="E117">
        <v>9.1999999999999993</v>
      </c>
      <c r="F117">
        <v>9.42</v>
      </c>
      <c r="G117">
        <v>13.66</v>
      </c>
      <c r="H117">
        <v>14.22</v>
      </c>
      <c r="I117">
        <v>13.66</v>
      </c>
      <c r="J117">
        <v>3.64</v>
      </c>
      <c r="K117">
        <v>2.7</v>
      </c>
      <c r="L117">
        <v>3.25</v>
      </c>
      <c r="M117">
        <v>86.53</v>
      </c>
      <c r="N117">
        <v>61.98</v>
      </c>
      <c r="O117">
        <v>74.254999999999995</v>
      </c>
      <c r="P117">
        <v>71.040000000000006</v>
      </c>
      <c r="Q117">
        <v>75.16</v>
      </c>
      <c r="R117">
        <v>73.05</v>
      </c>
      <c r="S117">
        <v>4</v>
      </c>
      <c r="T117">
        <v>41.46</v>
      </c>
      <c r="U117">
        <v>75.92</v>
      </c>
      <c r="V117">
        <v>71.94</v>
      </c>
      <c r="W117">
        <v>72.349999999999994</v>
      </c>
      <c r="X117">
        <v>60.92</v>
      </c>
      <c r="Y117">
        <v>0.316</v>
      </c>
    </row>
    <row r="118" spans="1:25" x14ac:dyDescent="0.35">
      <c r="A118" t="s">
        <v>125</v>
      </c>
      <c r="B118" t="s">
        <v>123</v>
      </c>
      <c r="C118" t="s">
        <v>592</v>
      </c>
      <c r="D118">
        <v>8.99</v>
      </c>
      <c r="E118">
        <v>8.69</v>
      </c>
      <c r="F118">
        <v>8.81</v>
      </c>
      <c r="G118">
        <v>13.87</v>
      </c>
      <c r="H118">
        <v>14.55</v>
      </c>
      <c r="I118">
        <v>14.2</v>
      </c>
      <c r="J118">
        <v>2.74</v>
      </c>
      <c r="K118">
        <v>2</v>
      </c>
      <c r="L118">
        <v>2.4300000000000002</v>
      </c>
      <c r="M118">
        <v>85.73</v>
      </c>
      <c r="N118">
        <v>63.72</v>
      </c>
      <c r="O118">
        <v>74.724999999999994</v>
      </c>
      <c r="P118">
        <v>71.569999999999993</v>
      </c>
      <c r="Q118">
        <v>76.290000000000006</v>
      </c>
      <c r="R118">
        <v>73.87</v>
      </c>
      <c r="S118">
        <v>20</v>
      </c>
      <c r="T118">
        <v>25.5</v>
      </c>
      <c r="U118">
        <v>76.16</v>
      </c>
      <c r="V118">
        <v>71.83</v>
      </c>
      <c r="W118">
        <v>72.92</v>
      </c>
      <c r="X118">
        <v>64.53</v>
      </c>
      <c r="Y118">
        <v>0.39200000000000002</v>
      </c>
    </row>
    <row r="119" spans="1:25" x14ac:dyDescent="0.35">
      <c r="A119" t="s">
        <v>126</v>
      </c>
      <c r="B119" t="s">
        <v>123</v>
      </c>
      <c r="C119" t="s">
        <v>592</v>
      </c>
      <c r="D119">
        <v>8.74</v>
      </c>
      <c r="E119">
        <v>7.94</v>
      </c>
      <c r="F119">
        <v>8.32</v>
      </c>
      <c r="G119">
        <v>12.65</v>
      </c>
      <c r="H119">
        <v>13.32</v>
      </c>
      <c r="I119">
        <v>12.92</v>
      </c>
      <c r="J119">
        <v>2.82</v>
      </c>
      <c r="K119">
        <v>2.99</v>
      </c>
      <c r="L119">
        <v>2.89</v>
      </c>
      <c r="M119">
        <v>86.86</v>
      </c>
      <c r="N119">
        <v>56.21</v>
      </c>
      <c r="O119">
        <v>71.534999999999997</v>
      </c>
      <c r="P119">
        <v>71.16</v>
      </c>
      <c r="Q119">
        <v>75.41</v>
      </c>
      <c r="R119">
        <v>73.23</v>
      </c>
      <c r="S119">
        <v>3.33</v>
      </c>
      <c r="T119">
        <v>38.65</v>
      </c>
      <c r="U119">
        <v>75.069999999999993</v>
      </c>
      <c r="V119">
        <v>68.760000000000005</v>
      </c>
      <c r="W119">
        <v>71.11</v>
      </c>
      <c r="X119">
        <v>59.07</v>
      </c>
      <c r="Y119">
        <v>0.47699999999999998</v>
      </c>
    </row>
    <row r="120" spans="1:25" x14ac:dyDescent="0.35">
      <c r="A120" t="s">
        <v>127</v>
      </c>
      <c r="B120" t="s">
        <v>123</v>
      </c>
      <c r="C120" t="s">
        <v>592</v>
      </c>
      <c r="D120">
        <v>9.11</v>
      </c>
      <c r="E120">
        <v>8.2100000000000009</v>
      </c>
      <c r="F120">
        <v>8.4700000000000006</v>
      </c>
      <c r="G120">
        <v>13.35</v>
      </c>
      <c r="H120">
        <v>13.15</v>
      </c>
      <c r="I120">
        <v>13.15</v>
      </c>
      <c r="J120">
        <v>3.95</v>
      </c>
      <c r="K120">
        <v>3.34</v>
      </c>
      <c r="L120">
        <v>3.71</v>
      </c>
      <c r="M120">
        <v>85.89</v>
      </c>
      <c r="N120">
        <v>56.42</v>
      </c>
      <c r="O120">
        <v>71.155000000000001</v>
      </c>
      <c r="P120">
        <v>70.989999999999995</v>
      </c>
      <c r="Q120">
        <v>75.06</v>
      </c>
      <c r="R120">
        <v>72.97</v>
      </c>
      <c r="S120">
        <v>16</v>
      </c>
      <c r="T120">
        <v>38.6</v>
      </c>
      <c r="U120">
        <v>73.77</v>
      </c>
      <c r="V120">
        <v>64.7</v>
      </c>
      <c r="W120">
        <v>68.98</v>
      </c>
      <c r="X120">
        <v>71.16</v>
      </c>
      <c r="Y120">
        <v>0.47799999999999998</v>
      </c>
    </row>
    <row r="121" spans="1:25" x14ac:dyDescent="0.35">
      <c r="A121" t="s">
        <v>128</v>
      </c>
      <c r="B121" t="s">
        <v>123</v>
      </c>
      <c r="C121" t="s">
        <v>592</v>
      </c>
      <c r="D121">
        <v>8.56</v>
      </c>
      <c r="E121">
        <v>7.7</v>
      </c>
      <c r="F121">
        <v>8.14</v>
      </c>
      <c r="G121">
        <v>13.29</v>
      </c>
      <c r="H121">
        <v>13.66</v>
      </c>
      <c r="I121">
        <v>13.33</v>
      </c>
      <c r="J121">
        <v>1.55</v>
      </c>
      <c r="K121">
        <v>3.76</v>
      </c>
      <c r="L121">
        <v>2.38</v>
      </c>
      <c r="M121">
        <v>89.18</v>
      </c>
      <c r="N121">
        <v>56.69</v>
      </c>
      <c r="O121">
        <v>72.935000000000002</v>
      </c>
      <c r="P121">
        <v>70.930000000000007</v>
      </c>
      <c r="Q121">
        <v>74.97</v>
      </c>
      <c r="R121">
        <v>72.900000000000006</v>
      </c>
      <c r="S121">
        <v>13.33</v>
      </c>
      <c r="T121">
        <v>35.42</v>
      </c>
      <c r="U121">
        <v>73.849999999999994</v>
      </c>
      <c r="V121">
        <v>63.81</v>
      </c>
      <c r="W121">
        <v>68.97</v>
      </c>
      <c r="X121">
        <v>66.86</v>
      </c>
      <c r="Y121">
        <v>0.49299999999999999</v>
      </c>
    </row>
    <row r="122" spans="1:25" x14ac:dyDescent="0.35">
      <c r="A122" t="s">
        <v>129</v>
      </c>
      <c r="B122" t="s">
        <v>123</v>
      </c>
      <c r="C122" t="s">
        <v>592</v>
      </c>
      <c r="D122">
        <v>8.94</v>
      </c>
      <c r="E122">
        <v>8.16</v>
      </c>
      <c r="F122">
        <v>8.57</v>
      </c>
      <c r="G122">
        <v>12.8</v>
      </c>
      <c r="H122">
        <v>13.1</v>
      </c>
      <c r="I122">
        <v>12.87</v>
      </c>
      <c r="J122">
        <v>1.73</v>
      </c>
      <c r="K122">
        <v>3.77</v>
      </c>
      <c r="L122">
        <v>2.41</v>
      </c>
      <c r="M122">
        <v>85.79</v>
      </c>
      <c r="N122">
        <v>45.95</v>
      </c>
      <c r="O122">
        <v>65.87</v>
      </c>
      <c r="P122">
        <v>71.62</v>
      </c>
      <c r="Q122">
        <v>76.39</v>
      </c>
      <c r="R122">
        <v>73.95</v>
      </c>
      <c r="S122">
        <v>0</v>
      </c>
      <c r="T122">
        <v>32.93</v>
      </c>
      <c r="U122">
        <v>75.36</v>
      </c>
      <c r="V122">
        <v>64.14</v>
      </c>
      <c r="W122">
        <v>70.63</v>
      </c>
      <c r="X122">
        <v>51.17</v>
      </c>
      <c r="Y122">
        <v>0.76800000000000002</v>
      </c>
    </row>
    <row r="123" spans="1:25" x14ac:dyDescent="0.35">
      <c r="A123" t="s">
        <v>130</v>
      </c>
      <c r="B123" t="s">
        <v>123</v>
      </c>
      <c r="C123" t="s">
        <v>592</v>
      </c>
      <c r="D123">
        <v>8.73</v>
      </c>
      <c r="E123">
        <v>8.25</v>
      </c>
      <c r="F123">
        <v>8.41</v>
      </c>
      <c r="G123">
        <v>12.6</v>
      </c>
      <c r="H123">
        <v>13.16</v>
      </c>
      <c r="I123">
        <v>12.91</v>
      </c>
      <c r="J123">
        <v>1.81</v>
      </c>
      <c r="K123">
        <v>3.79</v>
      </c>
      <c r="L123">
        <v>2.5499999999999998</v>
      </c>
      <c r="M123">
        <v>87.7</v>
      </c>
      <c r="N123">
        <v>54.66</v>
      </c>
      <c r="O123">
        <v>71.180000000000007</v>
      </c>
      <c r="P123">
        <v>70.84</v>
      </c>
      <c r="Q123">
        <v>74.88</v>
      </c>
      <c r="R123">
        <v>72.81</v>
      </c>
      <c r="S123">
        <v>28</v>
      </c>
      <c r="T123">
        <v>38.76</v>
      </c>
      <c r="U123">
        <v>73.37</v>
      </c>
      <c r="V123">
        <v>67.569999999999993</v>
      </c>
      <c r="W123">
        <v>69.27</v>
      </c>
      <c r="X123">
        <v>80.459999999999994</v>
      </c>
      <c r="Y123">
        <v>0.432</v>
      </c>
    </row>
    <row r="124" spans="1:25" x14ac:dyDescent="0.35">
      <c r="A124" t="s">
        <v>131</v>
      </c>
      <c r="B124" t="s">
        <v>123</v>
      </c>
      <c r="C124" t="s">
        <v>592</v>
      </c>
      <c r="D124">
        <v>8.73</v>
      </c>
      <c r="E124">
        <v>8.1300000000000008</v>
      </c>
      <c r="F124">
        <v>8.3699999999999992</v>
      </c>
      <c r="G124">
        <v>13.04</v>
      </c>
      <c r="H124">
        <v>14.03</v>
      </c>
      <c r="I124">
        <v>13.16</v>
      </c>
      <c r="J124">
        <v>1.98</v>
      </c>
      <c r="K124">
        <v>2.93</v>
      </c>
      <c r="L124">
        <v>2.37</v>
      </c>
      <c r="M124">
        <v>86.84</v>
      </c>
      <c r="N124">
        <v>65.56</v>
      </c>
      <c r="O124">
        <v>76.2</v>
      </c>
      <c r="P124">
        <v>70.45</v>
      </c>
      <c r="Q124">
        <v>74.459999999999994</v>
      </c>
      <c r="R124">
        <v>72.41</v>
      </c>
      <c r="S124">
        <v>4</v>
      </c>
      <c r="T124">
        <v>34.97</v>
      </c>
      <c r="U124">
        <v>73.010000000000005</v>
      </c>
      <c r="V124">
        <v>70.150000000000006</v>
      </c>
      <c r="W124">
        <v>70.27</v>
      </c>
      <c r="X124">
        <v>55.37</v>
      </c>
      <c r="Y124">
        <v>0.48899999999999999</v>
      </c>
    </row>
    <row r="125" spans="1:25" x14ac:dyDescent="0.35">
      <c r="A125" t="s">
        <v>132</v>
      </c>
      <c r="B125" t="s">
        <v>123</v>
      </c>
      <c r="C125" t="s">
        <v>592</v>
      </c>
      <c r="D125">
        <v>8.2899999999999991</v>
      </c>
      <c r="E125">
        <v>7.12</v>
      </c>
      <c r="F125">
        <v>7.71</v>
      </c>
      <c r="G125">
        <v>13.4</v>
      </c>
      <c r="H125">
        <v>13.56</v>
      </c>
      <c r="I125">
        <v>13.47</v>
      </c>
      <c r="J125">
        <v>1.81</v>
      </c>
      <c r="K125">
        <v>3.92</v>
      </c>
      <c r="L125">
        <v>2.56</v>
      </c>
      <c r="M125">
        <v>86.52</v>
      </c>
      <c r="N125">
        <v>50.39</v>
      </c>
      <c r="O125">
        <v>68.454999999999998</v>
      </c>
      <c r="P125">
        <v>70.599999999999994</v>
      </c>
      <c r="Q125">
        <v>74.62</v>
      </c>
      <c r="R125">
        <v>72.56</v>
      </c>
      <c r="S125">
        <v>20</v>
      </c>
      <c r="T125">
        <v>42.23</v>
      </c>
      <c r="U125">
        <v>74.400000000000006</v>
      </c>
      <c r="V125">
        <v>65.05</v>
      </c>
      <c r="W125">
        <v>69.84</v>
      </c>
      <c r="X125">
        <v>75.3</v>
      </c>
      <c r="Y125">
        <v>0.48299999999999998</v>
      </c>
    </row>
    <row r="126" spans="1:25" x14ac:dyDescent="0.35">
      <c r="A126" t="s">
        <v>133</v>
      </c>
      <c r="B126" t="s">
        <v>123</v>
      </c>
      <c r="C126" t="s">
        <v>592</v>
      </c>
      <c r="D126">
        <v>12.13</v>
      </c>
      <c r="E126">
        <v>11.84</v>
      </c>
      <c r="F126">
        <v>11.84</v>
      </c>
      <c r="G126">
        <v>16.05</v>
      </c>
      <c r="H126">
        <v>16.48</v>
      </c>
      <c r="I126">
        <v>16.07</v>
      </c>
      <c r="J126">
        <v>5.23</v>
      </c>
      <c r="K126">
        <v>4.6900000000000004</v>
      </c>
      <c r="L126">
        <v>5</v>
      </c>
      <c r="M126">
        <v>77.73</v>
      </c>
      <c r="N126">
        <v>59.29</v>
      </c>
      <c r="O126">
        <v>68.510000000000005</v>
      </c>
      <c r="P126">
        <v>72.11</v>
      </c>
      <c r="Q126">
        <v>77.41</v>
      </c>
      <c r="R126">
        <v>74.69</v>
      </c>
      <c r="S126">
        <v>22.86</v>
      </c>
      <c r="T126">
        <v>33.880000000000003</v>
      </c>
      <c r="U126">
        <v>84.69</v>
      </c>
      <c r="V126">
        <v>81.41</v>
      </c>
      <c r="W126">
        <v>82.04</v>
      </c>
      <c r="X126">
        <v>76</v>
      </c>
      <c r="Y126">
        <v>0.159</v>
      </c>
    </row>
    <row r="127" spans="1:25" x14ac:dyDescent="0.35">
      <c r="A127" t="s">
        <v>134</v>
      </c>
      <c r="B127" t="s">
        <v>149</v>
      </c>
      <c r="C127" t="s">
        <v>592</v>
      </c>
      <c r="D127">
        <v>8.73</v>
      </c>
      <c r="E127">
        <v>8.34</v>
      </c>
      <c r="F127">
        <v>8.56</v>
      </c>
      <c r="G127">
        <v>12.21</v>
      </c>
      <c r="H127">
        <v>12.55</v>
      </c>
      <c r="I127">
        <v>12.3</v>
      </c>
      <c r="J127">
        <v>1.39</v>
      </c>
      <c r="K127">
        <v>3.03</v>
      </c>
      <c r="L127">
        <v>2.09</v>
      </c>
      <c r="M127">
        <v>90.91</v>
      </c>
      <c r="N127">
        <v>74.069999999999993</v>
      </c>
      <c r="O127">
        <v>82.49</v>
      </c>
      <c r="P127">
        <v>71.63</v>
      </c>
      <c r="Q127">
        <v>76.400000000000006</v>
      </c>
      <c r="R127">
        <v>73.959999999999994</v>
      </c>
      <c r="S127">
        <v>14.29</v>
      </c>
      <c r="T127">
        <v>31.82</v>
      </c>
      <c r="U127">
        <v>72.72</v>
      </c>
      <c r="V127">
        <v>68.010000000000005</v>
      </c>
      <c r="W127">
        <v>69.84</v>
      </c>
      <c r="X127">
        <v>66.650000000000006</v>
      </c>
      <c r="Y127">
        <v>0.40699999999999997</v>
      </c>
    </row>
    <row r="128" spans="1:25" x14ac:dyDescent="0.35">
      <c r="A128" t="s">
        <v>135</v>
      </c>
      <c r="B128" t="s">
        <v>149</v>
      </c>
      <c r="C128" t="s">
        <v>592</v>
      </c>
      <c r="D128">
        <v>7.75</v>
      </c>
      <c r="E128">
        <v>6.99</v>
      </c>
      <c r="F128">
        <v>7.38</v>
      </c>
      <c r="G128">
        <v>11.88</v>
      </c>
      <c r="H128">
        <v>12.84</v>
      </c>
      <c r="I128">
        <v>12.33</v>
      </c>
      <c r="J128">
        <v>2.35</v>
      </c>
      <c r="K128">
        <v>4.6900000000000004</v>
      </c>
      <c r="L128">
        <v>3.19</v>
      </c>
      <c r="M128">
        <v>87.83</v>
      </c>
      <c r="N128">
        <v>52.43</v>
      </c>
      <c r="O128">
        <v>70.13</v>
      </c>
      <c r="P128">
        <v>71.709999999999994</v>
      </c>
      <c r="Q128">
        <v>76.569999999999993</v>
      </c>
      <c r="R128">
        <v>74.08</v>
      </c>
      <c r="S128">
        <v>8.89</v>
      </c>
      <c r="T128">
        <v>30.02</v>
      </c>
      <c r="U128">
        <v>72.290000000000006</v>
      </c>
      <c r="V128">
        <v>66.09</v>
      </c>
      <c r="W128">
        <v>68.52</v>
      </c>
      <c r="X128">
        <v>60.46</v>
      </c>
      <c r="Y128">
        <v>0.46600000000000003</v>
      </c>
    </row>
    <row r="129" spans="1:25" x14ac:dyDescent="0.35">
      <c r="A129" t="s">
        <v>136</v>
      </c>
      <c r="B129" t="s">
        <v>149</v>
      </c>
      <c r="C129" t="s">
        <v>592</v>
      </c>
      <c r="D129">
        <v>8.14</v>
      </c>
      <c r="E129">
        <v>7.48</v>
      </c>
      <c r="F129">
        <v>7.78</v>
      </c>
      <c r="G129">
        <v>12.34</v>
      </c>
      <c r="H129">
        <v>12.91</v>
      </c>
      <c r="I129">
        <v>12.65</v>
      </c>
      <c r="J129">
        <v>4.25</v>
      </c>
      <c r="K129">
        <v>5.86</v>
      </c>
      <c r="L129">
        <v>4.84</v>
      </c>
      <c r="M129">
        <v>83.37</v>
      </c>
      <c r="N129">
        <v>50.67</v>
      </c>
      <c r="O129">
        <v>67.02000000000001</v>
      </c>
      <c r="P129">
        <v>71.95</v>
      </c>
      <c r="Q129">
        <v>77.09</v>
      </c>
      <c r="R129">
        <v>74.459999999999994</v>
      </c>
      <c r="S129">
        <v>24</v>
      </c>
      <c r="T129">
        <v>28.47</v>
      </c>
      <c r="U129">
        <v>73.989999999999995</v>
      </c>
      <c r="V129">
        <v>66.66</v>
      </c>
      <c r="W129">
        <v>70.28</v>
      </c>
      <c r="X129">
        <v>70.98</v>
      </c>
      <c r="Y129">
        <v>0.39400000000000002</v>
      </c>
    </row>
    <row r="130" spans="1:25" x14ac:dyDescent="0.35">
      <c r="A130" t="s">
        <v>137</v>
      </c>
      <c r="B130" t="s">
        <v>149</v>
      </c>
      <c r="C130" t="s">
        <v>592</v>
      </c>
      <c r="D130">
        <v>8.5500000000000007</v>
      </c>
      <c r="E130">
        <v>7.92</v>
      </c>
      <c r="F130">
        <v>8.1999999999999993</v>
      </c>
      <c r="G130">
        <v>13.19</v>
      </c>
      <c r="H130">
        <v>12.98</v>
      </c>
      <c r="I130">
        <v>12.98</v>
      </c>
      <c r="J130">
        <v>2.93</v>
      </c>
      <c r="K130">
        <v>3.17</v>
      </c>
      <c r="L130">
        <v>3.02</v>
      </c>
      <c r="M130">
        <v>86.73</v>
      </c>
      <c r="N130">
        <v>50.62</v>
      </c>
      <c r="O130">
        <v>68.674999999999997</v>
      </c>
      <c r="P130">
        <v>71.78</v>
      </c>
      <c r="Q130">
        <v>76.72</v>
      </c>
      <c r="R130">
        <v>74.19</v>
      </c>
      <c r="S130">
        <v>14</v>
      </c>
      <c r="T130">
        <v>31.62</v>
      </c>
      <c r="U130">
        <v>76.36</v>
      </c>
      <c r="V130">
        <v>68.36</v>
      </c>
      <c r="W130">
        <v>71.84</v>
      </c>
      <c r="X130">
        <v>64.44</v>
      </c>
      <c r="Y130">
        <v>0.252</v>
      </c>
    </row>
    <row r="131" spans="1:25" x14ac:dyDescent="0.35">
      <c r="A131" t="s">
        <v>138</v>
      </c>
      <c r="B131" t="s">
        <v>149</v>
      </c>
      <c r="C131" t="s">
        <v>592</v>
      </c>
      <c r="D131">
        <v>8.4600000000000009</v>
      </c>
      <c r="E131">
        <v>7.57</v>
      </c>
      <c r="F131">
        <v>7.97</v>
      </c>
      <c r="G131">
        <v>13.05</v>
      </c>
      <c r="H131">
        <v>13.28</v>
      </c>
      <c r="I131">
        <v>13.17</v>
      </c>
      <c r="J131">
        <v>3.35</v>
      </c>
      <c r="K131">
        <v>3.31</v>
      </c>
      <c r="L131">
        <v>3.33</v>
      </c>
      <c r="M131">
        <v>85.62</v>
      </c>
      <c r="N131">
        <v>60.96</v>
      </c>
      <c r="O131">
        <v>73.290000000000006</v>
      </c>
      <c r="P131">
        <v>71.91</v>
      </c>
      <c r="Q131">
        <v>76.989999999999995</v>
      </c>
      <c r="R131">
        <v>74.38</v>
      </c>
      <c r="S131">
        <v>20</v>
      </c>
      <c r="T131">
        <v>32.31</v>
      </c>
      <c r="U131">
        <v>76.319999999999993</v>
      </c>
      <c r="V131">
        <v>68.849999999999994</v>
      </c>
      <c r="W131">
        <v>72.37</v>
      </c>
      <c r="X131">
        <v>71.66</v>
      </c>
      <c r="Y131">
        <v>0.32200000000000001</v>
      </c>
    </row>
    <row r="132" spans="1:25" x14ac:dyDescent="0.35">
      <c r="A132" t="s">
        <v>139</v>
      </c>
      <c r="B132" t="s">
        <v>149</v>
      </c>
      <c r="C132" t="s">
        <v>592</v>
      </c>
      <c r="D132">
        <v>8.58</v>
      </c>
      <c r="E132">
        <v>8.2200000000000006</v>
      </c>
      <c r="F132">
        <v>8.3800000000000008</v>
      </c>
      <c r="G132">
        <v>12.56</v>
      </c>
      <c r="H132">
        <v>13.08</v>
      </c>
      <c r="I132">
        <v>12.56</v>
      </c>
      <c r="J132">
        <v>3.73</v>
      </c>
      <c r="K132">
        <v>9.39</v>
      </c>
      <c r="L132">
        <v>5.85</v>
      </c>
      <c r="M132">
        <v>82.23</v>
      </c>
      <c r="N132">
        <v>50.44</v>
      </c>
      <c r="O132">
        <v>66.335000000000008</v>
      </c>
      <c r="P132">
        <v>71.73</v>
      </c>
      <c r="Q132">
        <v>76.62</v>
      </c>
      <c r="R132">
        <v>74.12</v>
      </c>
      <c r="S132">
        <v>6.67</v>
      </c>
      <c r="T132">
        <v>34.49</v>
      </c>
      <c r="U132">
        <v>73.709999999999994</v>
      </c>
      <c r="V132">
        <v>66.319999999999993</v>
      </c>
      <c r="W132">
        <v>69.62</v>
      </c>
      <c r="X132">
        <v>59.15</v>
      </c>
      <c r="Y132">
        <v>0.49199999999999999</v>
      </c>
    </row>
    <row r="133" spans="1:25" x14ac:dyDescent="0.35">
      <c r="A133" t="s">
        <v>140</v>
      </c>
      <c r="B133" t="s">
        <v>149</v>
      </c>
      <c r="C133" t="s">
        <v>592</v>
      </c>
      <c r="D133">
        <v>8.11</v>
      </c>
      <c r="E133">
        <v>7.3</v>
      </c>
      <c r="F133">
        <v>7.75</v>
      </c>
      <c r="G133">
        <v>12.26</v>
      </c>
      <c r="H133">
        <v>12.81</v>
      </c>
      <c r="I133">
        <v>12.44</v>
      </c>
      <c r="J133">
        <v>3.11</v>
      </c>
      <c r="K133">
        <v>3.51</v>
      </c>
      <c r="L133">
        <v>3.27</v>
      </c>
      <c r="M133">
        <v>88.92</v>
      </c>
      <c r="N133">
        <v>57.9</v>
      </c>
      <c r="O133">
        <v>73.41</v>
      </c>
      <c r="P133">
        <v>71.86</v>
      </c>
      <c r="Q133">
        <v>76.89</v>
      </c>
      <c r="R133">
        <v>74.31</v>
      </c>
      <c r="S133">
        <v>20</v>
      </c>
      <c r="T133">
        <v>33.11</v>
      </c>
      <c r="U133">
        <v>73.63</v>
      </c>
      <c r="V133">
        <v>65.349999999999994</v>
      </c>
      <c r="W133">
        <v>69.31</v>
      </c>
      <c r="X133">
        <v>72.37</v>
      </c>
      <c r="Y133">
        <v>0.504</v>
      </c>
    </row>
    <row r="134" spans="1:25" x14ac:dyDescent="0.35">
      <c r="A134" t="s">
        <v>141</v>
      </c>
      <c r="B134" t="s">
        <v>149</v>
      </c>
      <c r="C134" t="s">
        <v>592</v>
      </c>
      <c r="D134">
        <v>8.35</v>
      </c>
      <c r="E134">
        <v>7.58</v>
      </c>
      <c r="F134">
        <v>7.65</v>
      </c>
      <c r="G134">
        <v>11.89</v>
      </c>
      <c r="H134">
        <v>12.79</v>
      </c>
      <c r="I134">
        <v>12.3</v>
      </c>
      <c r="J134">
        <v>2.17</v>
      </c>
      <c r="K134">
        <v>5.26</v>
      </c>
      <c r="L134">
        <v>3.23</v>
      </c>
      <c r="M134">
        <v>91.18</v>
      </c>
      <c r="N134">
        <v>50.58</v>
      </c>
      <c r="O134">
        <v>70.88</v>
      </c>
      <c r="P134">
        <v>71.67</v>
      </c>
      <c r="Q134">
        <v>76.489999999999995</v>
      </c>
      <c r="R134">
        <v>74.02</v>
      </c>
      <c r="S134">
        <v>25</v>
      </c>
      <c r="T134">
        <v>25.9</v>
      </c>
      <c r="U134">
        <v>74.94</v>
      </c>
      <c r="V134">
        <v>67.69</v>
      </c>
      <c r="W134">
        <v>70.66</v>
      </c>
      <c r="X134">
        <v>71.47</v>
      </c>
      <c r="Y134">
        <v>0.43099999999999999</v>
      </c>
    </row>
    <row r="135" spans="1:25" x14ac:dyDescent="0.35">
      <c r="A135" t="s">
        <v>142</v>
      </c>
      <c r="B135" t="s">
        <v>149</v>
      </c>
      <c r="C135" t="s">
        <v>592</v>
      </c>
      <c r="D135">
        <v>8.3800000000000008</v>
      </c>
      <c r="E135">
        <v>7.75</v>
      </c>
      <c r="F135">
        <v>8</v>
      </c>
      <c r="G135">
        <v>12.51</v>
      </c>
      <c r="H135">
        <v>12.97</v>
      </c>
      <c r="I135">
        <v>12.63</v>
      </c>
      <c r="J135">
        <v>2.83</v>
      </c>
      <c r="K135">
        <v>6.95</v>
      </c>
      <c r="L135">
        <v>4.3600000000000003</v>
      </c>
      <c r="M135">
        <v>86.32</v>
      </c>
      <c r="N135">
        <v>54.13</v>
      </c>
      <c r="O135">
        <v>70.224999999999994</v>
      </c>
      <c r="P135">
        <v>71.650000000000006</v>
      </c>
      <c r="Q135">
        <v>76.459999999999994</v>
      </c>
      <c r="R135">
        <v>74</v>
      </c>
      <c r="S135">
        <v>15</v>
      </c>
      <c r="T135">
        <v>30.58</v>
      </c>
      <c r="U135">
        <v>73.53</v>
      </c>
      <c r="V135">
        <v>64.94</v>
      </c>
      <c r="W135">
        <v>68.52</v>
      </c>
      <c r="X135">
        <v>65.03</v>
      </c>
      <c r="Y135">
        <v>0.48799999999999999</v>
      </c>
    </row>
    <row r="136" spans="1:25" x14ac:dyDescent="0.35">
      <c r="A136" t="s">
        <v>143</v>
      </c>
      <c r="B136" t="s">
        <v>149</v>
      </c>
      <c r="C136" t="s">
        <v>592</v>
      </c>
      <c r="D136">
        <v>8.76</v>
      </c>
      <c r="E136">
        <v>8.19</v>
      </c>
      <c r="F136">
        <v>8.5299999999999994</v>
      </c>
      <c r="G136">
        <v>12.77</v>
      </c>
      <c r="H136">
        <v>13.33</v>
      </c>
      <c r="I136">
        <v>12.93</v>
      </c>
      <c r="J136">
        <v>3.29</v>
      </c>
      <c r="K136">
        <v>6.21</v>
      </c>
      <c r="L136">
        <v>4.3899999999999997</v>
      </c>
      <c r="M136">
        <v>89.44</v>
      </c>
      <c r="N136">
        <v>56.82</v>
      </c>
      <c r="O136">
        <v>73.13</v>
      </c>
      <c r="P136">
        <v>72.02</v>
      </c>
      <c r="Q136">
        <v>77.23</v>
      </c>
      <c r="R136">
        <v>74.56</v>
      </c>
      <c r="S136">
        <v>30</v>
      </c>
      <c r="T136">
        <v>20.78</v>
      </c>
      <c r="U136">
        <v>76.62</v>
      </c>
      <c r="V136">
        <v>71.28</v>
      </c>
      <c r="W136">
        <v>72.290000000000006</v>
      </c>
      <c r="X136">
        <v>68.37</v>
      </c>
      <c r="Y136">
        <v>0.13</v>
      </c>
    </row>
    <row r="137" spans="1:25" x14ac:dyDescent="0.35">
      <c r="A137" t="s">
        <v>144</v>
      </c>
      <c r="B137" t="s">
        <v>149</v>
      </c>
      <c r="C137" t="s">
        <v>592</v>
      </c>
      <c r="D137">
        <v>7.39</v>
      </c>
      <c r="E137">
        <v>6.95</v>
      </c>
      <c r="F137">
        <v>7.21</v>
      </c>
      <c r="G137">
        <v>11.78</v>
      </c>
      <c r="H137">
        <v>11.9</v>
      </c>
      <c r="I137">
        <v>11.82</v>
      </c>
      <c r="J137">
        <v>2.58</v>
      </c>
      <c r="K137">
        <v>3.36</v>
      </c>
      <c r="L137">
        <v>2.85</v>
      </c>
      <c r="M137">
        <v>88.42</v>
      </c>
      <c r="N137">
        <v>50.84</v>
      </c>
      <c r="O137">
        <v>69.63</v>
      </c>
      <c r="P137">
        <v>71.59</v>
      </c>
      <c r="Q137">
        <v>76.319999999999993</v>
      </c>
      <c r="R137">
        <v>73.900000000000006</v>
      </c>
      <c r="S137">
        <v>20</v>
      </c>
      <c r="T137">
        <v>26.88</v>
      </c>
      <c r="U137">
        <v>70.650000000000006</v>
      </c>
      <c r="V137">
        <v>60.13</v>
      </c>
      <c r="W137">
        <v>66.459999999999994</v>
      </c>
      <c r="X137">
        <v>67.3</v>
      </c>
      <c r="Y137">
        <v>0.39100000000000001</v>
      </c>
    </row>
    <row r="138" spans="1:25" x14ac:dyDescent="0.35">
      <c r="A138" t="s">
        <v>145</v>
      </c>
      <c r="B138" t="s">
        <v>149</v>
      </c>
      <c r="C138" t="s">
        <v>592</v>
      </c>
      <c r="D138">
        <v>8.1199999999999992</v>
      </c>
      <c r="E138">
        <v>7.47</v>
      </c>
      <c r="F138">
        <v>7.8</v>
      </c>
      <c r="G138">
        <v>11.98</v>
      </c>
      <c r="H138">
        <v>12.59</v>
      </c>
      <c r="I138">
        <v>12.12</v>
      </c>
      <c r="J138">
        <v>4.0599999999999996</v>
      </c>
      <c r="K138">
        <v>4.21</v>
      </c>
      <c r="L138">
        <v>4.12</v>
      </c>
      <c r="M138">
        <v>89.17</v>
      </c>
      <c r="N138">
        <v>52.05</v>
      </c>
      <c r="O138">
        <v>70.61</v>
      </c>
      <c r="P138">
        <v>71.81</v>
      </c>
      <c r="Q138">
        <v>76.78</v>
      </c>
      <c r="R138">
        <v>74.23</v>
      </c>
      <c r="S138">
        <v>8.57</v>
      </c>
      <c r="T138">
        <v>32.22</v>
      </c>
      <c r="U138">
        <v>72.3</v>
      </c>
      <c r="V138">
        <v>64.42</v>
      </c>
      <c r="W138">
        <v>68.459999999999994</v>
      </c>
      <c r="X138">
        <v>59.62</v>
      </c>
      <c r="Y138">
        <v>0.47499999999999998</v>
      </c>
    </row>
    <row r="139" spans="1:25" x14ac:dyDescent="0.35">
      <c r="A139" t="s">
        <v>146</v>
      </c>
      <c r="B139" t="s">
        <v>149</v>
      </c>
      <c r="C139" t="s">
        <v>592</v>
      </c>
      <c r="D139">
        <v>8.9600000000000009</v>
      </c>
      <c r="E139">
        <v>8.59</v>
      </c>
      <c r="F139">
        <v>8.73</v>
      </c>
      <c r="G139">
        <v>12.09</v>
      </c>
      <c r="H139">
        <v>12.48</v>
      </c>
      <c r="I139">
        <v>12.16</v>
      </c>
      <c r="J139">
        <v>2.16</v>
      </c>
      <c r="K139">
        <v>4.47</v>
      </c>
      <c r="L139">
        <v>3.04</v>
      </c>
      <c r="M139">
        <v>86.12</v>
      </c>
      <c r="N139">
        <v>57.58</v>
      </c>
      <c r="O139">
        <v>71.849999999999994</v>
      </c>
      <c r="P139">
        <v>71.61</v>
      </c>
      <c r="Q139">
        <v>76.37</v>
      </c>
      <c r="R139">
        <v>73.930000000000007</v>
      </c>
      <c r="S139">
        <v>12</v>
      </c>
      <c r="T139">
        <v>34.270000000000003</v>
      </c>
      <c r="U139">
        <v>69.36</v>
      </c>
      <c r="V139">
        <v>65.53</v>
      </c>
      <c r="W139">
        <v>66.73</v>
      </c>
      <c r="X139">
        <v>66.33</v>
      </c>
      <c r="Y139">
        <v>0.50900000000000001</v>
      </c>
    </row>
    <row r="140" spans="1:25" x14ac:dyDescent="0.35">
      <c r="A140" t="s">
        <v>147</v>
      </c>
      <c r="B140" t="s">
        <v>149</v>
      </c>
      <c r="C140" t="s">
        <v>592</v>
      </c>
      <c r="D140">
        <v>11.43</v>
      </c>
      <c r="E140">
        <v>10.77</v>
      </c>
      <c r="F140">
        <v>10.99</v>
      </c>
      <c r="G140">
        <v>14.55</v>
      </c>
      <c r="H140">
        <v>14.93</v>
      </c>
      <c r="I140">
        <v>14.73</v>
      </c>
      <c r="J140">
        <v>7.01</v>
      </c>
      <c r="K140">
        <v>8.1</v>
      </c>
      <c r="L140">
        <v>7.44</v>
      </c>
      <c r="M140">
        <v>79.91</v>
      </c>
      <c r="N140">
        <v>52.19</v>
      </c>
      <c r="O140">
        <v>66.05</v>
      </c>
      <c r="P140">
        <v>72.17</v>
      </c>
      <c r="Q140">
        <v>77.540000000000006</v>
      </c>
      <c r="R140">
        <v>74.790000000000006</v>
      </c>
      <c r="S140">
        <v>24.49</v>
      </c>
      <c r="T140">
        <v>31.52</v>
      </c>
      <c r="U140">
        <v>82.91</v>
      </c>
      <c r="V140">
        <v>78.069999999999993</v>
      </c>
      <c r="W140">
        <v>79.19</v>
      </c>
      <c r="X140">
        <v>74.27</v>
      </c>
      <c r="Y140">
        <v>0.151</v>
      </c>
    </row>
    <row r="141" spans="1:25" x14ac:dyDescent="0.35">
      <c r="A141" t="s">
        <v>148</v>
      </c>
      <c r="B141" t="s">
        <v>149</v>
      </c>
      <c r="C141" t="s">
        <v>592</v>
      </c>
      <c r="D141">
        <v>11.2</v>
      </c>
      <c r="E141">
        <v>10.96</v>
      </c>
      <c r="F141">
        <v>11.01</v>
      </c>
      <c r="G141">
        <v>14.73</v>
      </c>
      <c r="H141">
        <v>14.94</v>
      </c>
      <c r="I141">
        <v>14.79</v>
      </c>
      <c r="J141">
        <v>4</v>
      </c>
      <c r="K141">
        <v>3.29</v>
      </c>
      <c r="L141">
        <v>3.71</v>
      </c>
      <c r="M141">
        <v>81.53</v>
      </c>
      <c r="N141">
        <v>58.66</v>
      </c>
      <c r="O141">
        <v>70.094999999999999</v>
      </c>
      <c r="P141">
        <v>72.7</v>
      </c>
      <c r="Q141">
        <v>78.3</v>
      </c>
      <c r="R141">
        <v>75.430000000000007</v>
      </c>
      <c r="S141">
        <v>20</v>
      </c>
      <c r="T141">
        <v>34.03</v>
      </c>
      <c r="U141">
        <v>81.53</v>
      </c>
      <c r="V141">
        <v>78.260000000000005</v>
      </c>
      <c r="W141">
        <v>78.930000000000007</v>
      </c>
      <c r="X141">
        <v>71.959999999999994</v>
      </c>
      <c r="Y141">
        <v>0.152</v>
      </c>
    </row>
    <row r="142" spans="1:25" x14ac:dyDescent="0.35">
      <c r="A142" t="s">
        <v>150</v>
      </c>
      <c r="B142" t="s">
        <v>157</v>
      </c>
      <c r="C142" t="s">
        <v>592</v>
      </c>
      <c r="D142">
        <v>8.8699999999999992</v>
      </c>
      <c r="E142">
        <v>8.17</v>
      </c>
      <c r="F142">
        <v>8.4499999999999993</v>
      </c>
      <c r="G142">
        <v>13.04</v>
      </c>
      <c r="H142">
        <v>13.46</v>
      </c>
      <c r="I142">
        <v>13.12</v>
      </c>
      <c r="J142">
        <v>2.68</v>
      </c>
      <c r="K142">
        <v>8.9</v>
      </c>
      <c r="L142">
        <v>4.91</v>
      </c>
      <c r="M142">
        <v>84.55</v>
      </c>
      <c r="N142">
        <v>50.26</v>
      </c>
      <c r="O142">
        <v>67.405000000000001</v>
      </c>
      <c r="P142">
        <v>71.16</v>
      </c>
      <c r="Q142">
        <v>75.430000000000007</v>
      </c>
      <c r="R142">
        <v>73.239999999999995</v>
      </c>
      <c r="S142">
        <v>14.29</v>
      </c>
      <c r="T142">
        <v>25.28</v>
      </c>
      <c r="U142">
        <v>78.25</v>
      </c>
      <c r="V142">
        <v>69.7</v>
      </c>
      <c r="W142">
        <v>73.98</v>
      </c>
      <c r="X142">
        <v>62.01</v>
      </c>
      <c r="Y142">
        <v>0.40100000000000002</v>
      </c>
    </row>
    <row r="143" spans="1:25" x14ac:dyDescent="0.35">
      <c r="A143" t="s">
        <v>151</v>
      </c>
      <c r="B143" t="s">
        <v>157</v>
      </c>
      <c r="C143" t="s">
        <v>592</v>
      </c>
      <c r="D143">
        <v>9.1</v>
      </c>
      <c r="E143">
        <v>8.8000000000000007</v>
      </c>
      <c r="F143">
        <v>9.0500000000000007</v>
      </c>
      <c r="G143">
        <v>11.91</v>
      </c>
      <c r="H143">
        <v>12.3</v>
      </c>
      <c r="I143">
        <v>12.09</v>
      </c>
      <c r="J143">
        <v>3.16</v>
      </c>
      <c r="K143">
        <v>5.22</v>
      </c>
      <c r="L143">
        <v>3.88</v>
      </c>
      <c r="M143">
        <v>87.1</v>
      </c>
      <c r="N143">
        <v>48.6</v>
      </c>
      <c r="O143">
        <v>67.849999999999994</v>
      </c>
      <c r="P143">
        <v>70.790000000000006</v>
      </c>
      <c r="Q143">
        <v>74.819999999999993</v>
      </c>
      <c r="R143">
        <v>72.760000000000005</v>
      </c>
      <c r="S143">
        <v>12</v>
      </c>
      <c r="T143">
        <v>23.76</v>
      </c>
      <c r="U143">
        <v>78.069999999999993</v>
      </c>
      <c r="V143">
        <v>70.03</v>
      </c>
      <c r="W143">
        <v>74.47</v>
      </c>
      <c r="X143">
        <v>58.82</v>
      </c>
      <c r="Y143">
        <v>0.36099999999999999</v>
      </c>
    </row>
    <row r="144" spans="1:25" x14ac:dyDescent="0.35">
      <c r="A144" t="s">
        <v>152</v>
      </c>
      <c r="B144" t="s">
        <v>157</v>
      </c>
      <c r="C144" t="s">
        <v>592</v>
      </c>
      <c r="D144">
        <v>8.08</v>
      </c>
      <c r="E144">
        <v>7.44</v>
      </c>
      <c r="F144">
        <v>7.48</v>
      </c>
      <c r="G144">
        <v>11.77</v>
      </c>
      <c r="H144">
        <v>12.05</v>
      </c>
      <c r="I144">
        <v>11.79</v>
      </c>
      <c r="J144">
        <v>4.66</v>
      </c>
      <c r="K144">
        <v>5.27</v>
      </c>
      <c r="L144">
        <v>4.88</v>
      </c>
      <c r="M144">
        <v>87.44</v>
      </c>
      <c r="N144">
        <v>52.07</v>
      </c>
      <c r="O144">
        <v>69.754999999999995</v>
      </c>
      <c r="P144">
        <v>70.13</v>
      </c>
      <c r="Q144">
        <v>74.13</v>
      </c>
      <c r="R144">
        <v>72.08</v>
      </c>
      <c r="S144">
        <v>16.670000000000002</v>
      </c>
      <c r="T144">
        <v>26.73</v>
      </c>
      <c r="U144">
        <v>75.150000000000006</v>
      </c>
      <c r="V144">
        <v>67.900000000000006</v>
      </c>
      <c r="W144">
        <v>70.67</v>
      </c>
      <c r="X144">
        <v>65.33</v>
      </c>
      <c r="Y144">
        <v>0.373</v>
      </c>
    </row>
    <row r="145" spans="1:25" x14ac:dyDescent="0.35">
      <c r="A145" t="s">
        <v>153</v>
      </c>
      <c r="B145" t="s">
        <v>157</v>
      </c>
      <c r="C145" t="s">
        <v>592</v>
      </c>
      <c r="D145">
        <v>7.67</v>
      </c>
      <c r="E145">
        <v>6.96</v>
      </c>
      <c r="F145">
        <v>7.24</v>
      </c>
      <c r="G145">
        <v>12.11</v>
      </c>
      <c r="H145">
        <v>12.79</v>
      </c>
      <c r="I145">
        <v>12.15</v>
      </c>
      <c r="J145">
        <v>4.6100000000000003</v>
      </c>
      <c r="K145">
        <v>3.52</v>
      </c>
      <c r="L145">
        <v>4.2300000000000004</v>
      </c>
      <c r="M145">
        <v>88.18</v>
      </c>
      <c r="N145">
        <v>50.98</v>
      </c>
      <c r="O145">
        <v>69.58</v>
      </c>
      <c r="P145">
        <v>71.510000000000005</v>
      </c>
      <c r="Q145">
        <v>76.150000000000006</v>
      </c>
      <c r="R145">
        <v>73.77</v>
      </c>
      <c r="S145">
        <v>20</v>
      </c>
      <c r="T145">
        <v>22.26</v>
      </c>
      <c r="U145">
        <v>75.95</v>
      </c>
      <c r="V145">
        <v>69.84</v>
      </c>
      <c r="W145">
        <v>71.900000000000006</v>
      </c>
      <c r="X145">
        <v>61.49</v>
      </c>
      <c r="Y145">
        <v>0.42699999999999999</v>
      </c>
    </row>
    <row r="146" spans="1:25" x14ac:dyDescent="0.35">
      <c r="A146" t="s">
        <v>154</v>
      </c>
      <c r="B146" t="s">
        <v>157</v>
      </c>
      <c r="C146" t="s">
        <v>592</v>
      </c>
      <c r="D146">
        <v>7.25</v>
      </c>
      <c r="E146">
        <v>6.74</v>
      </c>
      <c r="F146">
        <v>6.93</v>
      </c>
      <c r="G146">
        <v>11.63</v>
      </c>
      <c r="H146">
        <v>12.09</v>
      </c>
      <c r="I146">
        <v>11.71</v>
      </c>
      <c r="J146">
        <v>4.6100000000000003</v>
      </c>
      <c r="K146">
        <v>5.61</v>
      </c>
      <c r="L146">
        <v>4.9400000000000004</v>
      </c>
      <c r="M146">
        <v>89.97</v>
      </c>
      <c r="N146">
        <v>46.9</v>
      </c>
      <c r="O146">
        <v>68.435000000000002</v>
      </c>
      <c r="P146">
        <v>69.8</v>
      </c>
      <c r="Q146">
        <v>73.78</v>
      </c>
      <c r="R146">
        <v>71.739999999999995</v>
      </c>
      <c r="S146">
        <v>13.33</v>
      </c>
      <c r="T146">
        <v>22.75</v>
      </c>
      <c r="U146">
        <v>73.3</v>
      </c>
      <c r="V146">
        <v>62.49</v>
      </c>
      <c r="W146">
        <v>68.86</v>
      </c>
      <c r="X146">
        <v>56.29</v>
      </c>
      <c r="Y146">
        <v>0.5</v>
      </c>
    </row>
    <row r="147" spans="1:25" x14ac:dyDescent="0.35">
      <c r="A147" t="s">
        <v>155</v>
      </c>
      <c r="B147" t="s">
        <v>157</v>
      </c>
      <c r="C147" t="s">
        <v>592</v>
      </c>
      <c r="D147">
        <v>9.02</v>
      </c>
      <c r="E147">
        <v>8.9499999999999993</v>
      </c>
      <c r="F147">
        <v>8.99</v>
      </c>
      <c r="G147">
        <v>11.66</v>
      </c>
      <c r="H147">
        <v>12.07</v>
      </c>
      <c r="I147">
        <v>11.69</v>
      </c>
      <c r="J147">
        <v>2.7</v>
      </c>
      <c r="K147">
        <v>2.5</v>
      </c>
      <c r="L147">
        <v>2.63</v>
      </c>
      <c r="M147">
        <v>86.78</v>
      </c>
      <c r="N147">
        <v>53.19</v>
      </c>
      <c r="O147">
        <v>69.984999999999999</v>
      </c>
      <c r="P147">
        <v>71.52</v>
      </c>
      <c r="Q147">
        <v>76.17</v>
      </c>
      <c r="R147">
        <v>73.790000000000006</v>
      </c>
      <c r="S147">
        <v>0</v>
      </c>
      <c r="T147">
        <v>27.15</v>
      </c>
      <c r="U147">
        <v>77.400000000000006</v>
      </c>
      <c r="V147">
        <v>67.87</v>
      </c>
      <c r="W147">
        <v>73.19</v>
      </c>
      <c r="X147">
        <v>46.3</v>
      </c>
      <c r="Y147">
        <v>0.7</v>
      </c>
    </row>
    <row r="148" spans="1:25" x14ac:dyDescent="0.35">
      <c r="A148" t="s">
        <v>156</v>
      </c>
      <c r="B148" t="s">
        <v>157</v>
      </c>
      <c r="C148" t="s">
        <v>592</v>
      </c>
      <c r="D148">
        <v>11.01</v>
      </c>
      <c r="E148">
        <v>10.4</v>
      </c>
      <c r="F148">
        <v>10.67</v>
      </c>
      <c r="G148">
        <v>13.48</v>
      </c>
      <c r="H148">
        <v>13.3</v>
      </c>
      <c r="I148">
        <v>13.3</v>
      </c>
      <c r="J148">
        <v>5.52</v>
      </c>
      <c r="K148">
        <v>6.69</v>
      </c>
      <c r="L148">
        <v>5.98</v>
      </c>
      <c r="M148">
        <v>81.02</v>
      </c>
      <c r="N148">
        <v>52.73</v>
      </c>
      <c r="O148">
        <v>66.875</v>
      </c>
      <c r="P148">
        <v>72.56</v>
      </c>
      <c r="Q148">
        <v>78.09</v>
      </c>
      <c r="R148">
        <v>75.260000000000005</v>
      </c>
      <c r="S148">
        <v>13.33</v>
      </c>
      <c r="T148">
        <v>30.68</v>
      </c>
      <c r="U148">
        <v>84.32</v>
      </c>
      <c r="V148">
        <v>79.11</v>
      </c>
      <c r="W148">
        <v>80.400000000000006</v>
      </c>
      <c r="X148">
        <v>65.48</v>
      </c>
      <c r="Y148">
        <v>0.21099999999999999</v>
      </c>
    </row>
    <row r="149" spans="1:25" x14ac:dyDescent="0.35">
      <c r="A149" t="s">
        <v>158</v>
      </c>
      <c r="B149" t="s">
        <v>165</v>
      </c>
      <c r="C149" t="s">
        <v>592</v>
      </c>
      <c r="D149">
        <v>9.09</v>
      </c>
      <c r="E149">
        <v>8.7200000000000006</v>
      </c>
      <c r="F149">
        <v>8.91</v>
      </c>
      <c r="G149">
        <v>12.56</v>
      </c>
      <c r="H149">
        <v>12.95</v>
      </c>
      <c r="I149">
        <v>12.62</v>
      </c>
      <c r="J149">
        <v>5.53</v>
      </c>
      <c r="K149">
        <v>5.5</v>
      </c>
      <c r="L149">
        <v>5.52</v>
      </c>
      <c r="M149">
        <v>83.04</v>
      </c>
      <c r="N149">
        <v>52.68</v>
      </c>
      <c r="O149">
        <v>67.86</v>
      </c>
      <c r="P149">
        <v>72.17</v>
      </c>
      <c r="Q149">
        <v>77.53</v>
      </c>
      <c r="R149">
        <v>74.790000000000006</v>
      </c>
      <c r="S149">
        <v>10</v>
      </c>
      <c r="T149">
        <v>25.2</v>
      </c>
      <c r="U149">
        <v>78.59</v>
      </c>
      <c r="V149">
        <v>72</v>
      </c>
      <c r="W149">
        <v>74.28</v>
      </c>
      <c r="X149">
        <v>58.34</v>
      </c>
      <c r="Y149">
        <v>0.48799999999999999</v>
      </c>
    </row>
    <row r="150" spans="1:25" x14ac:dyDescent="0.35">
      <c r="A150" t="s">
        <v>159</v>
      </c>
      <c r="B150" t="s">
        <v>165</v>
      </c>
      <c r="C150" t="s">
        <v>592</v>
      </c>
      <c r="D150">
        <v>9.2100000000000009</v>
      </c>
      <c r="E150">
        <v>9.15</v>
      </c>
      <c r="F150">
        <v>9.15</v>
      </c>
      <c r="G150">
        <v>13.34</v>
      </c>
      <c r="H150">
        <v>14.19</v>
      </c>
      <c r="I150">
        <v>13.45</v>
      </c>
      <c r="J150">
        <v>3.06</v>
      </c>
      <c r="K150">
        <v>7.12</v>
      </c>
      <c r="L150">
        <v>4.53</v>
      </c>
      <c r="M150">
        <v>84.38</v>
      </c>
      <c r="N150">
        <v>50.91</v>
      </c>
      <c r="O150">
        <v>67.644999999999996</v>
      </c>
      <c r="P150">
        <v>72.260000000000005</v>
      </c>
      <c r="Q150">
        <v>77.650000000000006</v>
      </c>
      <c r="R150">
        <v>74.89</v>
      </c>
      <c r="S150">
        <v>40</v>
      </c>
      <c r="T150">
        <v>23.83</v>
      </c>
      <c r="U150">
        <v>79.94</v>
      </c>
      <c r="V150">
        <v>75.180000000000007</v>
      </c>
      <c r="W150">
        <v>76.180000000000007</v>
      </c>
      <c r="X150">
        <v>74.62</v>
      </c>
      <c r="Y150">
        <v>0.36199999999999999</v>
      </c>
    </row>
    <row r="151" spans="1:25" x14ac:dyDescent="0.35">
      <c r="A151" t="s">
        <v>160</v>
      </c>
      <c r="B151" t="s">
        <v>165</v>
      </c>
      <c r="C151" t="s">
        <v>592</v>
      </c>
      <c r="D151">
        <v>9.65</v>
      </c>
      <c r="E151">
        <v>9.1199999999999992</v>
      </c>
      <c r="F151">
        <v>9.1999999999999993</v>
      </c>
      <c r="G151">
        <v>13.8</v>
      </c>
      <c r="H151">
        <v>14.03</v>
      </c>
      <c r="I151">
        <v>13.94</v>
      </c>
      <c r="J151">
        <v>2.76</v>
      </c>
      <c r="K151">
        <v>5.63</v>
      </c>
      <c r="L151">
        <v>3.89</v>
      </c>
      <c r="M151">
        <v>85.75</v>
      </c>
      <c r="N151">
        <v>59.03</v>
      </c>
      <c r="O151">
        <v>72.39</v>
      </c>
      <c r="P151">
        <v>71.900000000000006</v>
      </c>
      <c r="Q151">
        <v>76.98</v>
      </c>
      <c r="R151">
        <v>74.38</v>
      </c>
      <c r="S151">
        <v>0</v>
      </c>
      <c r="T151">
        <v>24.87</v>
      </c>
      <c r="U151">
        <v>78.349999999999994</v>
      </c>
      <c r="V151">
        <v>71.94</v>
      </c>
      <c r="W151">
        <v>74.56</v>
      </c>
      <c r="X151">
        <v>43.86</v>
      </c>
      <c r="Y151">
        <v>0.80500000000000005</v>
      </c>
    </row>
    <row r="152" spans="1:25" x14ac:dyDescent="0.35">
      <c r="A152" t="s">
        <v>161</v>
      </c>
      <c r="B152" t="s">
        <v>165</v>
      </c>
      <c r="C152" t="s">
        <v>592</v>
      </c>
      <c r="D152">
        <v>7.65</v>
      </c>
      <c r="E152">
        <v>7.45</v>
      </c>
      <c r="F152">
        <v>7.6</v>
      </c>
      <c r="G152">
        <v>12.92</v>
      </c>
      <c r="H152">
        <v>12.63</v>
      </c>
      <c r="I152">
        <v>12.65</v>
      </c>
      <c r="J152">
        <v>3.43</v>
      </c>
      <c r="K152">
        <v>3.27</v>
      </c>
      <c r="L152">
        <v>3.38</v>
      </c>
      <c r="M152">
        <v>81.3</v>
      </c>
      <c r="N152">
        <v>41.72</v>
      </c>
      <c r="O152">
        <v>61.51</v>
      </c>
      <c r="P152">
        <v>71.5</v>
      </c>
      <c r="Q152">
        <v>76.13</v>
      </c>
      <c r="R152">
        <v>73.760000000000005</v>
      </c>
      <c r="S152">
        <v>16</v>
      </c>
      <c r="T152">
        <v>23.25</v>
      </c>
      <c r="U152">
        <v>72.290000000000006</v>
      </c>
      <c r="V152">
        <v>65.87</v>
      </c>
      <c r="W152">
        <v>68.19</v>
      </c>
      <c r="X152">
        <v>60.98</v>
      </c>
      <c r="Y152">
        <v>0.48599999999999999</v>
      </c>
    </row>
    <row r="153" spans="1:25" x14ac:dyDescent="0.35">
      <c r="A153" t="s">
        <v>162</v>
      </c>
      <c r="B153" t="s">
        <v>165</v>
      </c>
      <c r="C153" t="s">
        <v>592</v>
      </c>
      <c r="D153">
        <v>7.83</v>
      </c>
      <c r="E153">
        <v>7.49</v>
      </c>
      <c r="F153">
        <v>7.53</v>
      </c>
      <c r="G153">
        <v>13</v>
      </c>
      <c r="H153">
        <v>13.32</v>
      </c>
      <c r="I153">
        <v>13.06</v>
      </c>
      <c r="J153">
        <v>2.81</v>
      </c>
      <c r="K153">
        <v>1.72</v>
      </c>
      <c r="L153">
        <v>2.38</v>
      </c>
      <c r="M153">
        <v>80.5</v>
      </c>
      <c r="N153">
        <v>57.11</v>
      </c>
      <c r="O153">
        <v>68.805000000000007</v>
      </c>
      <c r="P153">
        <v>71.510000000000005</v>
      </c>
      <c r="Q153">
        <v>76.150000000000006</v>
      </c>
      <c r="R153">
        <v>73.77</v>
      </c>
      <c r="S153">
        <v>10</v>
      </c>
      <c r="T153">
        <v>26.53</v>
      </c>
      <c r="U153">
        <v>74.72</v>
      </c>
      <c r="V153">
        <v>68.430000000000007</v>
      </c>
      <c r="W153">
        <v>70.930000000000007</v>
      </c>
      <c r="X153">
        <v>58.3</v>
      </c>
      <c r="Y153">
        <v>0.49</v>
      </c>
    </row>
    <row r="154" spans="1:25" x14ac:dyDescent="0.35">
      <c r="A154" t="s">
        <v>163</v>
      </c>
      <c r="B154" t="s">
        <v>165</v>
      </c>
      <c r="C154" t="s">
        <v>592</v>
      </c>
      <c r="D154">
        <v>11.39</v>
      </c>
      <c r="E154">
        <v>11.08</v>
      </c>
      <c r="F154">
        <v>11.21</v>
      </c>
      <c r="G154">
        <v>13.25</v>
      </c>
      <c r="H154">
        <v>13.63</v>
      </c>
      <c r="I154">
        <v>13.56</v>
      </c>
      <c r="J154">
        <v>7.2</v>
      </c>
      <c r="K154">
        <v>8.49</v>
      </c>
      <c r="L154">
        <v>7.68</v>
      </c>
      <c r="M154">
        <v>87.98</v>
      </c>
      <c r="N154">
        <v>51.48</v>
      </c>
      <c r="O154">
        <v>69.73</v>
      </c>
      <c r="P154">
        <v>72.5</v>
      </c>
      <c r="Q154">
        <v>78.010000000000005</v>
      </c>
      <c r="R154">
        <v>75.19</v>
      </c>
      <c r="S154">
        <v>10</v>
      </c>
      <c r="T154">
        <v>29.48</v>
      </c>
      <c r="U154">
        <v>85.69</v>
      </c>
      <c r="V154">
        <v>82.02</v>
      </c>
      <c r="W154">
        <v>82.86</v>
      </c>
      <c r="X154">
        <v>61.31</v>
      </c>
      <c r="Y154">
        <v>0.193</v>
      </c>
    </row>
    <row r="155" spans="1:25" x14ac:dyDescent="0.35">
      <c r="A155" t="s">
        <v>164</v>
      </c>
      <c r="B155" t="s">
        <v>165</v>
      </c>
      <c r="C155" t="s">
        <v>592</v>
      </c>
      <c r="D155">
        <v>10.85</v>
      </c>
      <c r="E155">
        <v>10.66</v>
      </c>
      <c r="F155">
        <v>10.67</v>
      </c>
      <c r="G155">
        <v>14.18</v>
      </c>
      <c r="H155">
        <v>14.63</v>
      </c>
      <c r="I155">
        <v>14.18</v>
      </c>
      <c r="J155">
        <v>5.16</v>
      </c>
      <c r="K155">
        <v>4.0199999999999996</v>
      </c>
      <c r="L155">
        <v>4.6900000000000004</v>
      </c>
      <c r="M155">
        <v>81.03</v>
      </c>
      <c r="N155">
        <v>56.96</v>
      </c>
      <c r="O155">
        <v>68.995000000000005</v>
      </c>
      <c r="P155">
        <v>72.27</v>
      </c>
      <c r="Q155">
        <v>77.67</v>
      </c>
      <c r="R155">
        <v>74.91</v>
      </c>
      <c r="S155">
        <v>23.33</v>
      </c>
      <c r="T155">
        <v>26.85</v>
      </c>
      <c r="U155">
        <v>82.9</v>
      </c>
      <c r="V155">
        <v>80.430000000000007</v>
      </c>
      <c r="W155">
        <v>80.63</v>
      </c>
      <c r="X155">
        <v>70.28</v>
      </c>
      <c r="Y155">
        <v>0.125</v>
      </c>
    </row>
    <row r="156" spans="1:25" x14ac:dyDescent="0.35">
      <c r="A156" t="s">
        <v>166</v>
      </c>
      <c r="B156" t="s">
        <v>172</v>
      </c>
      <c r="C156" t="s">
        <v>586</v>
      </c>
      <c r="D156">
        <v>9.57</v>
      </c>
      <c r="E156">
        <v>8.9600000000000009</v>
      </c>
      <c r="F156">
        <v>9.26</v>
      </c>
      <c r="G156">
        <v>13.17</v>
      </c>
      <c r="H156">
        <v>12.63</v>
      </c>
      <c r="I156">
        <v>12.67</v>
      </c>
      <c r="J156">
        <v>6.95</v>
      </c>
      <c r="K156">
        <v>9.2899999999999991</v>
      </c>
      <c r="L156">
        <v>7.93</v>
      </c>
      <c r="M156">
        <v>84.91</v>
      </c>
      <c r="N156">
        <v>60.42</v>
      </c>
      <c r="O156">
        <v>72.664999999999992</v>
      </c>
      <c r="P156">
        <v>72.37</v>
      </c>
      <c r="Q156">
        <v>77.819999999999993</v>
      </c>
      <c r="R156">
        <v>75.03</v>
      </c>
      <c r="S156">
        <v>25.47</v>
      </c>
      <c r="T156">
        <v>26.37</v>
      </c>
      <c r="U156">
        <v>78.16</v>
      </c>
      <c r="V156">
        <v>73.17</v>
      </c>
      <c r="W156">
        <v>74.17</v>
      </c>
      <c r="X156">
        <v>67.58</v>
      </c>
      <c r="Y156">
        <v>0.186</v>
      </c>
    </row>
    <row r="157" spans="1:25" x14ac:dyDescent="0.35">
      <c r="A157" t="s">
        <v>167</v>
      </c>
      <c r="B157" t="s">
        <v>172</v>
      </c>
      <c r="C157" t="s">
        <v>586</v>
      </c>
      <c r="D157">
        <v>12.38</v>
      </c>
      <c r="E157">
        <v>11.7</v>
      </c>
      <c r="F157">
        <v>11.95</v>
      </c>
      <c r="G157">
        <v>13.97</v>
      </c>
      <c r="H157">
        <v>13.94</v>
      </c>
      <c r="I157">
        <v>13.94</v>
      </c>
      <c r="J157">
        <v>6.68</v>
      </c>
      <c r="K157">
        <v>2.92</v>
      </c>
      <c r="L157">
        <v>5.22</v>
      </c>
      <c r="M157">
        <v>79.2</v>
      </c>
      <c r="N157">
        <v>50.47</v>
      </c>
      <c r="O157">
        <v>64.835000000000008</v>
      </c>
      <c r="P157">
        <v>73.36</v>
      </c>
      <c r="Q157">
        <v>79.239999999999995</v>
      </c>
      <c r="R157">
        <v>76.23</v>
      </c>
      <c r="S157">
        <v>25.47</v>
      </c>
      <c r="T157">
        <v>37.51</v>
      </c>
      <c r="U157">
        <v>88.3</v>
      </c>
      <c r="V157">
        <v>85.92</v>
      </c>
      <c r="W157">
        <v>86.94</v>
      </c>
      <c r="X157">
        <v>79.36</v>
      </c>
      <c r="Y157">
        <v>0.14699999999999999</v>
      </c>
    </row>
    <row r="158" spans="1:25" x14ac:dyDescent="0.35">
      <c r="A158" t="s">
        <v>168</v>
      </c>
      <c r="B158" t="s">
        <v>172</v>
      </c>
      <c r="C158" t="s">
        <v>586</v>
      </c>
      <c r="D158">
        <v>12.3</v>
      </c>
      <c r="E158">
        <v>11.83</v>
      </c>
      <c r="F158">
        <v>11.99</v>
      </c>
      <c r="G158">
        <v>13.97</v>
      </c>
      <c r="H158">
        <v>14.22</v>
      </c>
      <c r="I158">
        <v>14.07</v>
      </c>
      <c r="J158">
        <v>6.27</v>
      </c>
      <c r="K158">
        <v>7.99</v>
      </c>
      <c r="L158">
        <v>6.95</v>
      </c>
      <c r="M158">
        <v>78.900000000000006</v>
      </c>
      <c r="N158">
        <v>50.19</v>
      </c>
      <c r="O158">
        <v>64.545000000000002</v>
      </c>
      <c r="P158">
        <v>73.849999999999994</v>
      </c>
      <c r="Q158">
        <v>78.48</v>
      </c>
      <c r="R158">
        <v>75.59</v>
      </c>
      <c r="S158">
        <v>25.47</v>
      </c>
      <c r="T158">
        <v>34.119999999999997</v>
      </c>
      <c r="U158">
        <v>87.57</v>
      </c>
      <c r="V158">
        <v>83.98</v>
      </c>
      <c r="W158">
        <v>84.65</v>
      </c>
      <c r="X158">
        <v>77.599999999999994</v>
      </c>
      <c r="Y158">
        <v>0.129</v>
      </c>
    </row>
    <row r="159" spans="1:25" x14ac:dyDescent="0.35">
      <c r="A159" t="s">
        <v>169</v>
      </c>
      <c r="B159" t="s">
        <v>172</v>
      </c>
      <c r="C159" t="s">
        <v>586</v>
      </c>
      <c r="D159">
        <v>11.83</v>
      </c>
      <c r="E159">
        <v>11.4</v>
      </c>
      <c r="F159">
        <v>11.61</v>
      </c>
      <c r="G159">
        <v>13.52</v>
      </c>
      <c r="H159">
        <v>13.31</v>
      </c>
      <c r="I159">
        <v>13.31</v>
      </c>
      <c r="J159">
        <v>6.4</v>
      </c>
      <c r="K159">
        <v>5.99</v>
      </c>
      <c r="L159">
        <v>6.24</v>
      </c>
      <c r="M159">
        <v>79.489999999999995</v>
      </c>
      <c r="N159">
        <v>50.44</v>
      </c>
      <c r="O159">
        <v>64.965000000000003</v>
      </c>
      <c r="P159">
        <v>73.64</v>
      </c>
      <c r="Q159">
        <v>79.650000000000006</v>
      </c>
      <c r="R159">
        <v>76.569999999999993</v>
      </c>
      <c r="S159">
        <v>25.47</v>
      </c>
      <c r="T159">
        <v>39.67</v>
      </c>
      <c r="U159">
        <v>85.26</v>
      </c>
      <c r="V159">
        <v>82.05</v>
      </c>
      <c r="W159">
        <v>83.01</v>
      </c>
      <c r="X159">
        <v>80.89</v>
      </c>
      <c r="Y159">
        <v>0.13600000000000001</v>
      </c>
    </row>
    <row r="160" spans="1:25" x14ac:dyDescent="0.35">
      <c r="A160" t="s">
        <v>170</v>
      </c>
      <c r="B160" t="s">
        <v>172</v>
      </c>
      <c r="C160" t="s">
        <v>586</v>
      </c>
      <c r="D160">
        <v>11.65</v>
      </c>
      <c r="E160">
        <v>10.83</v>
      </c>
      <c r="F160">
        <v>11.24</v>
      </c>
      <c r="G160">
        <v>13.27</v>
      </c>
      <c r="H160">
        <v>13.14</v>
      </c>
      <c r="I160">
        <v>13.14</v>
      </c>
      <c r="J160">
        <v>6.01</v>
      </c>
      <c r="K160">
        <v>6.46</v>
      </c>
      <c r="L160">
        <v>6.18</v>
      </c>
      <c r="M160">
        <v>79.81</v>
      </c>
      <c r="N160">
        <v>48.39</v>
      </c>
      <c r="O160">
        <v>64.099999999999994</v>
      </c>
      <c r="P160">
        <v>73.16</v>
      </c>
      <c r="Q160">
        <v>78.95</v>
      </c>
      <c r="R160">
        <v>75.98</v>
      </c>
      <c r="S160">
        <v>25.47</v>
      </c>
      <c r="T160">
        <v>34.54</v>
      </c>
      <c r="U160">
        <v>85.98</v>
      </c>
      <c r="V160">
        <v>82.25</v>
      </c>
      <c r="W160">
        <v>83.64</v>
      </c>
      <c r="X160">
        <v>77.709999999999994</v>
      </c>
      <c r="Y160">
        <v>0.16400000000000001</v>
      </c>
    </row>
    <row r="161" spans="1:25" x14ac:dyDescent="0.35">
      <c r="A161" t="s">
        <v>171</v>
      </c>
      <c r="B161" t="s">
        <v>172</v>
      </c>
      <c r="C161" t="s">
        <v>586</v>
      </c>
      <c r="D161">
        <v>11.34</v>
      </c>
      <c r="E161">
        <v>10.43</v>
      </c>
      <c r="F161">
        <v>10.85</v>
      </c>
      <c r="G161">
        <v>13</v>
      </c>
      <c r="H161">
        <v>12.65</v>
      </c>
      <c r="I161">
        <v>12.7</v>
      </c>
      <c r="J161">
        <v>5.79</v>
      </c>
      <c r="K161">
        <v>6.82</v>
      </c>
      <c r="L161">
        <v>6.18</v>
      </c>
      <c r="M161">
        <v>83.1</v>
      </c>
      <c r="N161">
        <v>52.34</v>
      </c>
      <c r="O161">
        <v>67.72</v>
      </c>
      <c r="P161">
        <v>72.489999999999995</v>
      </c>
      <c r="Q161">
        <v>77.989999999999995</v>
      </c>
      <c r="R161">
        <v>75.17</v>
      </c>
      <c r="S161">
        <v>25.47</v>
      </c>
      <c r="T161">
        <v>36.32</v>
      </c>
      <c r="U161">
        <v>85.24</v>
      </c>
      <c r="V161">
        <v>80.489999999999995</v>
      </c>
      <c r="W161">
        <v>81.39</v>
      </c>
      <c r="X161">
        <v>78.28</v>
      </c>
      <c r="Y161">
        <v>0.155</v>
      </c>
    </row>
    <row r="162" spans="1:25" x14ac:dyDescent="0.35">
      <c r="A162" t="s">
        <v>173</v>
      </c>
      <c r="B162" t="s">
        <v>200</v>
      </c>
      <c r="C162" t="s">
        <v>586</v>
      </c>
      <c r="D162">
        <v>8.99</v>
      </c>
      <c r="E162">
        <v>8.0500000000000007</v>
      </c>
      <c r="F162">
        <v>8.39</v>
      </c>
      <c r="G162">
        <v>12.91</v>
      </c>
      <c r="H162">
        <v>12.65</v>
      </c>
      <c r="I162">
        <v>12.75</v>
      </c>
      <c r="J162">
        <v>7.86</v>
      </c>
      <c r="K162">
        <v>6.31</v>
      </c>
      <c r="L162">
        <v>7.34</v>
      </c>
      <c r="M162">
        <v>85.99</v>
      </c>
      <c r="N162">
        <v>45.57</v>
      </c>
      <c r="O162">
        <v>65.78</v>
      </c>
      <c r="P162">
        <v>72.260000000000005</v>
      </c>
      <c r="Q162">
        <v>77.66</v>
      </c>
      <c r="R162">
        <v>74.900000000000006</v>
      </c>
      <c r="S162">
        <v>9.09</v>
      </c>
      <c r="T162">
        <v>26.22</v>
      </c>
      <c r="U162">
        <v>77.040000000000006</v>
      </c>
      <c r="V162">
        <v>69.47</v>
      </c>
      <c r="W162">
        <v>72.39</v>
      </c>
      <c r="X162">
        <v>56.99</v>
      </c>
      <c r="Y162">
        <v>0.57699999999999996</v>
      </c>
    </row>
    <row r="163" spans="1:25" x14ac:dyDescent="0.35">
      <c r="A163" t="s">
        <v>174</v>
      </c>
      <c r="B163" t="s">
        <v>200</v>
      </c>
      <c r="C163" t="s">
        <v>586</v>
      </c>
      <c r="D163">
        <v>7.84</v>
      </c>
      <c r="E163">
        <v>7.09</v>
      </c>
      <c r="F163">
        <v>7.34</v>
      </c>
      <c r="G163">
        <v>12.66</v>
      </c>
      <c r="H163">
        <v>12.35</v>
      </c>
      <c r="I163">
        <v>12.39</v>
      </c>
      <c r="J163">
        <v>6.87</v>
      </c>
      <c r="K163">
        <v>7.51</v>
      </c>
      <c r="L163">
        <v>7.11</v>
      </c>
      <c r="M163">
        <v>85.69</v>
      </c>
      <c r="N163">
        <v>53.44</v>
      </c>
      <c r="O163">
        <v>69.564999999999998</v>
      </c>
      <c r="P163">
        <v>72.22</v>
      </c>
      <c r="Q163">
        <v>77.61</v>
      </c>
      <c r="R163">
        <v>74.849999999999994</v>
      </c>
      <c r="S163">
        <v>18</v>
      </c>
      <c r="T163">
        <v>27.17</v>
      </c>
      <c r="U163">
        <v>73.88</v>
      </c>
      <c r="V163">
        <v>65.45</v>
      </c>
      <c r="W163">
        <v>68.97</v>
      </c>
      <c r="X163">
        <v>65</v>
      </c>
      <c r="Y163">
        <v>0.53300000000000003</v>
      </c>
    </row>
    <row r="164" spans="1:25" x14ac:dyDescent="0.35">
      <c r="A164" t="s">
        <v>175</v>
      </c>
      <c r="B164" t="s">
        <v>200</v>
      </c>
      <c r="C164" t="s">
        <v>586</v>
      </c>
      <c r="D164">
        <v>7.54</v>
      </c>
      <c r="E164">
        <v>6.93</v>
      </c>
      <c r="F164">
        <v>7.33</v>
      </c>
      <c r="G164">
        <v>12.32</v>
      </c>
      <c r="H164">
        <v>12</v>
      </c>
      <c r="I164">
        <v>12.04</v>
      </c>
      <c r="J164">
        <v>6.58</v>
      </c>
      <c r="K164">
        <v>4.99</v>
      </c>
      <c r="L164">
        <v>5.99</v>
      </c>
      <c r="M164">
        <v>88.86</v>
      </c>
      <c r="N164">
        <v>55.61</v>
      </c>
      <c r="O164">
        <v>72.234999999999999</v>
      </c>
      <c r="P164">
        <v>72.180000000000007</v>
      </c>
      <c r="Q164">
        <v>77.55</v>
      </c>
      <c r="R164">
        <v>74.8</v>
      </c>
      <c r="S164">
        <v>22</v>
      </c>
      <c r="T164">
        <v>21.41</v>
      </c>
      <c r="U164">
        <v>71.599999999999994</v>
      </c>
      <c r="V164">
        <v>61.18</v>
      </c>
      <c r="W164">
        <v>67.239999999999995</v>
      </c>
      <c r="X164">
        <v>63.11</v>
      </c>
      <c r="Y164">
        <v>0.54400000000000004</v>
      </c>
    </row>
    <row r="165" spans="1:25" x14ac:dyDescent="0.35">
      <c r="A165" t="s">
        <v>176</v>
      </c>
      <c r="B165" t="s">
        <v>200</v>
      </c>
      <c r="C165" t="s">
        <v>586</v>
      </c>
      <c r="D165">
        <v>9.34</v>
      </c>
      <c r="E165">
        <v>9.0299999999999994</v>
      </c>
      <c r="F165">
        <v>9.15</v>
      </c>
      <c r="G165">
        <v>12.28</v>
      </c>
      <c r="H165">
        <v>13.12</v>
      </c>
      <c r="I165">
        <v>12.74</v>
      </c>
      <c r="J165">
        <v>6.96</v>
      </c>
      <c r="K165">
        <v>5.35</v>
      </c>
      <c r="L165">
        <v>6.36</v>
      </c>
      <c r="M165">
        <v>82.71</v>
      </c>
      <c r="N165">
        <v>51.25</v>
      </c>
      <c r="O165">
        <v>66.97999999999999</v>
      </c>
      <c r="P165">
        <v>72.83</v>
      </c>
      <c r="Q165">
        <v>78.06</v>
      </c>
      <c r="R165">
        <v>75.23</v>
      </c>
      <c r="S165">
        <v>16.36</v>
      </c>
      <c r="T165">
        <v>33.4</v>
      </c>
      <c r="U165">
        <v>77.16</v>
      </c>
      <c r="V165">
        <v>72.709999999999994</v>
      </c>
      <c r="W165">
        <v>74.27</v>
      </c>
      <c r="X165">
        <v>71.17</v>
      </c>
      <c r="Y165">
        <v>0.38700000000000001</v>
      </c>
    </row>
    <row r="166" spans="1:25" x14ac:dyDescent="0.35">
      <c r="A166" t="s">
        <v>177</v>
      </c>
      <c r="B166" t="s">
        <v>200</v>
      </c>
      <c r="C166" t="s">
        <v>586</v>
      </c>
      <c r="D166">
        <v>8.19</v>
      </c>
      <c r="E166">
        <v>7.5</v>
      </c>
      <c r="F166">
        <v>7.85</v>
      </c>
      <c r="G166">
        <v>12.38</v>
      </c>
      <c r="H166">
        <v>12.11</v>
      </c>
      <c r="I166">
        <v>12.17</v>
      </c>
      <c r="J166">
        <v>7.65</v>
      </c>
      <c r="K166">
        <v>5.87</v>
      </c>
      <c r="L166">
        <v>6.96</v>
      </c>
      <c r="M166">
        <v>85.54</v>
      </c>
      <c r="N166">
        <v>56.48</v>
      </c>
      <c r="O166">
        <v>71.010000000000005</v>
      </c>
      <c r="P166">
        <v>72.239999999999995</v>
      </c>
      <c r="Q166">
        <v>77.63</v>
      </c>
      <c r="R166">
        <v>74.87</v>
      </c>
      <c r="S166">
        <v>24</v>
      </c>
      <c r="T166">
        <v>32.18</v>
      </c>
      <c r="U166">
        <v>73.16</v>
      </c>
      <c r="V166">
        <v>61.09</v>
      </c>
      <c r="W166">
        <v>68.790000000000006</v>
      </c>
      <c r="X166">
        <v>76.05</v>
      </c>
      <c r="Y166">
        <v>0.53300000000000003</v>
      </c>
    </row>
    <row r="167" spans="1:25" x14ac:dyDescent="0.35">
      <c r="A167" t="s">
        <v>178</v>
      </c>
      <c r="B167" t="s">
        <v>200</v>
      </c>
      <c r="C167" t="s">
        <v>586</v>
      </c>
      <c r="D167">
        <v>8.11</v>
      </c>
      <c r="E167">
        <v>7.84</v>
      </c>
      <c r="F167">
        <v>7.97</v>
      </c>
      <c r="G167">
        <v>12.75</v>
      </c>
      <c r="H167">
        <v>12.64</v>
      </c>
      <c r="I167">
        <v>12.64</v>
      </c>
      <c r="J167">
        <v>4.9000000000000004</v>
      </c>
      <c r="K167">
        <v>1.87</v>
      </c>
      <c r="L167">
        <v>3.74</v>
      </c>
      <c r="M167">
        <v>83.98</v>
      </c>
      <c r="N167">
        <v>53.26</v>
      </c>
      <c r="O167">
        <v>68.62</v>
      </c>
      <c r="P167">
        <v>71.69</v>
      </c>
      <c r="Q167">
        <v>76.540000000000006</v>
      </c>
      <c r="R167">
        <v>74.06</v>
      </c>
      <c r="S167">
        <v>12</v>
      </c>
      <c r="T167">
        <v>27.95</v>
      </c>
      <c r="U167">
        <v>72.92</v>
      </c>
      <c r="V167">
        <v>63.51</v>
      </c>
      <c r="W167">
        <v>68.36</v>
      </c>
      <c r="X167">
        <v>60.82</v>
      </c>
      <c r="Y167">
        <v>0.55900000000000005</v>
      </c>
    </row>
    <row r="168" spans="1:25" x14ac:dyDescent="0.35">
      <c r="A168" t="s">
        <v>179</v>
      </c>
      <c r="B168" t="s">
        <v>200</v>
      </c>
      <c r="C168" t="s">
        <v>586</v>
      </c>
      <c r="D168">
        <v>8.32</v>
      </c>
      <c r="E168">
        <v>7.9</v>
      </c>
      <c r="F168">
        <v>8.1</v>
      </c>
      <c r="G168">
        <v>14.69</v>
      </c>
      <c r="H168">
        <v>14.3</v>
      </c>
      <c r="I168">
        <v>14.3</v>
      </c>
      <c r="J168">
        <v>4.7</v>
      </c>
      <c r="K168">
        <v>1.46</v>
      </c>
      <c r="L168">
        <v>3.37</v>
      </c>
      <c r="M168">
        <v>80.8</v>
      </c>
      <c r="N168">
        <v>55.64</v>
      </c>
      <c r="O168">
        <v>68.22</v>
      </c>
      <c r="P168">
        <v>72.56</v>
      </c>
      <c r="Q168">
        <v>78.09</v>
      </c>
      <c r="R168">
        <v>75.260000000000005</v>
      </c>
      <c r="S168">
        <v>10</v>
      </c>
      <c r="T168">
        <v>39.14</v>
      </c>
      <c r="U168">
        <v>77.790000000000006</v>
      </c>
      <c r="V168">
        <v>68.05</v>
      </c>
      <c r="W168">
        <v>72.56</v>
      </c>
      <c r="X168">
        <v>66.069999999999993</v>
      </c>
      <c r="Y168">
        <v>0.439</v>
      </c>
    </row>
    <row r="169" spans="1:25" x14ac:dyDescent="0.35">
      <c r="A169" t="s">
        <v>180</v>
      </c>
      <c r="B169" t="s">
        <v>200</v>
      </c>
      <c r="C169" t="s">
        <v>586</v>
      </c>
      <c r="D169">
        <v>8.17</v>
      </c>
      <c r="E169">
        <v>7.64</v>
      </c>
      <c r="F169">
        <v>7.9</v>
      </c>
      <c r="G169">
        <v>12.94</v>
      </c>
      <c r="H169">
        <v>12.27</v>
      </c>
      <c r="I169">
        <v>12.27</v>
      </c>
      <c r="J169">
        <v>8.57</v>
      </c>
      <c r="K169">
        <v>6.51</v>
      </c>
      <c r="L169">
        <v>7.78</v>
      </c>
      <c r="M169">
        <v>80.569999999999993</v>
      </c>
      <c r="N169">
        <v>50.85</v>
      </c>
      <c r="O169">
        <v>65.709999999999994</v>
      </c>
      <c r="P169">
        <v>73.42</v>
      </c>
      <c r="Q169">
        <v>77.94</v>
      </c>
      <c r="R169">
        <v>75.22</v>
      </c>
      <c r="S169">
        <v>32</v>
      </c>
      <c r="T169">
        <v>31.43</v>
      </c>
      <c r="U169">
        <v>76.48</v>
      </c>
      <c r="V169">
        <v>66.959999999999994</v>
      </c>
      <c r="W169">
        <v>71.260000000000005</v>
      </c>
      <c r="X169">
        <v>78.86</v>
      </c>
      <c r="Y169">
        <v>0.41499999999999998</v>
      </c>
    </row>
    <row r="170" spans="1:25" x14ac:dyDescent="0.35">
      <c r="A170" t="s">
        <v>181</v>
      </c>
      <c r="B170" t="s">
        <v>200</v>
      </c>
      <c r="C170" t="s">
        <v>586</v>
      </c>
      <c r="D170">
        <v>8.07</v>
      </c>
      <c r="E170">
        <v>7.22</v>
      </c>
      <c r="F170">
        <v>7.65</v>
      </c>
      <c r="G170">
        <v>12.42</v>
      </c>
      <c r="H170">
        <v>12.77</v>
      </c>
      <c r="I170">
        <v>12.42</v>
      </c>
      <c r="J170">
        <v>7.43</v>
      </c>
      <c r="K170">
        <v>5.56</v>
      </c>
      <c r="L170">
        <v>6.74</v>
      </c>
      <c r="M170">
        <v>86.46</v>
      </c>
      <c r="N170">
        <v>51.86</v>
      </c>
      <c r="O170">
        <v>69.16</v>
      </c>
      <c r="P170">
        <v>72.33</v>
      </c>
      <c r="Q170">
        <v>77.760000000000005</v>
      </c>
      <c r="R170">
        <v>74.98</v>
      </c>
      <c r="S170">
        <v>28</v>
      </c>
      <c r="T170">
        <v>27.62</v>
      </c>
      <c r="U170">
        <v>76.040000000000006</v>
      </c>
      <c r="V170">
        <v>64.44</v>
      </c>
      <c r="W170">
        <v>71.44</v>
      </c>
      <c r="X170">
        <v>75.09</v>
      </c>
      <c r="Y170">
        <v>0.38500000000000001</v>
      </c>
    </row>
    <row r="171" spans="1:25" x14ac:dyDescent="0.35">
      <c r="A171" t="s">
        <v>182</v>
      </c>
      <c r="B171" t="s">
        <v>200</v>
      </c>
      <c r="C171" t="s">
        <v>586</v>
      </c>
      <c r="D171">
        <v>7.84</v>
      </c>
      <c r="E171">
        <v>7.21</v>
      </c>
      <c r="F171">
        <v>7.53</v>
      </c>
      <c r="G171">
        <v>12.49</v>
      </c>
      <c r="H171">
        <v>12.25</v>
      </c>
      <c r="I171">
        <v>12.27</v>
      </c>
      <c r="J171">
        <v>3.81</v>
      </c>
      <c r="K171">
        <v>4.32</v>
      </c>
      <c r="L171">
        <v>4.01</v>
      </c>
      <c r="M171">
        <v>85.24</v>
      </c>
      <c r="N171">
        <v>54.11</v>
      </c>
      <c r="O171">
        <v>69.674999999999997</v>
      </c>
      <c r="P171">
        <v>72.33</v>
      </c>
      <c r="Q171">
        <v>77.760000000000005</v>
      </c>
      <c r="R171">
        <v>74.98</v>
      </c>
      <c r="S171">
        <v>14</v>
      </c>
      <c r="T171">
        <v>27.59</v>
      </c>
      <c r="U171">
        <v>74.150000000000006</v>
      </c>
      <c r="V171">
        <v>64.63</v>
      </c>
      <c r="W171">
        <v>69.739999999999995</v>
      </c>
      <c r="X171">
        <v>62.81</v>
      </c>
      <c r="Y171">
        <v>0.437</v>
      </c>
    </row>
    <row r="172" spans="1:25" x14ac:dyDescent="0.35">
      <c r="A172" t="s">
        <v>183</v>
      </c>
      <c r="B172" t="s">
        <v>200</v>
      </c>
      <c r="C172" t="s">
        <v>586</v>
      </c>
      <c r="D172">
        <v>8.9600000000000009</v>
      </c>
      <c r="E172">
        <v>8.49</v>
      </c>
      <c r="F172">
        <v>8.74</v>
      </c>
      <c r="G172">
        <v>13</v>
      </c>
      <c r="H172">
        <v>13.68</v>
      </c>
      <c r="I172">
        <v>13.02</v>
      </c>
      <c r="J172">
        <v>7.08</v>
      </c>
      <c r="K172">
        <v>4.7300000000000004</v>
      </c>
      <c r="L172">
        <v>6.16</v>
      </c>
      <c r="M172">
        <v>83.74</v>
      </c>
      <c r="N172">
        <v>54.65</v>
      </c>
      <c r="O172">
        <v>69.194999999999993</v>
      </c>
      <c r="P172">
        <v>72.59</v>
      </c>
      <c r="Q172">
        <v>78.13</v>
      </c>
      <c r="R172">
        <v>75.290000000000006</v>
      </c>
      <c r="S172">
        <v>24</v>
      </c>
      <c r="T172">
        <v>35.1</v>
      </c>
      <c r="U172">
        <v>76.89</v>
      </c>
      <c r="V172">
        <v>73.47</v>
      </c>
      <c r="W172">
        <v>73.73</v>
      </c>
      <c r="X172">
        <v>76.989999999999995</v>
      </c>
      <c r="Y172">
        <v>0.217</v>
      </c>
    </row>
    <row r="173" spans="1:25" x14ac:dyDescent="0.35">
      <c r="A173" t="s">
        <v>184</v>
      </c>
      <c r="B173" t="s">
        <v>200</v>
      </c>
      <c r="C173" t="s">
        <v>586</v>
      </c>
      <c r="D173">
        <v>7.51</v>
      </c>
      <c r="E173">
        <v>6.37</v>
      </c>
      <c r="F173">
        <v>6.95</v>
      </c>
      <c r="G173">
        <v>12.01</v>
      </c>
      <c r="H173">
        <v>12.6</v>
      </c>
      <c r="I173">
        <v>12.32</v>
      </c>
      <c r="J173">
        <v>6.58</v>
      </c>
      <c r="K173">
        <v>5.69</v>
      </c>
      <c r="L173">
        <v>6.25</v>
      </c>
      <c r="M173">
        <v>84.71</v>
      </c>
      <c r="N173">
        <v>48.21</v>
      </c>
      <c r="O173">
        <v>66.459999999999994</v>
      </c>
      <c r="P173">
        <v>72.2</v>
      </c>
      <c r="Q173">
        <v>77.58</v>
      </c>
      <c r="R173">
        <v>74.819999999999993</v>
      </c>
      <c r="S173">
        <v>28</v>
      </c>
      <c r="T173">
        <v>21.06</v>
      </c>
      <c r="U173">
        <v>74.099999999999994</v>
      </c>
      <c r="V173">
        <v>65.97</v>
      </c>
      <c r="W173">
        <v>69.83</v>
      </c>
      <c r="X173">
        <v>68.95</v>
      </c>
      <c r="Y173">
        <v>0.34899999999999998</v>
      </c>
    </row>
    <row r="174" spans="1:25" x14ac:dyDescent="0.35">
      <c r="A174" t="s">
        <v>185</v>
      </c>
      <c r="B174" t="s">
        <v>200</v>
      </c>
      <c r="C174" t="s">
        <v>586</v>
      </c>
      <c r="D174">
        <v>7.91</v>
      </c>
      <c r="E174">
        <v>7.14</v>
      </c>
      <c r="F174">
        <v>7.46</v>
      </c>
      <c r="G174">
        <v>12.1</v>
      </c>
      <c r="H174">
        <v>12.18</v>
      </c>
      <c r="I174">
        <v>12.11</v>
      </c>
      <c r="J174">
        <v>6.25</v>
      </c>
      <c r="K174">
        <v>7.49</v>
      </c>
      <c r="L174">
        <v>6.73</v>
      </c>
      <c r="M174">
        <v>87.76</v>
      </c>
      <c r="N174">
        <v>55.83</v>
      </c>
      <c r="O174">
        <v>71.795000000000002</v>
      </c>
      <c r="P174">
        <v>72.42</v>
      </c>
      <c r="Q174">
        <v>77.88</v>
      </c>
      <c r="R174">
        <v>75.08</v>
      </c>
      <c r="S174">
        <v>22</v>
      </c>
      <c r="T174">
        <v>31.71</v>
      </c>
      <c r="U174">
        <v>74.95</v>
      </c>
      <c r="V174">
        <v>68.62</v>
      </c>
      <c r="W174">
        <v>71.36</v>
      </c>
      <c r="X174">
        <v>71.760000000000005</v>
      </c>
      <c r="Y174">
        <v>0.432</v>
      </c>
    </row>
    <row r="175" spans="1:25" x14ac:dyDescent="0.35">
      <c r="A175" t="s">
        <v>186</v>
      </c>
      <c r="B175" t="s">
        <v>200</v>
      </c>
      <c r="C175" t="s">
        <v>586</v>
      </c>
      <c r="D175">
        <v>8.81</v>
      </c>
      <c r="E175">
        <v>7.7</v>
      </c>
      <c r="F175">
        <v>8.14</v>
      </c>
      <c r="G175">
        <v>12.25</v>
      </c>
      <c r="H175">
        <v>12.29</v>
      </c>
      <c r="I175">
        <v>12.25</v>
      </c>
      <c r="J175">
        <v>8.57</v>
      </c>
      <c r="K175">
        <v>4.9800000000000004</v>
      </c>
      <c r="L175">
        <v>7.34</v>
      </c>
      <c r="M175">
        <v>86.62</v>
      </c>
      <c r="N175">
        <v>46.19</v>
      </c>
      <c r="O175">
        <v>66.405000000000001</v>
      </c>
      <c r="P175">
        <v>72.28</v>
      </c>
      <c r="Q175">
        <v>77.69</v>
      </c>
      <c r="R175">
        <v>74.92</v>
      </c>
      <c r="S175">
        <v>30</v>
      </c>
      <c r="T175">
        <v>28.63</v>
      </c>
      <c r="U175">
        <v>77.55</v>
      </c>
      <c r="V175">
        <v>67.61</v>
      </c>
      <c r="W175">
        <v>72.650000000000006</v>
      </c>
      <c r="X175">
        <v>76.22</v>
      </c>
      <c r="Y175">
        <v>0.54800000000000004</v>
      </c>
    </row>
    <row r="176" spans="1:25" x14ac:dyDescent="0.35">
      <c r="A176" t="s">
        <v>187</v>
      </c>
      <c r="B176" t="s">
        <v>200</v>
      </c>
      <c r="C176" t="s">
        <v>586</v>
      </c>
      <c r="D176">
        <v>8.49</v>
      </c>
      <c r="E176">
        <v>7.49</v>
      </c>
      <c r="F176">
        <v>8.0500000000000007</v>
      </c>
      <c r="G176">
        <v>12.25</v>
      </c>
      <c r="H176">
        <v>12.21</v>
      </c>
      <c r="I176">
        <v>12.21</v>
      </c>
      <c r="J176">
        <v>7.39</v>
      </c>
      <c r="K176">
        <v>9.32</v>
      </c>
      <c r="L176">
        <v>8.0399999999999991</v>
      </c>
      <c r="M176">
        <v>83.56</v>
      </c>
      <c r="N176">
        <v>43.48</v>
      </c>
      <c r="O176">
        <v>63.519999999999996</v>
      </c>
      <c r="P176">
        <v>72.48</v>
      </c>
      <c r="Q176">
        <v>77.98</v>
      </c>
      <c r="R176">
        <v>75.16</v>
      </c>
      <c r="S176">
        <v>16</v>
      </c>
      <c r="T176">
        <v>27.96</v>
      </c>
      <c r="U176">
        <v>76.540000000000006</v>
      </c>
      <c r="V176">
        <v>69.83</v>
      </c>
      <c r="W176">
        <v>72.900000000000006</v>
      </c>
      <c r="X176">
        <v>65.8</v>
      </c>
      <c r="Y176">
        <v>0.47799999999999998</v>
      </c>
    </row>
    <row r="177" spans="1:25" x14ac:dyDescent="0.35">
      <c r="A177" t="s">
        <v>188</v>
      </c>
      <c r="B177" t="s">
        <v>200</v>
      </c>
      <c r="C177" t="s">
        <v>586</v>
      </c>
      <c r="D177">
        <v>9.99</v>
      </c>
      <c r="E177">
        <v>9.34</v>
      </c>
      <c r="F177">
        <v>9.76</v>
      </c>
      <c r="G177">
        <v>13.13</v>
      </c>
      <c r="H177">
        <v>13.23</v>
      </c>
      <c r="I177">
        <v>13.18</v>
      </c>
      <c r="J177">
        <v>9.17</v>
      </c>
      <c r="K177">
        <v>8.1199999999999992</v>
      </c>
      <c r="L177">
        <v>8.82</v>
      </c>
      <c r="M177">
        <v>85.51</v>
      </c>
      <c r="N177">
        <v>44.34</v>
      </c>
      <c r="O177">
        <v>64.925000000000011</v>
      </c>
      <c r="P177">
        <v>73.56</v>
      </c>
      <c r="Q177">
        <v>78.17</v>
      </c>
      <c r="R177">
        <v>75.33</v>
      </c>
      <c r="S177">
        <v>21.82</v>
      </c>
      <c r="T177">
        <v>23.89</v>
      </c>
      <c r="U177">
        <v>80.77</v>
      </c>
      <c r="V177">
        <v>72.47</v>
      </c>
      <c r="W177">
        <v>76.44</v>
      </c>
      <c r="X177">
        <v>66.489999999999995</v>
      </c>
      <c r="Y177">
        <v>0.34799999999999998</v>
      </c>
    </row>
    <row r="178" spans="1:25" x14ac:dyDescent="0.35">
      <c r="A178" t="s">
        <v>189</v>
      </c>
      <c r="B178" t="s">
        <v>200</v>
      </c>
      <c r="C178" t="s">
        <v>586</v>
      </c>
      <c r="D178">
        <v>8.76</v>
      </c>
      <c r="E178">
        <v>7.87</v>
      </c>
      <c r="F178">
        <v>8.24</v>
      </c>
      <c r="G178">
        <v>11.94</v>
      </c>
      <c r="H178">
        <v>12.18</v>
      </c>
      <c r="I178">
        <v>12</v>
      </c>
      <c r="J178">
        <v>6.59</v>
      </c>
      <c r="K178">
        <v>6.92</v>
      </c>
      <c r="L178">
        <v>6.7</v>
      </c>
      <c r="M178">
        <v>87.12</v>
      </c>
      <c r="N178">
        <v>48.84</v>
      </c>
      <c r="O178">
        <v>67.98</v>
      </c>
      <c r="P178">
        <v>72.400000000000006</v>
      </c>
      <c r="Q178">
        <v>77.86</v>
      </c>
      <c r="R178">
        <v>75.06</v>
      </c>
      <c r="S178">
        <v>20</v>
      </c>
      <c r="T178">
        <v>33.770000000000003</v>
      </c>
      <c r="U178">
        <v>74.91</v>
      </c>
      <c r="V178">
        <v>60.69</v>
      </c>
      <c r="W178">
        <v>70.03</v>
      </c>
      <c r="X178">
        <v>74.23</v>
      </c>
      <c r="Y178">
        <v>0.52</v>
      </c>
    </row>
    <row r="179" spans="1:25" x14ac:dyDescent="0.35">
      <c r="A179" t="s">
        <v>190</v>
      </c>
      <c r="B179" t="s">
        <v>200</v>
      </c>
      <c r="C179" t="s">
        <v>586</v>
      </c>
      <c r="D179">
        <v>8.41</v>
      </c>
      <c r="E179">
        <v>7.88</v>
      </c>
      <c r="F179">
        <v>8.1</v>
      </c>
      <c r="G179">
        <v>12.36</v>
      </c>
      <c r="H179">
        <v>12.31</v>
      </c>
      <c r="I179">
        <v>12.31</v>
      </c>
      <c r="J179">
        <v>1.85</v>
      </c>
      <c r="K179">
        <v>1.24</v>
      </c>
      <c r="L179">
        <v>1.58</v>
      </c>
      <c r="M179">
        <v>91.31</v>
      </c>
      <c r="N179">
        <v>69.11</v>
      </c>
      <c r="O179">
        <v>80.210000000000008</v>
      </c>
      <c r="P179">
        <v>72.44</v>
      </c>
      <c r="Q179">
        <v>77.92</v>
      </c>
      <c r="R179">
        <v>75.11</v>
      </c>
      <c r="S179">
        <v>20</v>
      </c>
      <c r="T179">
        <v>37.06</v>
      </c>
      <c r="U179">
        <v>74</v>
      </c>
      <c r="V179">
        <v>66.88</v>
      </c>
      <c r="W179">
        <v>69.849999999999994</v>
      </c>
      <c r="X179">
        <v>73.89</v>
      </c>
      <c r="Y179">
        <v>0.41499999999999998</v>
      </c>
    </row>
    <row r="180" spans="1:25" x14ac:dyDescent="0.35">
      <c r="A180" t="s">
        <v>191</v>
      </c>
      <c r="B180" t="s">
        <v>200</v>
      </c>
      <c r="C180" t="s">
        <v>586</v>
      </c>
      <c r="D180">
        <v>11.06</v>
      </c>
      <c r="E180">
        <v>10.36</v>
      </c>
      <c r="F180">
        <v>10.71</v>
      </c>
      <c r="G180">
        <v>13.42</v>
      </c>
      <c r="H180">
        <v>13.7</v>
      </c>
      <c r="I180">
        <v>13.51</v>
      </c>
      <c r="J180">
        <v>7.77</v>
      </c>
      <c r="K180">
        <v>8.74</v>
      </c>
      <c r="L180">
        <v>8.1300000000000008</v>
      </c>
      <c r="M180">
        <v>83.71</v>
      </c>
      <c r="N180">
        <v>50.69</v>
      </c>
      <c r="O180">
        <v>67.199999999999989</v>
      </c>
      <c r="P180">
        <v>73.010000000000005</v>
      </c>
      <c r="Q180">
        <v>78.739999999999995</v>
      </c>
      <c r="R180">
        <v>75.8</v>
      </c>
      <c r="S180">
        <v>26</v>
      </c>
      <c r="T180">
        <v>29.47</v>
      </c>
      <c r="U180">
        <v>83.1</v>
      </c>
      <c r="V180">
        <v>75.84</v>
      </c>
      <c r="W180">
        <v>78.52</v>
      </c>
      <c r="X180">
        <v>75.599999999999994</v>
      </c>
      <c r="Y180">
        <v>0.376</v>
      </c>
    </row>
    <row r="181" spans="1:25" x14ac:dyDescent="0.35">
      <c r="A181" t="s">
        <v>192</v>
      </c>
      <c r="B181" t="s">
        <v>200</v>
      </c>
      <c r="C181" t="s">
        <v>586</v>
      </c>
      <c r="D181">
        <v>10.71</v>
      </c>
      <c r="E181">
        <v>10.1</v>
      </c>
      <c r="F181">
        <v>10.38</v>
      </c>
      <c r="G181">
        <v>14.43</v>
      </c>
      <c r="H181">
        <v>13.6</v>
      </c>
      <c r="I181">
        <v>13.62</v>
      </c>
      <c r="J181">
        <v>9.08</v>
      </c>
      <c r="K181">
        <v>7.07</v>
      </c>
      <c r="L181">
        <v>8.34</v>
      </c>
      <c r="M181">
        <v>79.540000000000006</v>
      </c>
      <c r="N181">
        <v>45.67</v>
      </c>
      <c r="O181">
        <v>62.605000000000004</v>
      </c>
      <c r="P181">
        <v>72.44</v>
      </c>
      <c r="Q181">
        <v>77.92</v>
      </c>
      <c r="R181">
        <v>75.11</v>
      </c>
      <c r="S181">
        <v>20</v>
      </c>
      <c r="T181">
        <v>28.21</v>
      </c>
      <c r="U181">
        <v>81.489999999999995</v>
      </c>
      <c r="V181">
        <v>75.45</v>
      </c>
      <c r="W181">
        <v>76.849999999999994</v>
      </c>
      <c r="X181">
        <v>69.05</v>
      </c>
      <c r="Y181">
        <v>0.35899999999999999</v>
      </c>
    </row>
    <row r="182" spans="1:25" x14ac:dyDescent="0.35">
      <c r="A182" t="s">
        <v>193</v>
      </c>
      <c r="B182" t="s">
        <v>200</v>
      </c>
      <c r="C182" t="s">
        <v>586</v>
      </c>
      <c r="D182">
        <v>11.43</v>
      </c>
      <c r="E182">
        <v>10.78</v>
      </c>
      <c r="F182">
        <v>11.07</v>
      </c>
      <c r="G182">
        <v>14.24</v>
      </c>
      <c r="H182">
        <v>14.5</v>
      </c>
      <c r="I182">
        <v>14.25</v>
      </c>
      <c r="J182">
        <v>7.23</v>
      </c>
      <c r="K182">
        <v>7.68</v>
      </c>
      <c r="L182">
        <v>7.4</v>
      </c>
      <c r="M182">
        <v>83.93</v>
      </c>
      <c r="N182">
        <v>51.96</v>
      </c>
      <c r="O182">
        <v>67.945000000000007</v>
      </c>
      <c r="P182">
        <v>74.16</v>
      </c>
      <c r="Q182">
        <v>78.77</v>
      </c>
      <c r="R182">
        <v>75.83</v>
      </c>
      <c r="S182">
        <v>16</v>
      </c>
      <c r="T182">
        <v>35.57</v>
      </c>
      <c r="U182">
        <v>86.94</v>
      </c>
      <c r="V182">
        <v>82.48</v>
      </c>
      <c r="W182">
        <v>83.52</v>
      </c>
      <c r="X182">
        <v>70.95</v>
      </c>
      <c r="Y182">
        <v>0.24399999999999999</v>
      </c>
    </row>
    <row r="183" spans="1:25" x14ac:dyDescent="0.35">
      <c r="A183" t="s">
        <v>194</v>
      </c>
      <c r="B183" t="s">
        <v>200</v>
      </c>
      <c r="C183" t="s">
        <v>586</v>
      </c>
      <c r="D183">
        <v>10.83</v>
      </c>
      <c r="E183">
        <v>10.39</v>
      </c>
      <c r="F183">
        <v>10.53</v>
      </c>
      <c r="G183">
        <v>12.84</v>
      </c>
      <c r="H183">
        <v>13.46</v>
      </c>
      <c r="I183">
        <v>13.17</v>
      </c>
      <c r="J183">
        <v>6.27</v>
      </c>
      <c r="K183">
        <v>6.32</v>
      </c>
      <c r="L183">
        <v>6.29</v>
      </c>
      <c r="M183">
        <v>82.41</v>
      </c>
      <c r="N183">
        <v>54.77</v>
      </c>
      <c r="O183">
        <v>68.59</v>
      </c>
      <c r="P183">
        <v>72.739999999999995</v>
      </c>
      <c r="Q183">
        <v>78.36</v>
      </c>
      <c r="R183">
        <v>75.48</v>
      </c>
      <c r="S183">
        <v>34.29</v>
      </c>
      <c r="T183">
        <v>31.77</v>
      </c>
      <c r="U183">
        <v>79.95</v>
      </c>
      <c r="V183">
        <v>76.62</v>
      </c>
      <c r="W183">
        <v>77.08</v>
      </c>
      <c r="X183">
        <v>81.14</v>
      </c>
      <c r="Y183">
        <v>0.38300000000000001</v>
      </c>
    </row>
    <row r="184" spans="1:25" x14ac:dyDescent="0.35">
      <c r="A184" t="s">
        <v>195</v>
      </c>
      <c r="B184" t="s">
        <v>200</v>
      </c>
      <c r="C184" t="s">
        <v>586</v>
      </c>
      <c r="D184">
        <v>12.29</v>
      </c>
      <c r="E184">
        <v>11.79</v>
      </c>
      <c r="F184">
        <v>11.79</v>
      </c>
      <c r="G184">
        <v>14.35</v>
      </c>
      <c r="H184">
        <v>14.14</v>
      </c>
      <c r="I184">
        <v>14.14</v>
      </c>
      <c r="J184">
        <v>8.82</v>
      </c>
      <c r="K184">
        <v>6.23</v>
      </c>
      <c r="L184">
        <v>7.82</v>
      </c>
      <c r="M184">
        <v>80.540000000000006</v>
      </c>
      <c r="N184">
        <v>50.63</v>
      </c>
      <c r="O184">
        <v>65.585000000000008</v>
      </c>
      <c r="P184">
        <v>74.47</v>
      </c>
      <c r="Q184">
        <v>79.08</v>
      </c>
      <c r="R184">
        <v>76.14</v>
      </c>
      <c r="S184">
        <v>20</v>
      </c>
      <c r="T184">
        <v>29.77</v>
      </c>
      <c r="U184">
        <v>87.84</v>
      </c>
      <c r="V184">
        <v>82.24</v>
      </c>
      <c r="W184">
        <v>83.54</v>
      </c>
      <c r="X184">
        <v>70.489999999999995</v>
      </c>
      <c r="Y184">
        <v>0.27300000000000002</v>
      </c>
    </row>
    <row r="185" spans="1:25" x14ac:dyDescent="0.35">
      <c r="A185" t="s">
        <v>196</v>
      </c>
      <c r="B185" t="s">
        <v>200</v>
      </c>
      <c r="C185" t="s">
        <v>586</v>
      </c>
      <c r="D185">
        <v>11.94</v>
      </c>
      <c r="E185">
        <v>11.29</v>
      </c>
      <c r="F185">
        <v>11.59</v>
      </c>
      <c r="G185">
        <v>13.97</v>
      </c>
      <c r="H185">
        <v>14.35</v>
      </c>
      <c r="I185">
        <v>14.11</v>
      </c>
      <c r="J185">
        <v>6.55</v>
      </c>
      <c r="K185">
        <v>5.8</v>
      </c>
      <c r="L185">
        <v>6.27</v>
      </c>
      <c r="M185">
        <v>78.900000000000006</v>
      </c>
      <c r="N185">
        <v>46.83</v>
      </c>
      <c r="O185">
        <v>62.865000000000002</v>
      </c>
      <c r="P185">
        <v>74.040000000000006</v>
      </c>
      <c r="Q185">
        <v>78.760000000000005</v>
      </c>
      <c r="R185">
        <v>75.819999999999993</v>
      </c>
      <c r="S185">
        <v>24</v>
      </c>
      <c r="T185">
        <v>32.479999999999997</v>
      </c>
      <c r="U185">
        <v>86.99</v>
      </c>
      <c r="V185">
        <v>81.510000000000005</v>
      </c>
      <c r="W185">
        <v>82.91</v>
      </c>
      <c r="X185">
        <v>75.62</v>
      </c>
      <c r="Y185">
        <v>0.16500000000000001</v>
      </c>
    </row>
    <row r="186" spans="1:25" x14ac:dyDescent="0.35">
      <c r="A186" t="s">
        <v>197</v>
      </c>
      <c r="B186" t="s">
        <v>200</v>
      </c>
      <c r="C186" t="s">
        <v>586</v>
      </c>
      <c r="D186">
        <v>11.78</v>
      </c>
      <c r="E186">
        <v>11.22</v>
      </c>
      <c r="F186">
        <v>11.52</v>
      </c>
      <c r="G186">
        <v>14.27</v>
      </c>
      <c r="H186">
        <v>13.85</v>
      </c>
      <c r="I186">
        <v>13.85</v>
      </c>
      <c r="J186">
        <v>8.5399999999999991</v>
      </c>
      <c r="K186">
        <v>9.69</v>
      </c>
      <c r="L186">
        <v>8.9700000000000006</v>
      </c>
      <c r="M186">
        <v>82.9</v>
      </c>
      <c r="N186">
        <v>49.99</v>
      </c>
      <c r="O186">
        <v>66.445000000000007</v>
      </c>
      <c r="P186">
        <v>73.760000000000005</v>
      </c>
      <c r="Q186">
        <v>78.44</v>
      </c>
      <c r="R186">
        <v>75.55</v>
      </c>
      <c r="S186">
        <v>26.67</v>
      </c>
      <c r="T186">
        <v>30.68</v>
      </c>
      <c r="U186">
        <v>84.21</v>
      </c>
      <c r="V186">
        <v>77.709999999999994</v>
      </c>
      <c r="W186">
        <v>80.08</v>
      </c>
      <c r="X186">
        <v>76.260000000000005</v>
      </c>
      <c r="Y186">
        <v>0.16200000000000001</v>
      </c>
    </row>
    <row r="187" spans="1:25" x14ac:dyDescent="0.35">
      <c r="A187" t="s">
        <v>198</v>
      </c>
      <c r="B187" t="s">
        <v>200</v>
      </c>
      <c r="C187" t="s">
        <v>586</v>
      </c>
      <c r="D187">
        <v>9.7799999999999994</v>
      </c>
      <c r="E187">
        <v>9.4</v>
      </c>
      <c r="F187">
        <v>9.6300000000000008</v>
      </c>
      <c r="G187">
        <v>13.43</v>
      </c>
      <c r="H187">
        <v>13.82</v>
      </c>
      <c r="I187">
        <v>13.5</v>
      </c>
      <c r="J187">
        <v>5.44</v>
      </c>
      <c r="K187">
        <v>8.1300000000000008</v>
      </c>
      <c r="L187">
        <v>6.49</v>
      </c>
      <c r="M187">
        <v>83.54</v>
      </c>
      <c r="N187">
        <v>54.03</v>
      </c>
      <c r="O187">
        <v>68.784999999999997</v>
      </c>
      <c r="P187">
        <v>72.599999999999994</v>
      </c>
      <c r="Q187">
        <v>78.16</v>
      </c>
      <c r="R187">
        <v>75.31</v>
      </c>
      <c r="S187">
        <v>16.28</v>
      </c>
      <c r="T187">
        <v>34.369999999999997</v>
      </c>
      <c r="U187">
        <v>78.11</v>
      </c>
      <c r="V187">
        <v>72.03</v>
      </c>
      <c r="W187">
        <v>75.040000000000006</v>
      </c>
      <c r="X187">
        <v>69.84</v>
      </c>
      <c r="Y187">
        <v>0.35399999999999998</v>
      </c>
    </row>
    <row r="188" spans="1:25" x14ac:dyDescent="0.35">
      <c r="A188" t="s">
        <v>199</v>
      </c>
      <c r="B188" t="s">
        <v>200</v>
      </c>
      <c r="C188" t="s">
        <v>586</v>
      </c>
      <c r="D188">
        <v>9.25</v>
      </c>
      <c r="E188">
        <v>8.58</v>
      </c>
      <c r="F188">
        <v>8.83</v>
      </c>
      <c r="G188">
        <v>13.6</v>
      </c>
      <c r="H188">
        <v>13.21</v>
      </c>
      <c r="I188">
        <v>13.28</v>
      </c>
      <c r="J188">
        <v>4.6399999999999997</v>
      </c>
      <c r="K188">
        <v>6.71</v>
      </c>
      <c r="L188">
        <v>5.44</v>
      </c>
      <c r="M188">
        <v>82.35</v>
      </c>
      <c r="N188">
        <v>52.16</v>
      </c>
      <c r="O188">
        <v>67.254999999999995</v>
      </c>
      <c r="P188">
        <v>72.34</v>
      </c>
      <c r="Q188">
        <v>77.78</v>
      </c>
      <c r="R188">
        <v>74.989999999999995</v>
      </c>
      <c r="S188">
        <v>13.33</v>
      </c>
      <c r="T188">
        <v>28.26</v>
      </c>
      <c r="U188">
        <v>78.540000000000006</v>
      </c>
      <c r="V188">
        <v>69.209999999999994</v>
      </c>
      <c r="W188">
        <v>73.64</v>
      </c>
      <c r="X188">
        <v>62.66</v>
      </c>
      <c r="Y188">
        <v>0.23899999999999999</v>
      </c>
    </row>
    <row r="189" spans="1:25" x14ac:dyDescent="0.35">
      <c r="A189" t="s">
        <v>202</v>
      </c>
      <c r="B189" t="s">
        <v>201</v>
      </c>
      <c r="C189" t="s">
        <v>586</v>
      </c>
      <c r="D189">
        <v>7.88</v>
      </c>
      <c r="E189">
        <v>6.98</v>
      </c>
      <c r="F189">
        <v>7.4</v>
      </c>
      <c r="G189">
        <v>13.11</v>
      </c>
      <c r="H189">
        <v>12.69</v>
      </c>
      <c r="I189">
        <v>12.69</v>
      </c>
      <c r="J189">
        <v>8.31</v>
      </c>
      <c r="K189">
        <v>7.05</v>
      </c>
      <c r="L189">
        <v>7.83</v>
      </c>
      <c r="M189">
        <v>83.55</v>
      </c>
      <c r="N189">
        <v>52.28</v>
      </c>
      <c r="O189">
        <v>67.914999999999992</v>
      </c>
      <c r="P189">
        <v>73.209999999999994</v>
      </c>
      <c r="Q189">
        <v>77.75</v>
      </c>
      <c r="R189">
        <v>74.97</v>
      </c>
      <c r="S189">
        <v>24</v>
      </c>
      <c r="T189">
        <v>26.05</v>
      </c>
      <c r="U189">
        <v>77.3</v>
      </c>
      <c r="V189">
        <v>67.569999999999993</v>
      </c>
      <c r="W189">
        <v>72.38</v>
      </c>
      <c r="X189">
        <v>69.97</v>
      </c>
      <c r="Y189">
        <v>0.376</v>
      </c>
    </row>
    <row r="190" spans="1:25" x14ac:dyDescent="0.35">
      <c r="A190" t="s">
        <v>203</v>
      </c>
      <c r="B190" t="s">
        <v>201</v>
      </c>
      <c r="C190" t="s">
        <v>586</v>
      </c>
      <c r="D190">
        <v>8.27</v>
      </c>
      <c r="E190">
        <v>7.58</v>
      </c>
      <c r="F190">
        <v>7.91</v>
      </c>
      <c r="G190">
        <v>13.21</v>
      </c>
      <c r="H190">
        <v>13.46</v>
      </c>
      <c r="I190">
        <v>13.34</v>
      </c>
      <c r="J190">
        <v>6.73</v>
      </c>
      <c r="K190">
        <v>5.26</v>
      </c>
      <c r="L190">
        <v>6.18</v>
      </c>
      <c r="M190">
        <v>85.44</v>
      </c>
      <c r="N190">
        <v>50.62</v>
      </c>
      <c r="O190">
        <v>68.03</v>
      </c>
      <c r="P190">
        <v>72.52</v>
      </c>
      <c r="Q190">
        <v>76.930000000000007</v>
      </c>
      <c r="R190">
        <v>74.34</v>
      </c>
      <c r="S190">
        <v>18</v>
      </c>
      <c r="T190">
        <v>31.13</v>
      </c>
      <c r="U190">
        <v>78.58</v>
      </c>
      <c r="V190">
        <v>70.150000000000006</v>
      </c>
      <c r="W190">
        <v>74.52</v>
      </c>
      <c r="X190">
        <v>69.77</v>
      </c>
      <c r="Y190">
        <v>0.21099999999999999</v>
      </c>
    </row>
    <row r="191" spans="1:25" x14ac:dyDescent="0.35">
      <c r="A191" t="s">
        <v>204</v>
      </c>
      <c r="B191" t="s">
        <v>201</v>
      </c>
      <c r="C191" t="s">
        <v>586</v>
      </c>
      <c r="D191">
        <v>7.59</v>
      </c>
      <c r="E191">
        <v>7.13</v>
      </c>
      <c r="F191">
        <v>7.36</v>
      </c>
      <c r="G191">
        <v>12.25</v>
      </c>
      <c r="H191">
        <v>12.01</v>
      </c>
      <c r="I191">
        <v>12.03</v>
      </c>
      <c r="J191">
        <v>6.28</v>
      </c>
      <c r="K191">
        <v>3.1</v>
      </c>
      <c r="L191">
        <v>4.96</v>
      </c>
      <c r="M191">
        <v>86.48</v>
      </c>
      <c r="N191">
        <v>62.25</v>
      </c>
      <c r="O191">
        <v>74.365000000000009</v>
      </c>
      <c r="P191">
        <v>72.34</v>
      </c>
      <c r="Q191">
        <v>76.72</v>
      </c>
      <c r="R191">
        <v>74.19</v>
      </c>
      <c r="S191">
        <v>30</v>
      </c>
      <c r="T191">
        <v>30.81</v>
      </c>
      <c r="U191">
        <v>74.23</v>
      </c>
      <c r="V191">
        <v>69.58</v>
      </c>
      <c r="W191">
        <v>70.69</v>
      </c>
      <c r="X191">
        <v>76.97</v>
      </c>
      <c r="Y191">
        <v>0.21299999999999999</v>
      </c>
    </row>
    <row r="192" spans="1:25" x14ac:dyDescent="0.35">
      <c r="A192" t="s">
        <v>205</v>
      </c>
      <c r="B192" t="s">
        <v>201</v>
      </c>
      <c r="C192" t="s">
        <v>586</v>
      </c>
      <c r="D192">
        <v>7.2</v>
      </c>
      <c r="E192">
        <v>6.62</v>
      </c>
      <c r="F192">
        <v>6.87</v>
      </c>
      <c r="G192">
        <v>11.8</v>
      </c>
      <c r="H192">
        <v>12.03</v>
      </c>
      <c r="I192">
        <v>11.83</v>
      </c>
      <c r="J192">
        <v>4.53</v>
      </c>
      <c r="K192">
        <v>7.14</v>
      </c>
      <c r="L192">
        <v>5.57</v>
      </c>
      <c r="M192">
        <v>87.45</v>
      </c>
      <c r="N192">
        <v>58.96</v>
      </c>
      <c r="O192">
        <v>73.204999999999998</v>
      </c>
      <c r="P192">
        <v>72.95</v>
      </c>
      <c r="Q192">
        <v>76.62</v>
      </c>
      <c r="R192">
        <v>74.7</v>
      </c>
      <c r="S192">
        <v>14</v>
      </c>
      <c r="T192">
        <v>29.31</v>
      </c>
      <c r="U192">
        <v>71.56</v>
      </c>
      <c r="V192">
        <v>68.12</v>
      </c>
      <c r="W192">
        <v>69.599999999999994</v>
      </c>
      <c r="X192">
        <v>65.02</v>
      </c>
      <c r="Y192">
        <v>0.28199999999999997</v>
      </c>
    </row>
    <row r="193" spans="1:25" x14ac:dyDescent="0.35">
      <c r="A193" t="s">
        <v>206</v>
      </c>
      <c r="B193" t="s">
        <v>201</v>
      </c>
      <c r="C193" t="s">
        <v>586</v>
      </c>
      <c r="D193">
        <v>8.24</v>
      </c>
      <c r="E193">
        <v>7.44</v>
      </c>
      <c r="F193">
        <v>7.87</v>
      </c>
      <c r="G193">
        <v>13.39</v>
      </c>
      <c r="H193">
        <v>13.58</v>
      </c>
      <c r="I193">
        <v>13.39</v>
      </c>
      <c r="J193">
        <v>5.96</v>
      </c>
      <c r="K193">
        <v>3.87</v>
      </c>
      <c r="L193">
        <v>5.07</v>
      </c>
      <c r="M193">
        <v>88.08</v>
      </c>
      <c r="N193">
        <v>66.459999999999994</v>
      </c>
      <c r="O193">
        <v>77.27</v>
      </c>
      <c r="P193">
        <v>73.430000000000007</v>
      </c>
      <c r="Q193">
        <v>77.13</v>
      </c>
      <c r="R193">
        <v>75.22</v>
      </c>
      <c r="S193">
        <v>24</v>
      </c>
      <c r="T193">
        <v>25.84</v>
      </c>
      <c r="U193">
        <v>75.53</v>
      </c>
      <c r="V193">
        <v>70.55</v>
      </c>
      <c r="W193">
        <v>71.930000000000007</v>
      </c>
      <c r="X193">
        <v>69.709999999999994</v>
      </c>
      <c r="Y193">
        <v>0.32800000000000001</v>
      </c>
    </row>
    <row r="194" spans="1:25" x14ac:dyDescent="0.35">
      <c r="A194" t="s">
        <v>207</v>
      </c>
      <c r="B194" t="s">
        <v>201</v>
      </c>
      <c r="C194" t="s">
        <v>586</v>
      </c>
      <c r="D194">
        <v>9.23</v>
      </c>
      <c r="E194">
        <v>8.11</v>
      </c>
      <c r="F194">
        <v>8.65</v>
      </c>
      <c r="G194">
        <v>13.69</v>
      </c>
      <c r="H194">
        <v>13.55</v>
      </c>
      <c r="I194">
        <v>13.55</v>
      </c>
      <c r="J194">
        <v>2.75</v>
      </c>
      <c r="K194">
        <v>5.41</v>
      </c>
      <c r="L194">
        <v>3.89</v>
      </c>
      <c r="M194">
        <v>84.64</v>
      </c>
      <c r="N194">
        <v>62.87</v>
      </c>
      <c r="O194">
        <v>73.754999999999995</v>
      </c>
      <c r="P194">
        <v>73.849999999999994</v>
      </c>
      <c r="Q194">
        <v>77.53</v>
      </c>
      <c r="R194">
        <v>75.64</v>
      </c>
      <c r="S194">
        <v>22.22</v>
      </c>
      <c r="T194">
        <v>34.92</v>
      </c>
      <c r="U194">
        <v>77.55</v>
      </c>
      <c r="V194">
        <v>73.760000000000005</v>
      </c>
      <c r="W194">
        <v>75.11</v>
      </c>
      <c r="X194">
        <v>73.180000000000007</v>
      </c>
      <c r="Y194">
        <v>0.26400000000000001</v>
      </c>
    </row>
    <row r="195" spans="1:25" x14ac:dyDescent="0.35">
      <c r="A195" t="s">
        <v>208</v>
      </c>
      <c r="B195" t="s">
        <v>201</v>
      </c>
      <c r="C195" t="s">
        <v>586</v>
      </c>
      <c r="D195">
        <v>7.15</v>
      </c>
      <c r="E195">
        <v>6.72</v>
      </c>
      <c r="F195">
        <v>6.9</v>
      </c>
      <c r="G195">
        <v>11.81</v>
      </c>
      <c r="H195">
        <v>11.83</v>
      </c>
      <c r="I195">
        <v>11.81</v>
      </c>
      <c r="J195">
        <v>2.86</v>
      </c>
      <c r="K195">
        <v>5.7</v>
      </c>
      <c r="L195">
        <v>4.0199999999999996</v>
      </c>
      <c r="M195">
        <v>87.55</v>
      </c>
      <c r="N195">
        <v>61.97</v>
      </c>
      <c r="O195">
        <v>74.759999999999991</v>
      </c>
      <c r="P195">
        <v>72.38</v>
      </c>
      <c r="Q195">
        <v>76.23</v>
      </c>
      <c r="R195">
        <v>74.25</v>
      </c>
      <c r="S195">
        <v>11.11</v>
      </c>
      <c r="T195">
        <v>24.07</v>
      </c>
      <c r="U195">
        <v>73.209999999999994</v>
      </c>
      <c r="V195">
        <v>68.099999999999994</v>
      </c>
      <c r="W195">
        <v>69.819999999999993</v>
      </c>
      <c r="X195">
        <v>56.61</v>
      </c>
      <c r="Y195">
        <v>0.28399999999999997</v>
      </c>
    </row>
    <row r="196" spans="1:25" x14ac:dyDescent="0.35">
      <c r="A196" t="s">
        <v>209</v>
      </c>
      <c r="B196" t="s">
        <v>201</v>
      </c>
      <c r="C196" t="s">
        <v>586</v>
      </c>
      <c r="D196">
        <v>8.36</v>
      </c>
      <c r="E196">
        <v>7.43</v>
      </c>
      <c r="F196">
        <v>7.83</v>
      </c>
      <c r="G196">
        <v>12.6</v>
      </c>
      <c r="H196">
        <v>13.07</v>
      </c>
      <c r="I196">
        <v>12.62</v>
      </c>
      <c r="J196">
        <v>4.13</v>
      </c>
      <c r="K196">
        <v>2.8</v>
      </c>
      <c r="L196">
        <v>3.55</v>
      </c>
      <c r="M196">
        <v>87.51</v>
      </c>
      <c r="N196">
        <v>67.900000000000006</v>
      </c>
      <c r="O196">
        <v>77.705000000000013</v>
      </c>
      <c r="P196">
        <v>72.900000000000006</v>
      </c>
      <c r="Q196">
        <v>77.34</v>
      </c>
      <c r="R196">
        <v>74.680000000000007</v>
      </c>
      <c r="S196">
        <v>10</v>
      </c>
      <c r="T196">
        <v>37.18</v>
      </c>
      <c r="U196">
        <v>76.349999999999994</v>
      </c>
      <c r="V196">
        <v>70.67</v>
      </c>
      <c r="W196">
        <v>71.989999999999995</v>
      </c>
      <c r="X196">
        <v>66.97</v>
      </c>
      <c r="Y196">
        <v>0.26700000000000002</v>
      </c>
    </row>
    <row r="197" spans="1:25" x14ac:dyDescent="0.35">
      <c r="A197" t="s">
        <v>210</v>
      </c>
      <c r="B197" t="s">
        <v>201</v>
      </c>
      <c r="C197" t="s">
        <v>586</v>
      </c>
      <c r="D197">
        <v>8.82</v>
      </c>
      <c r="E197">
        <v>7.61</v>
      </c>
      <c r="F197">
        <v>8.17</v>
      </c>
      <c r="G197">
        <v>12.39</v>
      </c>
      <c r="H197">
        <v>13.43</v>
      </c>
      <c r="I197">
        <v>12.67</v>
      </c>
      <c r="J197">
        <v>3.14</v>
      </c>
      <c r="K197">
        <v>3.18</v>
      </c>
      <c r="L197">
        <v>3.16</v>
      </c>
      <c r="M197">
        <v>84.67</v>
      </c>
      <c r="N197">
        <v>65.849999999999994</v>
      </c>
      <c r="O197">
        <v>75.259999999999991</v>
      </c>
      <c r="P197">
        <v>74.58</v>
      </c>
      <c r="Q197">
        <v>78.319999999999993</v>
      </c>
      <c r="R197">
        <v>76.44</v>
      </c>
      <c r="S197">
        <v>26.53</v>
      </c>
      <c r="T197">
        <v>41.2</v>
      </c>
      <c r="U197">
        <v>79.650000000000006</v>
      </c>
      <c r="V197">
        <v>75.5</v>
      </c>
      <c r="W197">
        <v>75.959999999999994</v>
      </c>
      <c r="X197">
        <v>80.31</v>
      </c>
      <c r="Y197">
        <v>0.23300000000000001</v>
      </c>
    </row>
    <row r="198" spans="1:25" x14ac:dyDescent="0.35">
      <c r="A198" t="s">
        <v>211</v>
      </c>
      <c r="B198" t="s">
        <v>201</v>
      </c>
      <c r="C198" t="s">
        <v>586</v>
      </c>
      <c r="D198">
        <v>9.91</v>
      </c>
      <c r="E198">
        <v>8.69</v>
      </c>
      <c r="F198">
        <v>9.2899999999999991</v>
      </c>
      <c r="G198">
        <v>13.41</v>
      </c>
      <c r="H198">
        <v>13.65</v>
      </c>
      <c r="I198">
        <v>13.43</v>
      </c>
      <c r="J198">
        <v>3.05</v>
      </c>
      <c r="K198">
        <v>5.16</v>
      </c>
      <c r="L198">
        <v>3.97</v>
      </c>
      <c r="M198">
        <v>84.73</v>
      </c>
      <c r="N198">
        <v>64</v>
      </c>
      <c r="O198">
        <v>74.365000000000009</v>
      </c>
      <c r="P198">
        <v>75.430000000000007</v>
      </c>
      <c r="Q198">
        <v>79.34</v>
      </c>
      <c r="R198">
        <v>77.31</v>
      </c>
      <c r="S198">
        <v>22.45</v>
      </c>
      <c r="T198">
        <v>36.799999999999997</v>
      </c>
      <c r="U198">
        <v>80.27</v>
      </c>
      <c r="V198">
        <v>76.98</v>
      </c>
      <c r="W198">
        <v>78.16</v>
      </c>
      <c r="X198">
        <v>76.66</v>
      </c>
      <c r="Y198">
        <v>0.16200000000000001</v>
      </c>
    </row>
    <row r="199" spans="1:25" x14ac:dyDescent="0.35">
      <c r="A199" t="s">
        <v>212</v>
      </c>
      <c r="B199" t="s">
        <v>201</v>
      </c>
      <c r="C199" t="s">
        <v>586</v>
      </c>
      <c r="D199">
        <v>10.14</v>
      </c>
      <c r="E199">
        <v>9.8699999999999992</v>
      </c>
      <c r="F199">
        <v>10.01</v>
      </c>
      <c r="G199">
        <v>13.87</v>
      </c>
      <c r="H199">
        <v>14.52</v>
      </c>
      <c r="I199">
        <v>13.92</v>
      </c>
      <c r="J199">
        <v>4.0999999999999996</v>
      </c>
      <c r="K199">
        <v>3.02</v>
      </c>
      <c r="L199">
        <v>3.65</v>
      </c>
      <c r="M199">
        <v>79.64</v>
      </c>
      <c r="N199">
        <v>56.92</v>
      </c>
      <c r="O199">
        <v>68.28</v>
      </c>
      <c r="P199">
        <v>76.36</v>
      </c>
      <c r="Q199">
        <v>80.02</v>
      </c>
      <c r="R199">
        <v>78.010000000000005</v>
      </c>
      <c r="S199">
        <v>15.56</v>
      </c>
      <c r="T199">
        <v>40.96</v>
      </c>
      <c r="U199">
        <v>80.64</v>
      </c>
      <c r="V199">
        <v>79.09</v>
      </c>
      <c r="W199">
        <v>79.3</v>
      </c>
      <c r="X199">
        <v>73.790000000000006</v>
      </c>
      <c r="Y199">
        <v>0.16600000000000001</v>
      </c>
    </row>
    <row r="200" spans="1:25" x14ac:dyDescent="0.35">
      <c r="A200" t="s">
        <v>213</v>
      </c>
      <c r="B200" t="s">
        <v>201</v>
      </c>
      <c r="C200" t="s">
        <v>586</v>
      </c>
      <c r="D200">
        <v>8.19</v>
      </c>
      <c r="E200">
        <v>7.33</v>
      </c>
      <c r="F200">
        <v>7.68</v>
      </c>
      <c r="G200">
        <v>12.56</v>
      </c>
      <c r="H200">
        <v>12.61</v>
      </c>
      <c r="I200">
        <v>12.61</v>
      </c>
      <c r="J200">
        <v>2.31</v>
      </c>
      <c r="K200">
        <v>2.52</v>
      </c>
      <c r="L200">
        <v>2.4</v>
      </c>
      <c r="M200">
        <v>88</v>
      </c>
      <c r="N200">
        <v>67.63</v>
      </c>
      <c r="O200">
        <v>77.814999999999998</v>
      </c>
      <c r="P200">
        <v>74.97</v>
      </c>
      <c r="Q200">
        <v>78.69</v>
      </c>
      <c r="R200">
        <v>76.819999999999993</v>
      </c>
      <c r="S200">
        <v>24</v>
      </c>
      <c r="T200">
        <v>39.75</v>
      </c>
      <c r="U200">
        <v>76.489999999999995</v>
      </c>
      <c r="V200">
        <v>70.66</v>
      </c>
      <c r="W200">
        <v>72.55</v>
      </c>
      <c r="X200">
        <v>79.72</v>
      </c>
      <c r="Y200">
        <v>0.35099999999999998</v>
      </c>
    </row>
    <row r="201" spans="1:25" x14ac:dyDescent="0.35">
      <c r="A201" t="s">
        <v>214</v>
      </c>
      <c r="B201" t="s">
        <v>201</v>
      </c>
      <c r="C201" t="s">
        <v>586</v>
      </c>
      <c r="D201">
        <v>9.73</v>
      </c>
      <c r="E201">
        <v>8.74</v>
      </c>
      <c r="F201">
        <v>9.26</v>
      </c>
      <c r="G201">
        <v>13.38</v>
      </c>
      <c r="H201">
        <v>13.81</v>
      </c>
      <c r="I201">
        <v>13.73</v>
      </c>
      <c r="J201">
        <v>4.67</v>
      </c>
      <c r="K201">
        <v>1.9</v>
      </c>
      <c r="L201">
        <v>3.47</v>
      </c>
      <c r="M201">
        <v>85.07</v>
      </c>
      <c r="N201">
        <v>64.27</v>
      </c>
      <c r="O201">
        <v>74.669999999999987</v>
      </c>
      <c r="P201">
        <v>76.06</v>
      </c>
      <c r="Q201">
        <v>79.86</v>
      </c>
      <c r="R201">
        <v>77.91</v>
      </c>
      <c r="S201">
        <v>18.18</v>
      </c>
      <c r="T201">
        <v>38.58</v>
      </c>
      <c r="U201">
        <v>79.22</v>
      </c>
      <c r="V201">
        <v>76.97</v>
      </c>
      <c r="W201">
        <v>78.11</v>
      </c>
      <c r="X201">
        <v>74.400000000000006</v>
      </c>
      <c r="Y201">
        <v>0.26200000000000001</v>
      </c>
    </row>
    <row r="202" spans="1:25" x14ac:dyDescent="0.35">
      <c r="A202" t="s">
        <v>215</v>
      </c>
      <c r="B202" t="s">
        <v>201</v>
      </c>
      <c r="C202" t="s">
        <v>586</v>
      </c>
      <c r="D202">
        <v>8.4600000000000009</v>
      </c>
      <c r="E202">
        <v>7.39</v>
      </c>
      <c r="F202">
        <v>7.88</v>
      </c>
      <c r="G202">
        <v>12.91</v>
      </c>
      <c r="H202">
        <v>12.97</v>
      </c>
      <c r="I202">
        <v>12.93</v>
      </c>
      <c r="J202">
        <v>4.37</v>
      </c>
      <c r="K202">
        <v>2.46</v>
      </c>
      <c r="L202">
        <v>3.53</v>
      </c>
      <c r="M202">
        <v>84.19</v>
      </c>
      <c r="N202">
        <v>65.099999999999994</v>
      </c>
      <c r="O202">
        <v>74.644999999999996</v>
      </c>
      <c r="P202">
        <v>74.319999999999993</v>
      </c>
      <c r="Q202">
        <v>78.06</v>
      </c>
      <c r="R202">
        <v>76.180000000000007</v>
      </c>
      <c r="S202">
        <v>16</v>
      </c>
      <c r="T202">
        <v>36.76</v>
      </c>
      <c r="U202">
        <v>79.44</v>
      </c>
      <c r="V202">
        <v>73.58</v>
      </c>
      <c r="W202">
        <v>75.53</v>
      </c>
      <c r="X202">
        <v>70.28</v>
      </c>
      <c r="Y202">
        <v>0.377</v>
      </c>
    </row>
    <row r="203" spans="1:25" x14ac:dyDescent="0.35">
      <c r="A203" t="s">
        <v>216</v>
      </c>
      <c r="B203" t="s">
        <v>201</v>
      </c>
      <c r="C203" t="s">
        <v>586</v>
      </c>
      <c r="D203">
        <v>7.89</v>
      </c>
      <c r="E203">
        <v>6.78</v>
      </c>
      <c r="F203">
        <v>7.29</v>
      </c>
      <c r="G203">
        <v>13.81</v>
      </c>
      <c r="H203">
        <v>12.48</v>
      </c>
      <c r="I203">
        <v>12.48</v>
      </c>
      <c r="J203">
        <v>3.31</v>
      </c>
      <c r="K203">
        <v>3.13</v>
      </c>
      <c r="L203">
        <v>3.23</v>
      </c>
      <c r="M203">
        <v>90.17</v>
      </c>
      <c r="N203">
        <v>63.01</v>
      </c>
      <c r="O203">
        <v>76.59</v>
      </c>
      <c r="P203">
        <v>73.459999999999994</v>
      </c>
      <c r="Q203">
        <v>77.12</v>
      </c>
      <c r="R203">
        <v>75.25</v>
      </c>
      <c r="S203">
        <v>20</v>
      </c>
      <c r="T203">
        <v>26.29</v>
      </c>
      <c r="U203">
        <v>78.45</v>
      </c>
      <c r="V203">
        <v>67.819999999999993</v>
      </c>
      <c r="W203">
        <v>72.02</v>
      </c>
      <c r="X203">
        <v>66.59</v>
      </c>
      <c r="Y203">
        <v>0.38100000000000001</v>
      </c>
    </row>
    <row r="204" spans="1:25" x14ac:dyDescent="0.35">
      <c r="A204" t="s">
        <v>217</v>
      </c>
      <c r="B204" t="s">
        <v>201</v>
      </c>
      <c r="C204" t="s">
        <v>586</v>
      </c>
      <c r="D204">
        <v>7.7</v>
      </c>
      <c r="E204">
        <v>6.96</v>
      </c>
      <c r="F204">
        <v>7.26</v>
      </c>
      <c r="G204">
        <v>12.98</v>
      </c>
      <c r="H204">
        <v>12.6</v>
      </c>
      <c r="I204">
        <v>12.6</v>
      </c>
      <c r="J204">
        <v>5.25</v>
      </c>
      <c r="K204">
        <v>1.5</v>
      </c>
      <c r="L204">
        <v>3.67</v>
      </c>
      <c r="M204">
        <v>85.38</v>
      </c>
      <c r="N204">
        <v>61.75</v>
      </c>
      <c r="O204">
        <v>73.564999999999998</v>
      </c>
      <c r="P204">
        <v>73.13</v>
      </c>
      <c r="Q204">
        <v>76.83</v>
      </c>
      <c r="R204">
        <v>74.92</v>
      </c>
      <c r="S204">
        <v>20</v>
      </c>
      <c r="T204">
        <v>34.82</v>
      </c>
      <c r="U204">
        <v>76.459999999999994</v>
      </c>
      <c r="V204">
        <v>65.67</v>
      </c>
      <c r="W204">
        <v>71.39</v>
      </c>
      <c r="X204">
        <v>73.959999999999994</v>
      </c>
      <c r="Y204">
        <v>0.313</v>
      </c>
    </row>
    <row r="205" spans="1:25" x14ac:dyDescent="0.35">
      <c r="A205" t="s">
        <v>218</v>
      </c>
      <c r="B205" t="s">
        <v>201</v>
      </c>
      <c r="C205" t="s">
        <v>586</v>
      </c>
      <c r="D205">
        <v>8.1999999999999993</v>
      </c>
      <c r="E205">
        <v>7.3</v>
      </c>
      <c r="F205">
        <v>7.73</v>
      </c>
      <c r="G205">
        <v>12.3</v>
      </c>
      <c r="H205">
        <v>12.34</v>
      </c>
      <c r="I205">
        <v>12.3</v>
      </c>
      <c r="J205">
        <v>3.84</v>
      </c>
      <c r="K205">
        <v>1.43</v>
      </c>
      <c r="L205">
        <v>2.84</v>
      </c>
      <c r="M205">
        <v>87.23</v>
      </c>
      <c r="N205">
        <v>61.76</v>
      </c>
      <c r="O205">
        <v>74.495000000000005</v>
      </c>
      <c r="P205">
        <v>73.17</v>
      </c>
      <c r="Q205">
        <v>77.760000000000005</v>
      </c>
      <c r="R205">
        <v>74.98</v>
      </c>
      <c r="S205">
        <v>13.33</v>
      </c>
      <c r="T205">
        <v>32.630000000000003</v>
      </c>
      <c r="U205">
        <v>77.09</v>
      </c>
      <c r="V205">
        <v>67.86</v>
      </c>
      <c r="W205">
        <v>72.53</v>
      </c>
      <c r="X205">
        <v>67.64</v>
      </c>
      <c r="Y205">
        <v>0.251</v>
      </c>
    </row>
    <row r="206" spans="1:25" x14ac:dyDescent="0.35">
      <c r="A206" t="s">
        <v>219</v>
      </c>
      <c r="B206" t="s">
        <v>201</v>
      </c>
      <c r="C206" t="s">
        <v>586</v>
      </c>
      <c r="D206">
        <v>8.4</v>
      </c>
      <c r="E206">
        <v>7.52</v>
      </c>
      <c r="F206">
        <v>7.82</v>
      </c>
      <c r="G206">
        <v>13.1</v>
      </c>
      <c r="H206">
        <v>12.98</v>
      </c>
      <c r="I206">
        <v>12.98</v>
      </c>
      <c r="J206">
        <v>3.98</v>
      </c>
      <c r="K206">
        <v>3.71</v>
      </c>
      <c r="L206">
        <v>3.87</v>
      </c>
      <c r="M206">
        <v>88.61</v>
      </c>
      <c r="N206">
        <v>65.08</v>
      </c>
      <c r="O206">
        <v>76.844999999999999</v>
      </c>
      <c r="P206">
        <v>74.7</v>
      </c>
      <c r="Q206">
        <v>78.39</v>
      </c>
      <c r="R206">
        <v>76.56</v>
      </c>
      <c r="S206">
        <v>14</v>
      </c>
      <c r="T206">
        <v>32.06</v>
      </c>
      <c r="U206">
        <v>78.540000000000006</v>
      </c>
      <c r="V206">
        <v>72.69</v>
      </c>
      <c r="W206">
        <v>74.099999999999994</v>
      </c>
      <c r="X206">
        <v>66.3</v>
      </c>
      <c r="Y206">
        <v>0.23699999999999999</v>
      </c>
    </row>
    <row r="207" spans="1:25" x14ac:dyDescent="0.35">
      <c r="A207" t="s">
        <v>220</v>
      </c>
      <c r="B207" t="s">
        <v>201</v>
      </c>
      <c r="C207" t="s">
        <v>586</v>
      </c>
      <c r="D207">
        <v>9.65</v>
      </c>
      <c r="E207">
        <v>8.8800000000000008</v>
      </c>
      <c r="F207">
        <v>9.35</v>
      </c>
      <c r="G207">
        <v>13.24</v>
      </c>
      <c r="H207">
        <v>13.55</v>
      </c>
      <c r="I207">
        <v>13.28</v>
      </c>
      <c r="J207">
        <v>3.17</v>
      </c>
      <c r="K207">
        <v>3.21</v>
      </c>
      <c r="L207">
        <v>3.19</v>
      </c>
      <c r="M207">
        <v>83.36</v>
      </c>
      <c r="N207">
        <v>67.86</v>
      </c>
      <c r="O207">
        <v>75.61</v>
      </c>
      <c r="P207">
        <v>75.22</v>
      </c>
      <c r="Q207">
        <v>78.89</v>
      </c>
      <c r="R207">
        <v>77.069999999999993</v>
      </c>
      <c r="S207">
        <v>8.89</v>
      </c>
      <c r="T207">
        <v>42.55</v>
      </c>
      <c r="U207">
        <v>80.790000000000006</v>
      </c>
      <c r="V207">
        <v>75.95</v>
      </c>
      <c r="W207">
        <v>77.22</v>
      </c>
      <c r="X207">
        <v>66.88</v>
      </c>
      <c r="Y207">
        <v>0.23200000000000001</v>
      </c>
    </row>
    <row r="208" spans="1:25" x14ac:dyDescent="0.35">
      <c r="A208" t="s">
        <v>221</v>
      </c>
      <c r="B208" t="s">
        <v>201</v>
      </c>
      <c r="C208" t="s">
        <v>586</v>
      </c>
      <c r="D208">
        <v>8.69</v>
      </c>
      <c r="E208">
        <v>7.87</v>
      </c>
      <c r="F208">
        <v>8.27</v>
      </c>
      <c r="G208">
        <v>12.77</v>
      </c>
      <c r="H208">
        <v>13.2</v>
      </c>
      <c r="I208">
        <v>12.86</v>
      </c>
      <c r="J208">
        <v>3.07</v>
      </c>
      <c r="K208">
        <v>3.74</v>
      </c>
      <c r="L208">
        <v>3.34</v>
      </c>
      <c r="M208">
        <v>86.16</v>
      </c>
      <c r="N208">
        <v>57.69</v>
      </c>
      <c r="O208">
        <v>71.924999999999997</v>
      </c>
      <c r="P208">
        <v>74.37</v>
      </c>
      <c r="Q208">
        <v>78.08</v>
      </c>
      <c r="R208">
        <v>76.209999999999994</v>
      </c>
      <c r="S208">
        <v>20</v>
      </c>
      <c r="T208">
        <v>24.37</v>
      </c>
      <c r="U208">
        <v>78.260000000000005</v>
      </c>
      <c r="V208">
        <v>71.77</v>
      </c>
      <c r="W208">
        <v>74.319999999999993</v>
      </c>
      <c r="X208">
        <v>64.62</v>
      </c>
      <c r="Y208">
        <v>0.34</v>
      </c>
    </row>
    <row r="209" spans="1:25" x14ac:dyDescent="0.35">
      <c r="A209" t="s">
        <v>222</v>
      </c>
      <c r="B209" t="s">
        <v>201</v>
      </c>
      <c r="C209" t="s">
        <v>586</v>
      </c>
      <c r="D209">
        <v>8.82</v>
      </c>
      <c r="E209">
        <v>7.79</v>
      </c>
      <c r="F209">
        <v>8.2799999999999994</v>
      </c>
      <c r="G209">
        <v>13.34</v>
      </c>
      <c r="H209">
        <v>13.57</v>
      </c>
      <c r="I209">
        <v>13.36</v>
      </c>
      <c r="J209">
        <v>5.24</v>
      </c>
      <c r="K209">
        <v>4.0199999999999996</v>
      </c>
      <c r="L209">
        <v>4.75</v>
      </c>
      <c r="M209">
        <v>86.06</v>
      </c>
      <c r="N209">
        <v>58.56</v>
      </c>
      <c r="O209">
        <v>72.31</v>
      </c>
      <c r="P209">
        <v>73.92</v>
      </c>
      <c r="Q209">
        <v>77.62</v>
      </c>
      <c r="R209">
        <v>75.790000000000006</v>
      </c>
      <c r="S209">
        <v>10</v>
      </c>
      <c r="T209">
        <v>38.82</v>
      </c>
      <c r="U209">
        <v>79.209999999999994</v>
      </c>
      <c r="V209">
        <v>72.28</v>
      </c>
      <c r="W209">
        <v>74.569999999999993</v>
      </c>
      <c r="X209">
        <v>66.22</v>
      </c>
      <c r="Y209">
        <v>0.32600000000000001</v>
      </c>
    </row>
    <row r="210" spans="1:25" x14ac:dyDescent="0.35">
      <c r="A210" t="s">
        <v>223</v>
      </c>
      <c r="B210" t="s">
        <v>201</v>
      </c>
      <c r="C210" t="s">
        <v>586</v>
      </c>
      <c r="D210">
        <v>8.58</v>
      </c>
      <c r="E210">
        <v>7.94</v>
      </c>
      <c r="F210">
        <v>8.16</v>
      </c>
      <c r="G210">
        <v>13.21</v>
      </c>
      <c r="H210">
        <v>13.06</v>
      </c>
      <c r="I210">
        <v>13.06</v>
      </c>
      <c r="J210">
        <v>4.32</v>
      </c>
      <c r="K210">
        <v>3.02</v>
      </c>
      <c r="L210">
        <v>3.73</v>
      </c>
      <c r="M210">
        <v>87.09</v>
      </c>
      <c r="N210">
        <v>71.67</v>
      </c>
      <c r="O210">
        <v>79.38</v>
      </c>
      <c r="P210">
        <v>74.290000000000006</v>
      </c>
      <c r="Q210">
        <v>77.97</v>
      </c>
      <c r="R210">
        <v>76.150000000000006</v>
      </c>
      <c r="S210">
        <v>16</v>
      </c>
      <c r="T210">
        <v>46.47</v>
      </c>
      <c r="U210">
        <v>77.5</v>
      </c>
      <c r="V210">
        <v>74.97</v>
      </c>
      <c r="W210">
        <v>75.67</v>
      </c>
      <c r="X210">
        <v>74.52</v>
      </c>
      <c r="Y210">
        <v>0.21199999999999999</v>
      </c>
    </row>
    <row r="211" spans="1:25" x14ac:dyDescent="0.35">
      <c r="A211" t="s">
        <v>224</v>
      </c>
      <c r="B211" t="s">
        <v>201</v>
      </c>
      <c r="C211" t="s">
        <v>586</v>
      </c>
      <c r="D211">
        <v>7.64</v>
      </c>
      <c r="E211">
        <v>7.47</v>
      </c>
      <c r="F211">
        <v>7.53</v>
      </c>
      <c r="G211">
        <v>12.54</v>
      </c>
      <c r="H211">
        <v>12.86</v>
      </c>
      <c r="I211">
        <v>12.62</v>
      </c>
      <c r="J211">
        <v>2.1800000000000002</v>
      </c>
      <c r="K211">
        <v>2.57</v>
      </c>
      <c r="L211">
        <v>2.35</v>
      </c>
      <c r="M211">
        <v>87.61</v>
      </c>
      <c r="N211">
        <v>68.52</v>
      </c>
      <c r="O211">
        <v>78.064999999999998</v>
      </c>
      <c r="P211">
        <v>74.19</v>
      </c>
      <c r="Q211">
        <v>77.78</v>
      </c>
      <c r="R211">
        <v>75.94</v>
      </c>
      <c r="S211">
        <v>20.45</v>
      </c>
      <c r="T211">
        <v>41.34</v>
      </c>
      <c r="U211">
        <v>73.900000000000006</v>
      </c>
      <c r="V211">
        <v>71.14</v>
      </c>
      <c r="W211">
        <v>71.87</v>
      </c>
      <c r="X211">
        <v>74.28</v>
      </c>
      <c r="Y211">
        <v>0.22</v>
      </c>
    </row>
    <row r="212" spans="1:25" x14ac:dyDescent="0.35">
      <c r="A212" t="s">
        <v>225</v>
      </c>
      <c r="B212" t="s">
        <v>201</v>
      </c>
      <c r="C212" t="s">
        <v>586</v>
      </c>
      <c r="D212">
        <v>8.15</v>
      </c>
      <c r="E212">
        <v>7.36</v>
      </c>
      <c r="F212">
        <v>7.74</v>
      </c>
      <c r="G212">
        <v>12.92</v>
      </c>
      <c r="H212">
        <v>13.4</v>
      </c>
      <c r="I212">
        <v>13</v>
      </c>
      <c r="J212">
        <v>3.58</v>
      </c>
      <c r="K212">
        <v>6.91</v>
      </c>
      <c r="L212">
        <v>5.01</v>
      </c>
      <c r="M212">
        <v>87.16</v>
      </c>
      <c r="N212">
        <v>66.45</v>
      </c>
      <c r="O212">
        <v>76.805000000000007</v>
      </c>
      <c r="P212">
        <v>72.959999999999994</v>
      </c>
      <c r="Q212">
        <v>76.62</v>
      </c>
      <c r="R212">
        <v>74.73</v>
      </c>
      <c r="S212">
        <v>18</v>
      </c>
      <c r="T212">
        <v>34.869999999999997</v>
      </c>
      <c r="U212">
        <v>77.540000000000006</v>
      </c>
      <c r="V212">
        <v>73.150000000000006</v>
      </c>
      <c r="W212">
        <v>74.34</v>
      </c>
      <c r="X212">
        <v>73.16</v>
      </c>
      <c r="Y212">
        <v>0.19400000000000001</v>
      </c>
    </row>
    <row r="213" spans="1:25" x14ac:dyDescent="0.35">
      <c r="A213" t="s">
        <v>226</v>
      </c>
      <c r="B213" t="s">
        <v>201</v>
      </c>
      <c r="C213" t="s">
        <v>586</v>
      </c>
      <c r="D213">
        <v>7.57</v>
      </c>
      <c r="E213">
        <v>6.78</v>
      </c>
      <c r="F213">
        <v>7.08</v>
      </c>
      <c r="G213">
        <v>12</v>
      </c>
      <c r="H213">
        <v>12.45</v>
      </c>
      <c r="I213">
        <v>12.17</v>
      </c>
      <c r="J213">
        <v>5.78</v>
      </c>
      <c r="K213">
        <v>5.51</v>
      </c>
      <c r="L213">
        <v>5.67</v>
      </c>
      <c r="M213">
        <v>88.96</v>
      </c>
      <c r="N213">
        <v>66.81</v>
      </c>
      <c r="O213">
        <v>77.884999999999991</v>
      </c>
      <c r="P213">
        <v>73.25</v>
      </c>
      <c r="Q213">
        <v>76.84</v>
      </c>
      <c r="R213">
        <v>75.010000000000005</v>
      </c>
      <c r="S213">
        <v>20</v>
      </c>
      <c r="T213">
        <v>28.92</v>
      </c>
      <c r="U213">
        <v>74.45</v>
      </c>
      <c r="V213">
        <v>69</v>
      </c>
      <c r="W213">
        <v>70.739999999999995</v>
      </c>
      <c r="X213">
        <v>69.400000000000006</v>
      </c>
      <c r="Y213">
        <v>0.28999999999999998</v>
      </c>
    </row>
    <row r="214" spans="1:25" x14ac:dyDescent="0.35">
      <c r="A214" t="s">
        <v>227</v>
      </c>
      <c r="B214" t="s">
        <v>201</v>
      </c>
      <c r="C214" t="s">
        <v>586</v>
      </c>
      <c r="D214">
        <v>7.84</v>
      </c>
      <c r="E214">
        <v>7.16</v>
      </c>
      <c r="F214">
        <v>7.48</v>
      </c>
      <c r="G214">
        <v>12.14</v>
      </c>
      <c r="H214">
        <v>13.03</v>
      </c>
      <c r="I214">
        <v>12.46</v>
      </c>
      <c r="J214">
        <v>3.89</v>
      </c>
      <c r="K214">
        <v>2.4900000000000002</v>
      </c>
      <c r="L214">
        <v>3.3</v>
      </c>
      <c r="M214">
        <v>87.33</v>
      </c>
      <c r="N214">
        <v>65.13</v>
      </c>
      <c r="O214">
        <v>76.22999999999999</v>
      </c>
      <c r="P214">
        <v>72.39</v>
      </c>
      <c r="Q214">
        <v>76.069999999999993</v>
      </c>
      <c r="R214">
        <v>74.25</v>
      </c>
      <c r="S214">
        <v>17.78</v>
      </c>
      <c r="T214">
        <v>26.12</v>
      </c>
      <c r="U214">
        <v>75.45</v>
      </c>
      <c r="V214">
        <v>70.14</v>
      </c>
      <c r="W214">
        <v>71.84</v>
      </c>
      <c r="X214">
        <v>65.06</v>
      </c>
      <c r="Y214">
        <v>0.215</v>
      </c>
    </row>
    <row r="215" spans="1:25" x14ac:dyDescent="0.35">
      <c r="A215" t="s">
        <v>228</v>
      </c>
      <c r="B215" t="s">
        <v>201</v>
      </c>
      <c r="C215" t="s">
        <v>586</v>
      </c>
      <c r="D215">
        <v>7.03</v>
      </c>
      <c r="E215">
        <v>6.21</v>
      </c>
      <c r="F215">
        <v>6.56</v>
      </c>
      <c r="G215">
        <v>12.24</v>
      </c>
      <c r="H215">
        <v>12.02</v>
      </c>
      <c r="I215">
        <v>12.02</v>
      </c>
      <c r="J215">
        <v>6.11</v>
      </c>
      <c r="K215">
        <v>7.4</v>
      </c>
      <c r="L215">
        <v>6.63</v>
      </c>
      <c r="M215">
        <v>85.15</v>
      </c>
      <c r="N215">
        <v>59.09</v>
      </c>
      <c r="O215">
        <v>72.12</v>
      </c>
      <c r="P215">
        <v>72.39</v>
      </c>
      <c r="Q215">
        <v>76.13</v>
      </c>
      <c r="R215">
        <v>74.23</v>
      </c>
      <c r="S215">
        <v>30</v>
      </c>
      <c r="T215">
        <v>35.11</v>
      </c>
      <c r="U215">
        <v>73.48</v>
      </c>
      <c r="V215">
        <v>64.2</v>
      </c>
      <c r="W215">
        <v>68.55</v>
      </c>
      <c r="X215">
        <v>81.47</v>
      </c>
      <c r="Y215">
        <v>0.38</v>
      </c>
    </row>
    <row r="216" spans="1:25" x14ac:dyDescent="0.35">
      <c r="A216" t="s">
        <v>229</v>
      </c>
      <c r="B216" t="s">
        <v>201</v>
      </c>
      <c r="C216" t="s">
        <v>586</v>
      </c>
      <c r="D216">
        <v>7.83</v>
      </c>
      <c r="E216">
        <v>6.9</v>
      </c>
      <c r="F216">
        <v>7.36</v>
      </c>
      <c r="G216">
        <v>13.28</v>
      </c>
      <c r="H216">
        <v>12.89</v>
      </c>
      <c r="I216">
        <v>12.96</v>
      </c>
      <c r="J216">
        <v>6.57</v>
      </c>
      <c r="K216">
        <v>8.7899999999999991</v>
      </c>
      <c r="L216">
        <v>7.53</v>
      </c>
      <c r="M216">
        <v>82.33</v>
      </c>
      <c r="N216">
        <v>64.47</v>
      </c>
      <c r="O216">
        <v>73.400000000000006</v>
      </c>
      <c r="P216">
        <v>72.44</v>
      </c>
      <c r="Q216">
        <v>76.17</v>
      </c>
      <c r="R216">
        <v>74.25</v>
      </c>
      <c r="S216">
        <v>26</v>
      </c>
      <c r="T216">
        <v>30.46</v>
      </c>
      <c r="U216">
        <v>75.7</v>
      </c>
      <c r="V216">
        <v>67.260000000000005</v>
      </c>
      <c r="W216">
        <v>70.77</v>
      </c>
      <c r="X216">
        <v>76.03</v>
      </c>
      <c r="Y216">
        <v>0.315</v>
      </c>
    </row>
    <row r="217" spans="1:25" x14ac:dyDescent="0.35">
      <c r="A217" t="s">
        <v>230</v>
      </c>
      <c r="B217" t="s">
        <v>201</v>
      </c>
      <c r="C217" t="s">
        <v>586</v>
      </c>
      <c r="D217">
        <v>6.93</v>
      </c>
      <c r="E217">
        <v>5.91</v>
      </c>
      <c r="F217">
        <v>6.41</v>
      </c>
      <c r="G217">
        <v>12.54</v>
      </c>
      <c r="H217">
        <v>12.43</v>
      </c>
      <c r="I217">
        <v>12.45</v>
      </c>
      <c r="J217">
        <v>8.52</v>
      </c>
      <c r="K217">
        <v>8.07</v>
      </c>
      <c r="L217">
        <v>8.35</v>
      </c>
      <c r="M217">
        <v>88.09</v>
      </c>
      <c r="N217">
        <v>55.38</v>
      </c>
      <c r="O217">
        <v>71.734999999999999</v>
      </c>
      <c r="P217">
        <v>72.45</v>
      </c>
      <c r="Q217">
        <v>76.180000000000007</v>
      </c>
      <c r="R217">
        <v>74.180000000000007</v>
      </c>
      <c r="S217">
        <v>14</v>
      </c>
      <c r="T217">
        <v>25.39</v>
      </c>
      <c r="U217">
        <v>72.95</v>
      </c>
      <c r="V217">
        <v>63.91</v>
      </c>
      <c r="W217">
        <v>68.459999999999994</v>
      </c>
      <c r="X217">
        <v>59.35</v>
      </c>
      <c r="Y217">
        <v>0.42199999999999999</v>
      </c>
    </row>
    <row r="218" spans="1:25" x14ac:dyDescent="0.35">
      <c r="A218" t="s">
        <v>231</v>
      </c>
      <c r="B218" t="s">
        <v>201</v>
      </c>
      <c r="C218" t="s">
        <v>586</v>
      </c>
      <c r="D218">
        <v>11.72</v>
      </c>
      <c r="E218">
        <v>11.29</v>
      </c>
      <c r="F218">
        <v>11.43</v>
      </c>
      <c r="G218">
        <v>14.61</v>
      </c>
      <c r="H218">
        <v>14.68</v>
      </c>
      <c r="I218">
        <v>14.62</v>
      </c>
      <c r="J218">
        <v>4.8899999999999997</v>
      </c>
      <c r="K218">
        <v>3.76</v>
      </c>
      <c r="L218">
        <v>4.4000000000000004</v>
      </c>
      <c r="M218">
        <v>77.91</v>
      </c>
      <c r="N218">
        <v>57.68</v>
      </c>
      <c r="O218">
        <v>67.795000000000002</v>
      </c>
      <c r="P218">
        <v>75.62</v>
      </c>
      <c r="Q218">
        <v>79.3</v>
      </c>
      <c r="R218">
        <v>77.540000000000006</v>
      </c>
      <c r="S218">
        <v>28</v>
      </c>
      <c r="T218">
        <v>42.09</v>
      </c>
      <c r="U218">
        <v>84.08</v>
      </c>
      <c r="V218">
        <v>81.33</v>
      </c>
      <c r="W218">
        <v>82.15</v>
      </c>
      <c r="X218">
        <v>82.7</v>
      </c>
      <c r="Y218">
        <v>0.13700000000000001</v>
      </c>
    </row>
    <row r="219" spans="1:25" x14ac:dyDescent="0.35">
      <c r="A219" t="s">
        <v>232</v>
      </c>
      <c r="B219" t="s">
        <v>201</v>
      </c>
      <c r="C219" t="s">
        <v>586</v>
      </c>
      <c r="D219">
        <v>11.66</v>
      </c>
      <c r="E219">
        <v>11.08</v>
      </c>
      <c r="F219">
        <v>11.25</v>
      </c>
      <c r="G219">
        <v>14.86</v>
      </c>
      <c r="H219">
        <v>15.23</v>
      </c>
      <c r="I219">
        <v>15.07</v>
      </c>
      <c r="J219">
        <v>4.25</v>
      </c>
      <c r="K219">
        <v>5.0999999999999996</v>
      </c>
      <c r="L219">
        <v>4.6100000000000003</v>
      </c>
      <c r="M219">
        <v>78.930000000000007</v>
      </c>
      <c r="N219">
        <v>56.45</v>
      </c>
      <c r="O219">
        <v>67.69</v>
      </c>
      <c r="P219">
        <v>76.06</v>
      </c>
      <c r="Q219">
        <v>79.709999999999994</v>
      </c>
      <c r="R219">
        <v>77.91</v>
      </c>
      <c r="S219">
        <v>17.78</v>
      </c>
      <c r="T219">
        <v>44.62</v>
      </c>
      <c r="U219">
        <v>85.28</v>
      </c>
      <c r="V219">
        <v>83.18</v>
      </c>
      <c r="W219">
        <v>84.4</v>
      </c>
      <c r="X219">
        <v>76.98</v>
      </c>
      <c r="Y219">
        <v>0.17299999999999999</v>
      </c>
    </row>
    <row r="220" spans="1:25" x14ac:dyDescent="0.35">
      <c r="A220" t="s">
        <v>233</v>
      </c>
      <c r="B220" t="s">
        <v>201</v>
      </c>
      <c r="C220" t="s">
        <v>586</v>
      </c>
      <c r="D220">
        <v>11.88</v>
      </c>
      <c r="E220">
        <v>11.22</v>
      </c>
      <c r="F220">
        <v>11.48</v>
      </c>
      <c r="G220">
        <v>15.46</v>
      </c>
      <c r="H220">
        <v>15.52</v>
      </c>
      <c r="I220">
        <v>15.46</v>
      </c>
      <c r="J220">
        <v>4.25</v>
      </c>
      <c r="K220">
        <v>3.38</v>
      </c>
      <c r="L220">
        <v>3.86</v>
      </c>
      <c r="M220">
        <v>80.180000000000007</v>
      </c>
      <c r="N220">
        <v>61.65</v>
      </c>
      <c r="O220">
        <v>70.915000000000006</v>
      </c>
      <c r="P220">
        <v>76.430000000000007</v>
      </c>
      <c r="Q220">
        <v>80.099999999999994</v>
      </c>
      <c r="R220">
        <v>78.27</v>
      </c>
      <c r="S220">
        <v>8</v>
      </c>
      <c r="T220">
        <v>40.72</v>
      </c>
      <c r="U220">
        <v>88.76</v>
      </c>
      <c r="V220">
        <v>84.85</v>
      </c>
      <c r="W220">
        <v>85.72</v>
      </c>
      <c r="X220">
        <v>65.05</v>
      </c>
      <c r="Y220">
        <v>0.222</v>
      </c>
    </row>
    <row r="221" spans="1:25" x14ac:dyDescent="0.35">
      <c r="A221" t="s">
        <v>234</v>
      </c>
      <c r="B221" t="s">
        <v>201</v>
      </c>
      <c r="C221" t="s">
        <v>586</v>
      </c>
      <c r="D221">
        <v>11.55</v>
      </c>
      <c r="E221">
        <v>10.76</v>
      </c>
      <c r="F221">
        <v>11.05</v>
      </c>
      <c r="G221">
        <v>15.78</v>
      </c>
      <c r="H221">
        <v>15.56</v>
      </c>
      <c r="I221">
        <v>15.57</v>
      </c>
      <c r="J221">
        <v>3.58</v>
      </c>
      <c r="K221">
        <v>8.68</v>
      </c>
      <c r="L221">
        <v>5.82</v>
      </c>
      <c r="M221">
        <v>79.92</v>
      </c>
      <c r="N221">
        <v>60.24</v>
      </c>
      <c r="O221">
        <v>70.08</v>
      </c>
      <c r="P221">
        <v>76.42</v>
      </c>
      <c r="Q221">
        <v>80.08</v>
      </c>
      <c r="R221">
        <v>78.23</v>
      </c>
      <c r="S221">
        <v>24</v>
      </c>
      <c r="T221">
        <v>37.68</v>
      </c>
      <c r="U221">
        <v>87.03</v>
      </c>
      <c r="V221">
        <v>83.87</v>
      </c>
      <c r="W221">
        <v>85.25</v>
      </c>
      <c r="X221">
        <v>78.709999999999994</v>
      </c>
      <c r="Y221">
        <v>0.14000000000000001</v>
      </c>
    </row>
    <row r="222" spans="1:25" x14ac:dyDescent="0.35">
      <c r="A222" t="s">
        <v>235</v>
      </c>
      <c r="B222" t="s">
        <v>201</v>
      </c>
      <c r="C222" t="s">
        <v>586</v>
      </c>
      <c r="D222">
        <v>9.5500000000000007</v>
      </c>
      <c r="E222">
        <v>9.2200000000000006</v>
      </c>
      <c r="F222">
        <v>9.34</v>
      </c>
      <c r="G222">
        <v>12.77</v>
      </c>
      <c r="H222">
        <v>13.13</v>
      </c>
      <c r="I222">
        <v>12.89</v>
      </c>
      <c r="J222">
        <v>5.49</v>
      </c>
      <c r="K222">
        <v>4.16</v>
      </c>
      <c r="L222">
        <v>4.91</v>
      </c>
      <c r="M222">
        <v>85.54</v>
      </c>
      <c r="N222">
        <v>66.48</v>
      </c>
      <c r="O222">
        <v>76.010000000000005</v>
      </c>
      <c r="P222">
        <v>73.02</v>
      </c>
      <c r="Q222">
        <v>76.63</v>
      </c>
      <c r="R222">
        <v>74.790000000000006</v>
      </c>
      <c r="S222">
        <v>14.29</v>
      </c>
      <c r="T222">
        <v>28.31</v>
      </c>
      <c r="U222">
        <v>80.150000000000006</v>
      </c>
      <c r="V222">
        <v>76.59</v>
      </c>
      <c r="W222">
        <v>77.22</v>
      </c>
      <c r="X222">
        <v>65.099999999999994</v>
      </c>
      <c r="Y222">
        <v>0.185</v>
      </c>
    </row>
    <row r="223" spans="1:25" x14ac:dyDescent="0.35">
      <c r="A223" t="s">
        <v>236</v>
      </c>
      <c r="B223" t="s">
        <v>201</v>
      </c>
      <c r="C223" t="s">
        <v>586</v>
      </c>
      <c r="D223">
        <v>9.57</v>
      </c>
      <c r="E223">
        <v>9.08</v>
      </c>
      <c r="F223">
        <v>9.2799999999999994</v>
      </c>
      <c r="G223">
        <v>13.19</v>
      </c>
      <c r="H223">
        <v>13.41</v>
      </c>
      <c r="I223">
        <v>13.25</v>
      </c>
      <c r="J223">
        <v>6.26</v>
      </c>
      <c r="K223">
        <v>5.3</v>
      </c>
      <c r="L223">
        <v>5.88</v>
      </c>
      <c r="M223">
        <v>83.51</v>
      </c>
      <c r="N223">
        <v>55.63</v>
      </c>
      <c r="O223">
        <v>69.570000000000007</v>
      </c>
      <c r="P223">
        <v>73.2</v>
      </c>
      <c r="Q223">
        <v>76.89</v>
      </c>
      <c r="R223">
        <v>75.010000000000005</v>
      </c>
      <c r="S223">
        <v>13.33</v>
      </c>
      <c r="T223">
        <v>30.24</v>
      </c>
      <c r="U223">
        <v>81.17</v>
      </c>
      <c r="V223">
        <v>76.260000000000005</v>
      </c>
      <c r="W223">
        <v>77.430000000000007</v>
      </c>
      <c r="X223">
        <v>64.760000000000005</v>
      </c>
      <c r="Y223">
        <v>0.318</v>
      </c>
    </row>
    <row r="224" spans="1:25" x14ac:dyDescent="0.35">
      <c r="A224" t="s">
        <v>238</v>
      </c>
      <c r="B224" t="s">
        <v>237</v>
      </c>
      <c r="C224" t="s">
        <v>586</v>
      </c>
      <c r="D224">
        <v>9.48</v>
      </c>
      <c r="E224">
        <v>8.92</v>
      </c>
      <c r="F224">
        <v>9.1999999999999993</v>
      </c>
      <c r="G224">
        <v>14.48</v>
      </c>
      <c r="H224">
        <v>15.43</v>
      </c>
      <c r="I224">
        <v>14.49</v>
      </c>
      <c r="J224">
        <v>2.11</v>
      </c>
      <c r="K224">
        <v>1.9</v>
      </c>
      <c r="L224">
        <v>2.0099999999999998</v>
      </c>
      <c r="M224">
        <v>84.69</v>
      </c>
      <c r="N224">
        <v>72.66</v>
      </c>
      <c r="O224">
        <v>78.674999999999997</v>
      </c>
      <c r="P224">
        <v>73.7</v>
      </c>
      <c r="Q224">
        <v>78.37</v>
      </c>
      <c r="R224">
        <v>75.489999999999995</v>
      </c>
      <c r="S224">
        <v>17.5</v>
      </c>
      <c r="T224">
        <v>35.35</v>
      </c>
      <c r="U224">
        <v>79.55</v>
      </c>
      <c r="V224">
        <v>75.8</v>
      </c>
      <c r="W224">
        <v>76.14</v>
      </c>
      <c r="X224">
        <v>70.599999999999994</v>
      </c>
      <c r="Y224">
        <v>0.14499999999999999</v>
      </c>
    </row>
    <row r="225" spans="1:25" x14ac:dyDescent="0.35">
      <c r="A225" t="s">
        <v>239</v>
      </c>
      <c r="B225" t="s">
        <v>237</v>
      </c>
      <c r="C225" t="s">
        <v>586</v>
      </c>
      <c r="D225">
        <v>10.130000000000001</v>
      </c>
      <c r="E225">
        <v>9.64</v>
      </c>
      <c r="F225">
        <v>9.81</v>
      </c>
      <c r="G225">
        <v>15.92</v>
      </c>
      <c r="H225">
        <v>15.4</v>
      </c>
      <c r="I225">
        <v>15.63</v>
      </c>
      <c r="J225">
        <v>4.2300000000000004</v>
      </c>
      <c r="K225">
        <v>2.88</v>
      </c>
      <c r="L225">
        <v>3.62</v>
      </c>
      <c r="M225">
        <v>82.77</v>
      </c>
      <c r="N225">
        <v>67.150000000000006</v>
      </c>
      <c r="O225">
        <v>74.960000000000008</v>
      </c>
      <c r="P225">
        <v>73.08</v>
      </c>
      <c r="Q225">
        <v>77.55</v>
      </c>
      <c r="R225">
        <v>74.8</v>
      </c>
      <c r="S225">
        <v>20</v>
      </c>
      <c r="T225">
        <v>38.51</v>
      </c>
      <c r="U225">
        <v>84.22</v>
      </c>
      <c r="V225">
        <v>80.569999999999993</v>
      </c>
      <c r="W225">
        <v>81.739999999999995</v>
      </c>
      <c r="X225">
        <v>75.97</v>
      </c>
      <c r="Y225">
        <v>0.127</v>
      </c>
    </row>
    <row r="226" spans="1:25" x14ac:dyDescent="0.35">
      <c r="A226" t="s">
        <v>240</v>
      </c>
      <c r="B226" t="s">
        <v>237</v>
      </c>
      <c r="C226" t="s">
        <v>586</v>
      </c>
      <c r="D226">
        <v>7.94</v>
      </c>
      <c r="E226">
        <v>7</v>
      </c>
      <c r="F226">
        <v>7.35</v>
      </c>
      <c r="G226">
        <v>13.35</v>
      </c>
      <c r="H226">
        <v>13.54</v>
      </c>
      <c r="I226">
        <v>13.4</v>
      </c>
      <c r="J226">
        <v>2.96</v>
      </c>
      <c r="K226">
        <v>1.18</v>
      </c>
      <c r="L226">
        <v>2.16</v>
      </c>
      <c r="M226">
        <v>86.6</v>
      </c>
      <c r="N226">
        <v>67.510000000000005</v>
      </c>
      <c r="O226">
        <v>77.055000000000007</v>
      </c>
      <c r="P226">
        <v>73.16</v>
      </c>
      <c r="Q226">
        <v>77.680000000000007</v>
      </c>
      <c r="R226">
        <v>74.91</v>
      </c>
      <c r="S226">
        <v>26.67</v>
      </c>
      <c r="T226">
        <v>39.35</v>
      </c>
      <c r="U226">
        <v>77.739999999999995</v>
      </c>
      <c r="V226">
        <v>67.38</v>
      </c>
      <c r="W226">
        <v>71.89</v>
      </c>
      <c r="X226">
        <v>79.41</v>
      </c>
      <c r="Y226">
        <v>0.183</v>
      </c>
    </row>
    <row r="227" spans="1:25" x14ac:dyDescent="0.35">
      <c r="A227" t="s">
        <v>241</v>
      </c>
      <c r="B227" t="s">
        <v>237</v>
      </c>
      <c r="C227" t="s">
        <v>586</v>
      </c>
      <c r="D227">
        <v>11.69</v>
      </c>
      <c r="E227">
        <v>11.01</v>
      </c>
      <c r="F227">
        <v>11.33</v>
      </c>
      <c r="G227">
        <v>16.8</v>
      </c>
      <c r="H227">
        <v>16.78</v>
      </c>
      <c r="I227">
        <v>16.79</v>
      </c>
      <c r="J227">
        <v>4.72</v>
      </c>
      <c r="K227">
        <v>3.39</v>
      </c>
      <c r="L227">
        <v>4.13</v>
      </c>
      <c r="M227">
        <v>82.86</v>
      </c>
      <c r="N227">
        <v>63.99</v>
      </c>
      <c r="O227">
        <v>73.424999999999997</v>
      </c>
      <c r="P227">
        <v>73.72</v>
      </c>
      <c r="Q227">
        <v>78.349999999999994</v>
      </c>
      <c r="R227">
        <v>75.48</v>
      </c>
      <c r="S227">
        <v>26</v>
      </c>
      <c r="T227">
        <v>39.619999999999997</v>
      </c>
      <c r="U227">
        <v>87.28</v>
      </c>
      <c r="V227">
        <v>84.24</v>
      </c>
      <c r="W227">
        <v>85.61</v>
      </c>
      <c r="X227">
        <v>81.489999999999995</v>
      </c>
      <c r="Y227">
        <v>0.112</v>
      </c>
    </row>
    <row r="228" spans="1:25" x14ac:dyDescent="0.35">
      <c r="A228" t="s">
        <v>242</v>
      </c>
      <c r="B228" t="s">
        <v>237</v>
      </c>
      <c r="C228" t="s">
        <v>586</v>
      </c>
      <c r="D228">
        <v>12.25</v>
      </c>
      <c r="E228">
        <v>11.92</v>
      </c>
      <c r="F228">
        <v>12.12</v>
      </c>
      <c r="G228">
        <v>17.52</v>
      </c>
      <c r="H228">
        <v>17.690000000000001</v>
      </c>
      <c r="I228">
        <v>17.66</v>
      </c>
      <c r="J228">
        <v>6.4</v>
      </c>
      <c r="K228">
        <v>5.13</v>
      </c>
      <c r="L228">
        <v>5.8</v>
      </c>
      <c r="M228">
        <v>77.430000000000007</v>
      </c>
      <c r="N228">
        <v>64.19</v>
      </c>
      <c r="O228">
        <v>70.81</v>
      </c>
      <c r="P228">
        <v>73.989999999999995</v>
      </c>
      <c r="Q228">
        <v>78.650000000000006</v>
      </c>
      <c r="R228">
        <v>75.73</v>
      </c>
      <c r="S228">
        <v>12.5</v>
      </c>
      <c r="T228">
        <v>45.32</v>
      </c>
      <c r="U228">
        <v>89.3</v>
      </c>
      <c r="V228">
        <v>88.09</v>
      </c>
      <c r="W228">
        <v>88.77</v>
      </c>
      <c r="X228">
        <v>71.86</v>
      </c>
      <c r="Y228">
        <v>0.16700000000000001</v>
      </c>
    </row>
    <row r="229" spans="1:25" x14ac:dyDescent="0.35">
      <c r="A229" t="s">
        <v>244</v>
      </c>
      <c r="B229" t="s">
        <v>243</v>
      </c>
      <c r="C229" t="s">
        <v>586</v>
      </c>
      <c r="D229">
        <v>8.16</v>
      </c>
      <c r="E229">
        <v>7.52</v>
      </c>
      <c r="F229">
        <v>7.9</v>
      </c>
      <c r="G229">
        <v>12.93</v>
      </c>
      <c r="H229">
        <v>12.56</v>
      </c>
      <c r="I229">
        <v>12.69</v>
      </c>
      <c r="J229">
        <v>1.8</v>
      </c>
      <c r="K229">
        <v>1.29</v>
      </c>
      <c r="L229">
        <v>1.56</v>
      </c>
      <c r="M229">
        <v>90.3</v>
      </c>
      <c r="N229">
        <v>82.93</v>
      </c>
      <c r="O229">
        <v>86.615000000000009</v>
      </c>
      <c r="P229">
        <v>72.14</v>
      </c>
      <c r="Q229">
        <v>77.47</v>
      </c>
      <c r="R229">
        <v>74.739999999999995</v>
      </c>
      <c r="S229">
        <v>8.89</v>
      </c>
      <c r="T229">
        <v>39.72</v>
      </c>
      <c r="U229">
        <v>75.75</v>
      </c>
      <c r="V229">
        <v>65.489999999999995</v>
      </c>
      <c r="W229">
        <v>70.739999999999995</v>
      </c>
      <c r="X229">
        <v>64.12</v>
      </c>
      <c r="Y229">
        <v>0.47599999999999998</v>
      </c>
    </row>
    <row r="230" spans="1:25" x14ac:dyDescent="0.35">
      <c r="A230" t="s">
        <v>245</v>
      </c>
      <c r="B230" t="s">
        <v>243</v>
      </c>
      <c r="C230" t="s">
        <v>586</v>
      </c>
      <c r="D230">
        <v>8.11</v>
      </c>
      <c r="E230">
        <v>7.48</v>
      </c>
      <c r="F230">
        <v>7.8</v>
      </c>
      <c r="G230">
        <v>13.65</v>
      </c>
      <c r="H230">
        <v>13.79</v>
      </c>
      <c r="I230">
        <v>13.78</v>
      </c>
      <c r="J230">
        <v>4.62</v>
      </c>
      <c r="K230">
        <v>3.68</v>
      </c>
      <c r="L230">
        <v>4.1900000000000004</v>
      </c>
      <c r="M230">
        <v>87.19</v>
      </c>
      <c r="N230">
        <v>70.459999999999994</v>
      </c>
      <c r="O230">
        <v>78.824999999999989</v>
      </c>
      <c r="P230">
        <v>72.58</v>
      </c>
      <c r="Q230">
        <v>78.12</v>
      </c>
      <c r="R230">
        <v>75.28</v>
      </c>
      <c r="S230">
        <v>17.78</v>
      </c>
      <c r="T230">
        <v>35.56</v>
      </c>
      <c r="U230">
        <v>76.099999999999994</v>
      </c>
      <c r="V230">
        <v>71.989999999999995</v>
      </c>
      <c r="W230">
        <v>73.010000000000005</v>
      </c>
      <c r="X230">
        <v>72.66</v>
      </c>
      <c r="Y230">
        <v>0.161</v>
      </c>
    </row>
    <row r="231" spans="1:25" x14ac:dyDescent="0.35">
      <c r="A231" t="s">
        <v>246</v>
      </c>
      <c r="B231" t="s">
        <v>243</v>
      </c>
      <c r="C231" t="s">
        <v>586</v>
      </c>
      <c r="D231">
        <v>8.2100000000000009</v>
      </c>
      <c r="E231">
        <v>7.62</v>
      </c>
      <c r="F231">
        <v>7.92</v>
      </c>
      <c r="G231">
        <v>12.58</v>
      </c>
      <c r="H231">
        <v>12.66</v>
      </c>
      <c r="I231">
        <v>12.63</v>
      </c>
      <c r="J231">
        <v>4.3600000000000003</v>
      </c>
      <c r="K231">
        <v>3.31</v>
      </c>
      <c r="L231">
        <v>3.9</v>
      </c>
      <c r="M231">
        <v>89.94</v>
      </c>
      <c r="N231">
        <v>70.27</v>
      </c>
      <c r="O231">
        <v>80.10499999999999</v>
      </c>
      <c r="P231">
        <v>73.61</v>
      </c>
      <c r="Q231">
        <v>78.2</v>
      </c>
      <c r="R231">
        <v>75.349999999999994</v>
      </c>
      <c r="S231">
        <v>11.11</v>
      </c>
      <c r="T231">
        <v>38.04</v>
      </c>
      <c r="U231">
        <v>76.819999999999993</v>
      </c>
      <c r="V231">
        <v>71.2</v>
      </c>
      <c r="W231">
        <v>72.239999999999995</v>
      </c>
      <c r="X231">
        <v>67.180000000000007</v>
      </c>
      <c r="Y231">
        <v>0.46300000000000002</v>
      </c>
    </row>
    <row r="232" spans="1:25" x14ac:dyDescent="0.35">
      <c r="A232" t="s">
        <v>247</v>
      </c>
      <c r="B232" t="s">
        <v>243</v>
      </c>
      <c r="C232" t="s">
        <v>586</v>
      </c>
      <c r="D232">
        <v>8.9499999999999993</v>
      </c>
      <c r="E232">
        <v>8.4499999999999993</v>
      </c>
      <c r="F232">
        <v>8.68</v>
      </c>
      <c r="G232">
        <v>13.36</v>
      </c>
      <c r="H232">
        <v>13.86</v>
      </c>
      <c r="I232">
        <v>13.36</v>
      </c>
      <c r="J232">
        <v>4.6399999999999997</v>
      </c>
      <c r="K232">
        <v>3.4</v>
      </c>
      <c r="L232">
        <v>4.12</v>
      </c>
      <c r="M232">
        <v>87.99</v>
      </c>
      <c r="N232">
        <v>63.29</v>
      </c>
      <c r="O232">
        <v>75.64</v>
      </c>
      <c r="P232">
        <v>73.61</v>
      </c>
      <c r="Q232">
        <v>78.02</v>
      </c>
      <c r="R232">
        <v>75.2</v>
      </c>
      <c r="S232">
        <v>14</v>
      </c>
      <c r="T232">
        <v>39.51</v>
      </c>
      <c r="U232">
        <v>77.97</v>
      </c>
      <c r="V232">
        <v>74.510000000000005</v>
      </c>
      <c r="W232">
        <v>75.09</v>
      </c>
      <c r="X232">
        <v>69.989999999999995</v>
      </c>
      <c r="Y232">
        <v>0.34499999999999997</v>
      </c>
    </row>
    <row r="233" spans="1:25" x14ac:dyDescent="0.35">
      <c r="A233" t="s">
        <v>248</v>
      </c>
      <c r="B233" t="s">
        <v>243</v>
      </c>
      <c r="C233" t="s">
        <v>586</v>
      </c>
      <c r="D233">
        <v>7.96</v>
      </c>
      <c r="E233">
        <v>7.79</v>
      </c>
      <c r="F233">
        <v>7.87</v>
      </c>
      <c r="G233">
        <v>12.38</v>
      </c>
      <c r="H233">
        <v>13.08</v>
      </c>
      <c r="I233">
        <v>12.67</v>
      </c>
      <c r="J233">
        <v>4.72</v>
      </c>
      <c r="K233">
        <v>4.8499999999999996</v>
      </c>
      <c r="L233">
        <v>4.7699999999999996</v>
      </c>
      <c r="M233">
        <v>87.26</v>
      </c>
      <c r="N233">
        <v>57.41</v>
      </c>
      <c r="O233">
        <v>72.335000000000008</v>
      </c>
      <c r="P233">
        <v>73.69</v>
      </c>
      <c r="Q233">
        <v>78.17</v>
      </c>
      <c r="R233">
        <v>75.319999999999993</v>
      </c>
      <c r="S233">
        <v>22</v>
      </c>
      <c r="T233">
        <v>41.8</v>
      </c>
      <c r="U233">
        <v>76.75</v>
      </c>
      <c r="V233">
        <v>71.88</v>
      </c>
      <c r="W233">
        <v>73.09</v>
      </c>
      <c r="X233">
        <v>79.86</v>
      </c>
      <c r="Y233">
        <v>0.26300000000000001</v>
      </c>
    </row>
    <row r="234" spans="1:25" x14ac:dyDescent="0.35">
      <c r="A234" t="s">
        <v>249</v>
      </c>
      <c r="B234" t="s">
        <v>243</v>
      </c>
      <c r="C234" t="s">
        <v>586</v>
      </c>
      <c r="D234">
        <v>8.64</v>
      </c>
      <c r="E234">
        <v>7.89</v>
      </c>
      <c r="F234">
        <v>8.26</v>
      </c>
      <c r="G234">
        <v>13.45</v>
      </c>
      <c r="H234">
        <v>13.72</v>
      </c>
      <c r="I234">
        <v>13.63</v>
      </c>
      <c r="J234">
        <v>5.66</v>
      </c>
      <c r="K234">
        <v>4.21</v>
      </c>
      <c r="L234">
        <v>5.0999999999999996</v>
      </c>
      <c r="M234">
        <v>86.69</v>
      </c>
      <c r="N234">
        <v>55.76</v>
      </c>
      <c r="O234">
        <v>71.224999999999994</v>
      </c>
      <c r="P234">
        <v>72.41</v>
      </c>
      <c r="Q234">
        <v>77.87</v>
      </c>
      <c r="R234">
        <v>75.069999999999993</v>
      </c>
      <c r="S234">
        <v>22</v>
      </c>
      <c r="T234">
        <v>31.76</v>
      </c>
      <c r="U234">
        <v>78.33</v>
      </c>
      <c r="V234">
        <v>73.17</v>
      </c>
      <c r="W234">
        <v>74.44</v>
      </c>
      <c r="X234">
        <v>72.819999999999993</v>
      </c>
      <c r="Y234">
        <v>0.182</v>
      </c>
    </row>
    <row r="235" spans="1:25" x14ac:dyDescent="0.35">
      <c r="A235" t="s">
        <v>250</v>
      </c>
      <c r="B235" t="s">
        <v>243</v>
      </c>
      <c r="C235" t="s">
        <v>586</v>
      </c>
      <c r="D235">
        <v>8.15</v>
      </c>
      <c r="E235">
        <v>7.46</v>
      </c>
      <c r="F235">
        <v>7.8</v>
      </c>
      <c r="G235">
        <v>13.49</v>
      </c>
      <c r="H235">
        <v>13.5</v>
      </c>
      <c r="I235">
        <v>13.49</v>
      </c>
      <c r="J235">
        <v>5.47</v>
      </c>
      <c r="K235">
        <v>4.62</v>
      </c>
      <c r="L235">
        <v>5.13</v>
      </c>
      <c r="M235">
        <v>87.02</v>
      </c>
      <c r="N235">
        <v>58.74</v>
      </c>
      <c r="O235">
        <v>72.88</v>
      </c>
      <c r="P235">
        <v>72.62</v>
      </c>
      <c r="Q235">
        <v>78.180000000000007</v>
      </c>
      <c r="R235">
        <v>75.34</v>
      </c>
      <c r="S235">
        <v>18</v>
      </c>
      <c r="T235">
        <v>36.450000000000003</v>
      </c>
      <c r="U235">
        <v>77.08</v>
      </c>
      <c r="V235">
        <v>68.53</v>
      </c>
      <c r="W235">
        <v>72.680000000000007</v>
      </c>
      <c r="X235">
        <v>73.39</v>
      </c>
      <c r="Y235">
        <v>0.315</v>
      </c>
    </row>
    <row r="236" spans="1:25" x14ac:dyDescent="0.35">
      <c r="A236" t="s">
        <v>251</v>
      </c>
      <c r="B236" t="s">
        <v>243</v>
      </c>
      <c r="C236" t="s">
        <v>586</v>
      </c>
      <c r="D236">
        <v>7.68</v>
      </c>
      <c r="E236">
        <v>6.82</v>
      </c>
      <c r="F236">
        <v>7.27</v>
      </c>
      <c r="G236">
        <v>12.33</v>
      </c>
      <c r="H236">
        <v>12.41</v>
      </c>
      <c r="I236">
        <v>12.41</v>
      </c>
      <c r="J236">
        <v>3.44</v>
      </c>
      <c r="K236">
        <v>3.03</v>
      </c>
      <c r="L236">
        <v>3.28</v>
      </c>
      <c r="M236">
        <v>88.5</v>
      </c>
      <c r="N236">
        <v>53.91</v>
      </c>
      <c r="O236">
        <v>71.204999999999998</v>
      </c>
      <c r="P236">
        <v>72.03</v>
      </c>
      <c r="Q236">
        <v>77.290000000000006</v>
      </c>
      <c r="R236">
        <v>74.569999999999993</v>
      </c>
      <c r="S236">
        <v>28</v>
      </c>
      <c r="T236">
        <v>23.74</v>
      </c>
      <c r="U236">
        <v>73.569999999999993</v>
      </c>
      <c r="V236">
        <v>65.790000000000006</v>
      </c>
      <c r="W236">
        <v>68.8</v>
      </c>
      <c r="X236">
        <v>65.16</v>
      </c>
      <c r="Y236">
        <v>0.23100000000000001</v>
      </c>
    </row>
    <row r="237" spans="1:25" x14ac:dyDescent="0.35">
      <c r="A237" t="s">
        <v>252</v>
      </c>
      <c r="B237" t="s">
        <v>243</v>
      </c>
      <c r="C237" t="s">
        <v>586</v>
      </c>
      <c r="D237">
        <v>7.23</v>
      </c>
      <c r="E237">
        <v>6.03</v>
      </c>
      <c r="F237">
        <v>6.54</v>
      </c>
      <c r="G237">
        <v>13.67</v>
      </c>
      <c r="H237">
        <v>13.48</v>
      </c>
      <c r="I237">
        <v>13.5</v>
      </c>
      <c r="J237">
        <v>3.07</v>
      </c>
      <c r="K237">
        <v>3.45</v>
      </c>
      <c r="L237">
        <v>3.23</v>
      </c>
      <c r="M237">
        <v>87.96</v>
      </c>
      <c r="N237">
        <v>59.84</v>
      </c>
      <c r="O237">
        <v>73.900000000000006</v>
      </c>
      <c r="P237">
        <v>71.760000000000005</v>
      </c>
      <c r="Q237">
        <v>76.69</v>
      </c>
      <c r="R237">
        <v>74.17</v>
      </c>
      <c r="S237">
        <v>22</v>
      </c>
      <c r="T237">
        <v>31.24</v>
      </c>
      <c r="U237">
        <v>74.510000000000005</v>
      </c>
      <c r="V237">
        <v>63.92</v>
      </c>
      <c r="W237">
        <v>69.150000000000006</v>
      </c>
      <c r="X237">
        <v>72.040000000000006</v>
      </c>
      <c r="Y237">
        <v>0.33</v>
      </c>
    </row>
    <row r="238" spans="1:25" x14ac:dyDescent="0.35">
      <c r="A238" t="s">
        <v>253</v>
      </c>
      <c r="B238" t="s">
        <v>243</v>
      </c>
      <c r="C238" t="s">
        <v>586</v>
      </c>
      <c r="D238">
        <v>8.25</v>
      </c>
      <c r="E238">
        <v>7.22</v>
      </c>
      <c r="F238">
        <v>7.78</v>
      </c>
      <c r="G238">
        <v>12.93</v>
      </c>
      <c r="H238">
        <v>13.25</v>
      </c>
      <c r="I238">
        <v>13.14</v>
      </c>
      <c r="J238">
        <v>4.46</v>
      </c>
      <c r="K238">
        <v>3.45</v>
      </c>
      <c r="L238">
        <v>4.03</v>
      </c>
      <c r="M238">
        <v>88.01</v>
      </c>
      <c r="N238">
        <v>62.87</v>
      </c>
      <c r="O238">
        <v>75.44</v>
      </c>
      <c r="P238">
        <v>71.739999999999995</v>
      </c>
      <c r="Q238">
        <v>76.64</v>
      </c>
      <c r="R238">
        <v>74.13</v>
      </c>
      <c r="S238">
        <v>34</v>
      </c>
      <c r="T238">
        <v>31.04</v>
      </c>
      <c r="U238">
        <v>77.8</v>
      </c>
      <c r="V238">
        <v>68.13</v>
      </c>
      <c r="W238">
        <v>73.11</v>
      </c>
      <c r="X238">
        <v>79.510000000000005</v>
      </c>
      <c r="Y238">
        <v>0.27700000000000002</v>
      </c>
    </row>
    <row r="239" spans="1:25" x14ac:dyDescent="0.35">
      <c r="A239" t="s">
        <v>254</v>
      </c>
      <c r="B239" t="s">
        <v>243</v>
      </c>
      <c r="C239" t="s">
        <v>586</v>
      </c>
      <c r="D239">
        <v>7.15</v>
      </c>
      <c r="E239">
        <v>5.89</v>
      </c>
      <c r="F239">
        <v>6.53</v>
      </c>
      <c r="G239">
        <v>13.58</v>
      </c>
      <c r="H239">
        <v>13.33</v>
      </c>
      <c r="I239">
        <v>13.33</v>
      </c>
      <c r="J239">
        <v>4.59</v>
      </c>
      <c r="K239">
        <v>2.27</v>
      </c>
      <c r="L239">
        <v>3.63</v>
      </c>
      <c r="M239">
        <v>89.86</v>
      </c>
      <c r="N239">
        <v>60.97</v>
      </c>
      <c r="O239">
        <v>75.414999999999992</v>
      </c>
      <c r="P239">
        <v>71.209999999999994</v>
      </c>
      <c r="Q239">
        <v>75.52</v>
      </c>
      <c r="R239">
        <v>73.31</v>
      </c>
      <c r="S239">
        <v>17.78</v>
      </c>
      <c r="T239">
        <v>37.89</v>
      </c>
      <c r="U239">
        <v>72.91</v>
      </c>
      <c r="V239">
        <v>66.510000000000005</v>
      </c>
      <c r="W239">
        <v>68.650000000000006</v>
      </c>
      <c r="X239">
        <v>72.33</v>
      </c>
      <c r="Y239">
        <v>0.46300000000000002</v>
      </c>
    </row>
    <row r="240" spans="1:25" x14ac:dyDescent="0.35">
      <c r="A240" t="s">
        <v>255</v>
      </c>
      <c r="B240" t="s">
        <v>243</v>
      </c>
      <c r="C240" t="s">
        <v>586</v>
      </c>
      <c r="D240">
        <v>7.67</v>
      </c>
      <c r="E240">
        <v>6.3</v>
      </c>
      <c r="F240">
        <v>6.93</v>
      </c>
      <c r="G240">
        <v>13.52</v>
      </c>
      <c r="H240">
        <v>13.19</v>
      </c>
      <c r="I240">
        <v>13.2</v>
      </c>
      <c r="J240">
        <v>3.81</v>
      </c>
      <c r="K240">
        <v>2.27</v>
      </c>
      <c r="L240">
        <v>3.15</v>
      </c>
      <c r="M240">
        <v>89.85</v>
      </c>
      <c r="N240">
        <v>64.13</v>
      </c>
      <c r="O240">
        <v>76.989999999999995</v>
      </c>
      <c r="P240">
        <v>71.239999999999995</v>
      </c>
      <c r="Q240">
        <v>75.58</v>
      </c>
      <c r="R240">
        <v>73.36</v>
      </c>
      <c r="S240">
        <v>20</v>
      </c>
      <c r="T240">
        <v>27.98</v>
      </c>
      <c r="U240">
        <v>75.28</v>
      </c>
      <c r="V240">
        <v>66.040000000000006</v>
      </c>
      <c r="W240">
        <v>69.75</v>
      </c>
      <c r="X240">
        <v>67.73</v>
      </c>
      <c r="Y240">
        <v>0.46100000000000002</v>
      </c>
    </row>
    <row r="241" spans="1:25" x14ac:dyDescent="0.35">
      <c r="A241" t="s">
        <v>256</v>
      </c>
      <c r="B241" t="s">
        <v>243</v>
      </c>
      <c r="C241" t="s">
        <v>586</v>
      </c>
      <c r="D241">
        <v>6.94</v>
      </c>
      <c r="E241">
        <v>5.74</v>
      </c>
      <c r="F241">
        <v>6.31</v>
      </c>
      <c r="G241">
        <v>12.78</v>
      </c>
      <c r="H241">
        <v>12.49</v>
      </c>
      <c r="I241">
        <v>12.64</v>
      </c>
      <c r="J241">
        <v>3.65</v>
      </c>
      <c r="K241">
        <v>2.0499999999999998</v>
      </c>
      <c r="L241">
        <v>3</v>
      </c>
      <c r="M241">
        <v>88.74</v>
      </c>
      <c r="N241">
        <v>58.3</v>
      </c>
      <c r="O241">
        <v>73.52</v>
      </c>
      <c r="P241">
        <v>71.61</v>
      </c>
      <c r="Q241">
        <v>76.36</v>
      </c>
      <c r="R241">
        <v>73.930000000000007</v>
      </c>
      <c r="S241">
        <v>30</v>
      </c>
      <c r="T241">
        <v>25.49</v>
      </c>
      <c r="U241">
        <v>73.459999999999994</v>
      </c>
      <c r="V241">
        <v>63.64</v>
      </c>
      <c r="W241">
        <v>68.290000000000006</v>
      </c>
      <c r="X241">
        <v>72.02</v>
      </c>
      <c r="Y241">
        <v>0.442</v>
      </c>
    </row>
    <row r="242" spans="1:25" x14ac:dyDescent="0.35">
      <c r="A242" t="s">
        <v>257</v>
      </c>
      <c r="B242" t="s">
        <v>243</v>
      </c>
      <c r="C242" t="s">
        <v>586</v>
      </c>
      <c r="D242">
        <v>8.1300000000000008</v>
      </c>
      <c r="E242">
        <v>6.96</v>
      </c>
      <c r="F242">
        <v>7.46</v>
      </c>
      <c r="G242">
        <v>12.78</v>
      </c>
      <c r="H242">
        <v>12.86</v>
      </c>
      <c r="I242">
        <v>12.78</v>
      </c>
      <c r="J242">
        <v>4.99</v>
      </c>
      <c r="K242">
        <v>5.0599999999999996</v>
      </c>
      <c r="L242">
        <v>5.0199999999999996</v>
      </c>
      <c r="M242">
        <v>87.51</v>
      </c>
      <c r="N242">
        <v>63.27</v>
      </c>
      <c r="O242">
        <v>75.39</v>
      </c>
      <c r="P242">
        <v>72.05</v>
      </c>
      <c r="Q242">
        <v>77.28</v>
      </c>
      <c r="R242">
        <v>74.61</v>
      </c>
      <c r="S242">
        <v>14</v>
      </c>
      <c r="T242">
        <v>35.56</v>
      </c>
      <c r="U242">
        <v>74.760000000000005</v>
      </c>
      <c r="V242">
        <v>68.16</v>
      </c>
      <c r="W242">
        <v>70.73</v>
      </c>
      <c r="X242">
        <v>69.569999999999993</v>
      </c>
      <c r="Y242">
        <v>0.34599999999999997</v>
      </c>
    </row>
    <row r="243" spans="1:25" x14ac:dyDescent="0.35">
      <c r="A243" t="s">
        <v>258</v>
      </c>
      <c r="B243" t="s">
        <v>243</v>
      </c>
      <c r="C243" t="s">
        <v>586</v>
      </c>
      <c r="D243">
        <v>11.11</v>
      </c>
      <c r="E243">
        <v>10.79</v>
      </c>
      <c r="F243">
        <v>10.91</v>
      </c>
      <c r="G243">
        <v>15.09</v>
      </c>
      <c r="H243">
        <v>15.35</v>
      </c>
      <c r="I243">
        <v>15.22</v>
      </c>
      <c r="J243">
        <v>6.64</v>
      </c>
      <c r="K243">
        <v>6.25</v>
      </c>
      <c r="L243">
        <v>6.49</v>
      </c>
      <c r="M243">
        <v>82.54</v>
      </c>
      <c r="N243">
        <v>54.23</v>
      </c>
      <c r="O243">
        <v>68.385000000000005</v>
      </c>
      <c r="P243">
        <v>73.900000000000006</v>
      </c>
      <c r="Q243">
        <v>78.53</v>
      </c>
      <c r="R243">
        <v>75.63</v>
      </c>
      <c r="S243">
        <v>14</v>
      </c>
      <c r="T243">
        <v>29.84</v>
      </c>
      <c r="U243">
        <v>85.9</v>
      </c>
      <c r="V243">
        <v>81.52</v>
      </c>
      <c r="W243">
        <v>82.31</v>
      </c>
      <c r="X243">
        <v>66.13</v>
      </c>
      <c r="Y243">
        <v>0.183</v>
      </c>
    </row>
    <row r="244" spans="1:25" x14ac:dyDescent="0.35">
      <c r="A244" t="s">
        <v>259</v>
      </c>
      <c r="B244" t="s">
        <v>243</v>
      </c>
      <c r="C244" t="s">
        <v>586</v>
      </c>
      <c r="D244">
        <v>9.6999999999999993</v>
      </c>
      <c r="E244">
        <v>8.65</v>
      </c>
      <c r="F244">
        <v>9.1300000000000008</v>
      </c>
      <c r="G244">
        <v>13.06</v>
      </c>
      <c r="H244">
        <v>12.99</v>
      </c>
      <c r="I244">
        <v>12.99</v>
      </c>
      <c r="J244">
        <v>3.97</v>
      </c>
      <c r="K244">
        <v>3.73</v>
      </c>
      <c r="L244">
        <v>3.87</v>
      </c>
      <c r="M244">
        <v>87.06</v>
      </c>
      <c r="N244">
        <v>60.88</v>
      </c>
      <c r="O244">
        <v>73.97</v>
      </c>
      <c r="P244">
        <v>72.31</v>
      </c>
      <c r="Q244">
        <v>77.73</v>
      </c>
      <c r="R244">
        <v>74.95</v>
      </c>
      <c r="S244">
        <v>24</v>
      </c>
      <c r="T244">
        <v>35.24</v>
      </c>
      <c r="U244">
        <v>80.28</v>
      </c>
      <c r="V244">
        <v>73.73</v>
      </c>
      <c r="W244">
        <v>75.98</v>
      </c>
      <c r="X244">
        <v>78</v>
      </c>
      <c r="Y244">
        <v>0.29499999999999998</v>
      </c>
    </row>
    <row r="245" spans="1:25" x14ac:dyDescent="0.35">
      <c r="A245" t="s">
        <v>260</v>
      </c>
      <c r="B245" t="s">
        <v>243</v>
      </c>
      <c r="C245" t="s">
        <v>586</v>
      </c>
      <c r="D245">
        <v>9.3000000000000007</v>
      </c>
      <c r="E245">
        <v>8.24</v>
      </c>
      <c r="F245">
        <v>8.7799999999999994</v>
      </c>
      <c r="G245">
        <v>13.43</v>
      </c>
      <c r="H245">
        <v>13.88</v>
      </c>
      <c r="I245">
        <v>13.61</v>
      </c>
      <c r="J245">
        <v>4.4800000000000004</v>
      </c>
      <c r="K245">
        <v>2.67</v>
      </c>
      <c r="L245">
        <v>3.75</v>
      </c>
      <c r="M245">
        <v>85.48</v>
      </c>
      <c r="N245">
        <v>58.2</v>
      </c>
      <c r="O245">
        <v>71.84</v>
      </c>
      <c r="P245">
        <v>72.069999999999993</v>
      </c>
      <c r="Q245">
        <v>77.34</v>
      </c>
      <c r="R245">
        <v>74.64</v>
      </c>
      <c r="S245">
        <v>20</v>
      </c>
      <c r="T245">
        <v>28.66</v>
      </c>
      <c r="U245">
        <v>79.319999999999993</v>
      </c>
      <c r="V245">
        <v>72.05</v>
      </c>
      <c r="W245">
        <v>75.099999999999994</v>
      </c>
      <c r="X245">
        <v>69.400000000000006</v>
      </c>
      <c r="Y245">
        <v>0.23599999999999999</v>
      </c>
    </row>
    <row r="246" spans="1:25" x14ac:dyDescent="0.35">
      <c r="A246" t="s">
        <v>261</v>
      </c>
      <c r="B246" t="s">
        <v>243</v>
      </c>
      <c r="C246" t="s">
        <v>586</v>
      </c>
      <c r="D246">
        <v>8.75</v>
      </c>
      <c r="E246">
        <v>7.85</v>
      </c>
      <c r="F246">
        <v>8.25</v>
      </c>
      <c r="G246">
        <v>13.04</v>
      </c>
      <c r="H246">
        <v>13.84</v>
      </c>
      <c r="I246">
        <v>13.18</v>
      </c>
      <c r="J246">
        <v>3.8</v>
      </c>
      <c r="K246">
        <v>3.98</v>
      </c>
      <c r="L246">
        <v>3.87</v>
      </c>
      <c r="M246">
        <v>84.35</v>
      </c>
      <c r="N246">
        <v>55.22</v>
      </c>
      <c r="O246">
        <v>69.784999999999997</v>
      </c>
      <c r="P246">
        <v>72.069999999999993</v>
      </c>
      <c r="Q246">
        <v>77.34</v>
      </c>
      <c r="R246">
        <v>74.64</v>
      </c>
      <c r="S246">
        <v>22</v>
      </c>
      <c r="T246">
        <v>26.41</v>
      </c>
      <c r="U246">
        <v>78.31</v>
      </c>
      <c r="V246">
        <v>73.75</v>
      </c>
      <c r="W246">
        <v>74.23</v>
      </c>
      <c r="X246">
        <v>68.09</v>
      </c>
      <c r="Y246">
        <v>0.35099999999999998</v>
      </c>
    </row>
    <row r="247" spans="1:25" x14ac:dyDescent="0.35">
      <c r="A247" t="s">
        <v>262</v>
      </c>
      <c r="B247" t="s">
        <v>243</v>
      </c>
      <c r="C247" t="s">
        <v>586</v>
      </c>
      <c r="D247">
        <v>8.61</v>
      </c>
      <c r="E247">
        <v>7.8</v>
      </c>
      <c r="F247">
        <v>8.1999999999999993</v>
      </c>
      <c r="G247">
        <v>13.09</v>
      </c>
      <c r="H247">
        <v>13.75</v>
      </c>
      <c r="I247">
        <v>13.27</v>
      </c>
      <c r="J247">
        <v>4.63</v>
      </c>
      <c r="K247">
        <v>3.94</v>
      </c>
      <c r="L247">
        <v>4.34</v>
      </c>
      <c r="M247">
        <v>85.4</v>
      </c>
      <c r="N247">
        <v>59.73</v>
      </c>
      <c r="O247">
        <v>72.564999999999998</v>
      </c>
      <c r="P247">
        <v>72.180000000000007</v>
      </c>
      <c r="Q247">
        <v>77.540000000000006</v>
      </c>
      <c r="R247">
        <v>74.790000000000006</v>
      </c>
      <c r="S247">
        <v>24.44</v>
      </c>
      <c r="T247">
        <v>30.34</v>
      </c>
      <c r="U247">
        <v>77.430000000000007</v>
      </c>
      <c r="V247">
        <v>71.66</v>
      </c>
      <c r="W247">
        <v>73.739999999999995</v>
      </c>
      <c r="X247">
        <v>72.260000000000005</v>
      </c>
      <c r="Y247">
        <v>0.14599999999999999</v>
      </c>
    </row>
    <row r="248" spans="1:25" x14ac:dyDescent="0.35">
      <c r="A248" t="s">
        <v>263</v>
      </c>
      <c r="B248" t="s">
        <v>243</v>
      </c>
      <c r="C248" t="s">
        <v>586</v>
      </c>
      <c r="D248">
        <v>9.11</v>
      </c>
      <c r="E248">
        <v>8.35</v>
      </c>
      <c r="F248">
        <v>8.69</v>
      </c>
      <c r="G248">
        <v>14.27</v>
      </c>
      <c r="H248">
        <v>14.08</v>
      </c>
      <c r="I248">
        <v>14.08</v>
      </c>
      <c r="J248">
        <v>3.32</v>
      </c>
      <c r="K248">
        <v>3.24</v>
      </c>
      <c r="L248">
        <v>3.28</v>
      </c>
      <c r="M248">
        <v>86.42</v>
      </c>
      <c r="N248">
        <v>68.12</v>
      </c>
      <c r="O248">
        <v>77.27000000000001</v>
      </c>
      <c r="P248">
        <v>72.69</v>
      </c>
      <c r="Q248">
        <v>78.28</v>
      </c>
      <c r="R248">
        <v>75.42</v>
      </c>
      <c r="S248">
        <v>13.33</v>
      </c>
      <c r="T248">
        <v>39.49</v>
      </c>
      <c r="U248">
        <v>79.52</v>
      </c>
      <c r="V248">
        <v>75.040000000000006</v>
      </c>
      <c r="W248">
        <v>75.87</v>
      </c>
      <c r="X248">
        <v>70.069999999999993</v>
      </c>
      <c r="Y248">
        <v>0.17799999999999999</v>
      </c>
    </row>
    <row r="249" spans="1:25" x14ac:dyDescent="0.35">
      <c r="A249" t="s">
        <v>264</v>
      </c>
      <c r="B249" t="s">
        <v>243</v>
      </c>
      <c r="C249" t="s">
        <v>586</v>
      </c>
      <c r="D249">
        <v>8.35</v>
      </c>
      <c r="E249">
        <v>7.47</v>
      </c>
      <c r="F249">
        <v>7.84</v>
      </c>
      <c r="G249">
        <v>12.74</v>
      </c>
      <c r="H249">
        <v>13.5</v>
      </c>
      <c r="I249">
        <v>12.89</v>
      </c>
      <c r="J249">
        <v>3.17</v>
      </c>
      <c r="K249">
        <v>1.42</v>
      </c>
      <c r="L249">
        <v>2.4</v>
      </c>
      <c r="M249">
        <v>86.19</v>
      </c>
      <c r="N249">
        <v>65.64</v>
      </c>
      <c r="O249">
        <v>75.914999999999992</v>
      </c>
      <c r="P249">
        <v>72.52</v>
      </c>
      <c r="Q249">
        <v>78.03</v>
      </c>
      <c r="R249">
        <v>75.209999999999994</v>
      </c>
      <c r="S249">
        <v>22.73</v>
      </c>
      <c r="T249">
        <v>33.32</v>
      </c>
      <c r="U249">
        <v>76.86</v>
      </c>
      <c r="V249">
        <v>71.58</v>
      </c>
      <c r="W249">
        <v>73.09</v>
      </c>
      <c r="X249">
        <v>73.02</v>
      </c>
      <c r="Y249">
        <v>0.17599999999999999</v>
      </c>
    </row>
    <row r="250" spans="1:25" x14ac:dyDescent="0.35">
      <c r="A250" t="s">
        <v>265</v>
      </c>
      <c r="B250" t="s">
        <v>243</v>
      </c>
      <c r="C250" t="s">
        <v>586</v>
      </c>
      <c r="D250">
        <v>8.08</v>
      </c>
      <c r="E250">
        <v>7.1</v>
      </c>
      <c r="F250">
        <v>7.59</v>
      </c>
      <c r="G250">
        <v>12.76</v>
      </c>
      <c r="H250">
        <v>13.29</v>
      </c>
      <c r="I250">
        <v>13.18</v>
      </c>
      <c r="J250">
        <v>4.3899999999999997</v>
      </c>
      <c r="K250">
        <v>4.45</v>
      </c>
      <c r="L250">
        <v>4.42</v>
      </c>
      <c r="M250">
        <v>88.26</v>
      </c>
      <c r="N250">
        <v>59.53</v>
      </c>
      <c r="O250">
        <v>73.89500000000001</v>
      </c>
      <c r="P250">
        <v>72.27</v>
      </c>
      <c r="Q250">
        <v>77.680000000000007</v>
      </c>
      <c r="R250">
        <v>74.91</v>
      </c>
      <c r="S250">
        <v>18</v>
      </c>
      <c r="T250">
        <v>27.64</v>
      </c>
      <c r="U250">
        <v>75.8</v>
      </c>
      <c r="V250">
        <v>69.31</v>
      </c>
      <c r="W250">
        <v>71.78</v>
      </c>
      <c r="X250">
        <v>65.45</v>
      </c>
      <c r="Y250">
        <v>0.22500000000000001</v>
      </c>
    </row>
    <row r="251" spans="1:25" x14ac:dyDescent="0.35">
      <c r="A251" t="s">
        <v>266</v>
      </c>
      <c r="B251" t="s">
        <v>243</v>
      </c>
      <c r="C251" t="s">
        <v>586</v>
      </c>
      <c r="D251">
        <v>8.01</v>
      </c>
      <c r="E251">
        <v>7.11</v>
      </c>
      <c r="F251">
        <v>7.53</v>
      </c>
      <c r="G251">
        <v>12.41</v>
      </c>
      <c r="H251">
        <v>12.74</v>
      </c>
      <c r="I251">
        <v>12.54</v>
      </c>
      <c r="J251">
        <v>4.3600000000000003</v>
      </c>
      <c r="K251">
        <v>4.16</v>
      </c>
      <c r="L251">
        <v>4.28</v>
      </c>
      <c r="M251">
        <v>89.92</v>
      </c>
      <c r="N251">
        <v>59.41</v>
      </c>
      <c r="O251">
        <v>74.664999999999992</v>
      </c>
      <c r="P251">
        <v>72.31</v>
      </c>
      <c r="Q251">
        <v>77.73</v>
      </c>
      <c r="R251">
        <v>74.95</v>
      </c>
      <c r="S251">
        <v>22</v>
      </c>
      <c r="T251">
        <v>31.14</v>
      </c>
      <c r="U251">
        <v>76.03</v>
      </c>
      <c r="V251">
        <v>67.52</v>
      </c>
      <c r="W251">
        <v>71.23</v>
      </c>
      <c r="X251">
        <v>72.290000000000006</v>
      </c>
      <c r="Y251">
        <v>0.21299999999999999</v>
      </c>
    </row>
    <row r="252" spans="1:25" x14ac:dyDescent="0.35">
      <c r="A252" t="s">
        <v>267</v>
      </c>
      <c r="B252" t="s">
        <v>243</v>
      </c>
      <c r="C252" t="s">
        <v>586</v>
      </c>
      <c r="D252">
        <v>8.99</v>
      </c>
      <c r="E252">
        <v>8.0299999999999994</v>
      </c>
      <c r="F252">
        <v>8.48</v>
      </c>
      <c r="G252">
        <v>13.67</v>
      </c>
      <c r="H252">
        <v>14.16</v>
      </c>
      <c r="I252">
        <v>14.03</v>
      </c>
      <c r="J252">
        <v>5</v>
      </c>
      <c r="K252">
        <v>3.4</v>
      </c>
      <c r="L252">
        <v>4.34</v>
      </c>
      <c r="M252">
        <v>89</v>
      </c>
      <c r="N252">
        <v>60.78</v>
      </c>
      <c r="O252">
        <v>74.89</v>
      </c>
      <c r="P252">
        <v>72.41</v>
      </c>
      <c r="Q252">
        <v>77.87</v>
      </c>
      <c r="R252">
        <v>75.069999999999993</v>
      </c>
      <c r="S252">
        <v>16</v>
      </c>
      <c r="T252">
        <v>33.21</v>
      </c>
      <c r="U252">
        <v>79.36</v>
      </c>
      <c r="V252">
        <v>71.510000000000005</v>
      </c>
      <c r="W252">
        <v>75.13</v>
      </c>
      <c r="X252">
        <v>67.900000000000006</v>
      </c>
      <c r="Y252">
        <v>0.20300000000000001</v>
      </c>
    </row>
    <row r="253" spans="1:25" x14ac:dyDescent="0.35">
      <c r="A253" t="s">
        <v>268</v>
      </c>
      <c r="B253" t="s">
        <v>243</v>
      </c>
      <c r="C253" t="s">
        <v>586</v>
      </c>
      <c r="D253">
        <v>10.34</v>
      </c>
      <c r="E253">
        <v>9.7799999999999994</v>
      </c>
      <c r="F253">
        <v>10.029999999999999</v>
      </c>
      <c r="G253">
        <v>14.01</v>
      </c>
      <c r="H253">
        <v>13.98</v>
      </c>
      <c r="I253">
        <v>13.98</v>
      </c>
      <c r="J253">
        <v>6.26</v>
      </c>
      <c r="K253">
        <v>6.75</v>
      </c>
      <c r="L253">
        <v>6.45</v>
      </c>
      <c r="M253">
        <v>86.8</v>
      </c>
      <c r="N253">
        <v>56.37</v>
      </c>
      <c r="O253">
        <v>71.584999999999994</v>
      </c>
      <c r="P253">
        <v>71.97</v>
      </c>
      <c r="Q253">
        <v>77.12</v>
      </c>
      <c r="R253">
        <v>74.48</v>
      </c>
      <c r="S253">
        <v>10</v>
      </c>
      <c r="T253">
        <v>31.49</v>
      </c>
      <c r="U253">
        <v>82.96</v>
      </c>
      <c r="V253">
        <v>75.7</v>
      </c>
      <c r="W253">
        <v>78.45</v>
      </c>
      <c r="X253">
        <v>62.32</v>
      </c>
      <c r="Y253">
        <v>0.33500000000000002</v>
      </c>
    </row>
    <row r="254" spans="1:25" x14ac:dyDescent="0.35">
      <c r="A254" t="s">
        <v>269</v>
      </c>
      <c r="B254" t="s">
        <v>243</v>
      </c>
      <c r="C254" t="s">
        <v>586</v>
      </c>
      <c r="D254">
        <v>6.76</v>
      </c>
      <c r="E254">
        <v>5.41</v>
      </c>
      <c r="F254">
        <v>6.01</v>
      </c>
      <c r="G254">
        <v>12.15</v>
      </c>
      <c r="H254">
        <v>11.87</v>
      </c>
      <c r="I254">
        <v>11.98</v>
      </c>
      <c r="J254">
        <v>5.42</v>
      </c>
      <c r="K254">
        <v>5.25</v>
      </c>
      <c r="L254">
        <v>5.35</v>
      </c>
      <c r="M254">
        <v>84.17</v>
      </c>
      <c r="N254">
        <v>57.37</v>
      </c>
      <c r="O254">
        <v>70.77</v>
      </c>
      <c r="P254">
        <v>71.290000000000006</v>
      </c>
      <c r="Q254">
        <v>75.69</v>
      </c>
      <c r="R254">
        <v>73.430000000000007</v>
      </c>
      <c r="S254">
        <v>2</v>
      </c>
      <c r="T254">
        <v>37.19</v>
      </c>
      <c r="U254">
        <v>71.44</v>
      </c>
      <c r="V254">
        <v>62.73</v>
      </c>
      <c r="W254">
        <v>66.27</v>
      </c>
      <c r="X254">
        <v>55.34</v>
      </c>
      <c r="Y254">
        <v>0.64100000000000001</v>
      </c>
    </row>
    <row r="255" spans="1:25" x14ac:dyDescent="0.35">
      <c r="A255" t="s">
        <v>270</v>
      </c>
      <c r="B255" t="s">
        <v>243</v>
      </c>
      <c r="C255" t="s">
        <v>586</v>
      </c>
      <c r="D255">
        <v>5.59</v>
      </c>
      <c r="E255">
        <v>4.6500000000000004</v>
      </c>
      <c r="F255">
        <v>5.08</v>
      </c>
      <c r="G255">
        <v>12.58</v>
      </c>
      <c r="H255">
        <v>12.38</v>
      </c>
      <c r="I255">
        <v>12.55</v>
      </c>
      <c r="J255">
        <v>3.3</v>
      </c>
      <c r="K255">
        <v>1.36</v>
      </c>
      <c r="L255">
        <v>2.5</v>
      </c>
      <c r="M255">
        <v>87.54</v>
      </c>
      <c r="N255">
        <v>60.1</v>
      </c>
      <c r="O255">
        <v>73.820000000000007</v>
      </c>
      <c r="P255">
        <v>71.430000000000007</v>
      </c>
      <c r="Q255">
        <v>75.989999999999995</v>
      </c>
      <c r="R255">
        <v>73.66</v>
      </c>
      <c r="S255">
        <v>8.89</v>
      </c>
      <c r="T255">
        <v>31.69</v>
      </c>
      <c r="U255">
        <v>69.47</v>
      </c>
      <c r="V255">
        <v>60.55</v>
      </c>
      <c r="W255">
        <v>64.650000000000006</v>
      </c>
      <c r="X255">
        <v>55.29</v>
      </c>
      <c r="Y255">
        <v>0.55100000000000005</v>
      </c>
    </row>
    <row r="256" spans="1:25" x14ac:dyDescent="0.35">
      <c r="A256" t="s">
        <v>271</v>
      </c>
      <c r="B256" t="s">
        <v>243</v>
      </c>
      <c r="C256" t="s">
        <v>586</v>
      </c>
      <c r="D256">
        <v>7.96</v>
      </c>
      <c r="E256">
        <v>6.44</v>
      </c>
      <c r="F256">
        <v>7.17</v>
      </c>
      <c r="G256">
        <v>13.97</v>
      </c>
      <c r="H256">
        <v>13.55</v>
      </c>
      <c r="I256">
        <v>13.69</v>
      </c>
      <c r="J256">
        <v>1.94</v>
      </c>
      <c r="K256">
        <v>1.3</v>
      </c>
      <c r="L256">
        <v>1.64</v>
      </c>
      <c r="M256">
        <v>87.27</v>
      </c>
      <c r="N256">
        <v>71.42</v>
      </c>
      <c r="O256">
        <v>79.344999999999999</v>
      </c>
      <c r="P256">
        <v>71.430000000000007</v>
      </c>
      <c r="Q256">
        <v>75.989999999999995</v>
      </c>
      <c r="R256">
        <v>73.66</v>
      </c>
      <c r="S256">
        <v>2.2200000000000002</v>
      </c>
      <c r="T256">
        <v>34.42</v>
      </c>
      <c r="U256">
        <v>73.62</v>
      </c>
      <c r="V256">
        <v>64.209999999999994</v>
      </c>
      <c r="W256">
        <v>68.489999999999995</v>
      </c>
      <c r="X256">
        <v>51.8</v>
      </c>
      <c r="Y256">
        <v>0.54800000000000004</v>
      </c>
    </row>
    <row r="257" spans="1:25" x14ac:dyDescent="0.35">
      <c r="A257" t="s">
        <v>272</v>
      </c>
      <c r="B257" t="s">
        <v>243</v>
      </c>
      <c r="C257" t="s">
        <v>586</v>
      </c>
      <c r="D257">
        <v>7.09</v>
      </c>
      <c r="E257">
        <v>5.43</v>
      </c>
      <c r="F257">
        <v>6.1</v>
      </c>
      <c r="G257">
        <v>13.71</v>
      </c>
      <c r="H257">
        <v>13.37</v>
      </c>
      <c r="I257">
        <v>13.59</v>
      </c>
      <c r="J257">
        <v>1.92</v>
      </c>
      <c r="K257">
        <v>1.42</v>
      </c>
      <c r="L257">
        <v>1.69</v>
      </c>
      <c r="M257">
        <v>87.24</v>
      </c>
      <c r="N257">
        <v>69.819999999999993</v>
      </c>
      <c r="O257">
        <v>78.53</v>
      </c>
      <c r="P257">
        <v>71.56</v>
      </c>
      <c r="Q257">
        <v>76.27</v>
      </c>
      <c r="R257">
        <v>73.86</v>
      </c>
      <c r="S257">
        <v>8</v>
      </c>
      <c r="T257">
        <v>36.979999999999997</v>
      </c>
      <c r="U257">
        <v>74.959999999999994</v>
      </c>
      <c r="V257">
        <v>61.97</v>
      </c>
      <c r="W257">
        <v>69.260000000000005</v>
      </c>
      <c r="X257">
        <v>63.22</v>
      </c>
      <c r="Y257">
        <v>0.54900000000000004</v>
      </c>
    </row>
    <row r="258" spans="1:25" x14ac:dyDescent="0.35">
      <c r="A258" t="s">
        <v>273</v>
      </c>
      <c r="B258" t="s">
        <v>243</v>
      </c>
      <c r="C258" t="s">
        <v>586</v>
      </c>
      <c r="D258">
        <v>11.47</v>
      </c>
      <c r="E258">
        <v>10.5</v>
      </c>
      <c r="F258">
        <v>10.92</v>
      </c>
      <c r="G258">
        <v>15.57</v>
      </c>
      <c r="H258">
        <v>15.71</v>
      </c>
      <c r="I258">
        <v>15.71</v>
      </c>
      <c r="J258">
        <v>4.0199999999999996</v>
      </c>
      <c r="K258">
        <v>3.77</v>
      </c>
      <c r="L258">
        <v>3.91</v>
      </c>
      <c r="M258">
        <v>80.989999999999995</v>
      </c>
      <c r="N258">
        <v>60.55</v>
      </c>
      <c r="O258">
        <v>70.77</v>
      </c>
      <c r="P258">
        <v>73.12</v>
      </c>
      <c r="Q258">
        <v>78.91</v>
      </c>
      <c r="R258">
        <v>75.94</v>
      </c>
      <c r="S258">
        <v>27.59</v>
      </c>
      <c r="T258">
        <v>36.450000000000003</v>
      </c>
      <c r="U258">
        <v>84.7</v>
      </c>
      <c r="V258">
        <v>80.28</v>
      </c>
      <c r="W258">
        <v>81.349999999999994</v>
      </c>
      <c r="X258">
        <v>81.27</v>
      </c>
      <c r="Y258">
        <v>0.12</v>
      </c>
    </row>
    <row r="259" spans="1:25" x14ac:dyDescent="0.35">
      <c r="A259" t="s">
        <v>274</v>
      </c>
      <c r="B259" t="s">
        <v>243</v>
      </c>
      <c r="C259" t="s">
        <v>586</v>
      </c>
      <c r="D259">
        <v>11</v>
      </c>
      <c r="E259">
        <v>10.74</v>
      </c>
      <c r="F259">
        <v>10.82</v>
      </c>
      <c r="G259">
        <v>14.72</v>
      </c>
      <c r="H259">
        <v>14.97</v>
      </c>
      <c r="I259">
        <v>14.81</v>
      </c>
      <c r="J259">
        <v>4.82</v>
      </c>
      <c r="K259">
        <v>5.5</v>
      </c>
      <c r="L259">
        <v>5.1100000000000003</v>
      </c>
      <c r="M259">
        <v>82.02</v>
      </c>
      <c r="N259">
        <v>59.23</v>
      </c>
      <c r="O259">
        <v>70.625</v>
      </c>
      <c r="P259">
        <v>73.41</v>
      </c>
      <c r="Q259">
        <v>78.02</v>
      </c>
      <c r="R259">
        <v>75.2</v>
      </c>
      <c r="S259">
        <v>12</v>
      </c>
      <c r="T259">
        <v>38.94</v>
      </c>
      <c r="U259">
        <v>82.72</v>
      </c>
      <c r="V259">
        <v>80.64</v>
      </c>
      <c r="W259">
        <v>81.27</v>
      </c>
      <c r="X259">
        <v>68.400000000000006</v>
      </c>
      <c r="Y259">
        <v>0.19800000000000001</v>
      </c>
    </row>
    <row r="260" spans="1:25" x14ac:dyDescent="0.35">
      <c r="A260" t="s">
        <v>275</v>
      </c>
      <c r="B260" t="s">
        <v>243</v>
      </c>
      <c r="C260" t="s">
        <v>586</v>
      </c>
      <c r="D260">
        <v>11.46</v>
      </c>
      <c r="E260">
        <v>11.14</v>
      </c>
      <c r="F260">
        <v>11.14</v>
      </c>
      <c r="G260">
        <v>15.97</v>
      </c>
      <c r="H260">
        <v>15.78</v>
      </c>
      <c r="I260">
        <v>15.79</v>
      </c>
      <c r="J260">
        <v>6.24</v>
      </c>
      <c r="K260">
        <v>5.89</v>
      </c>
      <c r="L260">
        <v>6.1</v>
      </c>
      <c r="M260">
        <v>79.5</v>
      </c>
      <c r="N260">
        <v>55.86</v>
      </c>
      <c r="O260">
        <v>67.680000000000007</v>
      </c>
      <c r="P260">
        <v>72.790000000000006</v>
      </c>
      <c r="Q260">
        <v>78.42</v>
      </c>
      <c r="R260">
        <v>75.540000000000006</v>
      </c>
      <c r="S260">
        <v>26.67</v>
      </c>
      <c r="T260">
        <v>34.549999999999997</v>
      </c>
      <c r="U260">
        <v>87.06</v>
      </c>
      <c r="V260">
        <v>83.49</v>
      </c>
      <c r="W260">
        <v>84.06</v>
      </c>
      <c r="X260">
        <v>78.989999999999995</v>
      </c>
      <c r="Y260">
        <v>0.13100000000000001</v>
      </c>
    </row>
    <row r="261" spans="1:25" x14ac:dyDescent="0.35">
      <c r="A261" t="s">
        <v>276</v>
      </c>
      <c r="B261" t="s">
        <v>243</v>
      </c>
      <c r="C261" t="s">
        <v>586</v>
      </c>
      <c r="D261">
        <v>10.17</v>
      </c>
      <c r="E261">
        <v>9.4</v>
      </c>
      <c r="F261">
        <v>9.7200000000000006</v>
      </c>
      <c r="G261">
        <v>14.23</v>
      </c>
      <c r="H261">
        <v>13.81</v>
      </c>
      <c r="I261">
        <v>13.98</v>
      </c>
      <c r="J261">
        <v>4.5199999999999996</v>
      </c>
      <c r="K261">
        <v>4.3</v>
      </c>
      <c r="L261">
        <v>4.4400000000000004</v>
      </c>
      <c r="M261">
        <v>82.44</v>
      </c>
      <c r="N261">
        <v>53.09</v>
      </c>
      <c r="O261">
        <v>67.765000000000001</v>
      </c>
      <c r="P261">
        <v>71.86</v>
      </c>
      <c r="Q261">
        <v>76.89</v>
      </c>
      <c r="R261">
        <v>74.31</v>
      </c>
      <c r="S261">
        <v>26.67</v>
      </c>
      <c r="T261">
        <v>31.28</v>
      </c>
      <c r="U261">
        <v>77.77</v>
      </c>
      <c r="V261">
        <v>75.11</v>
      </c>
      <c r="W261">
        <v>76.27</v>
      </c>
      <c r="X261">
        <v>76.8</v>
      </c>
      <c r="Y261">
        <v>0.25700000000000001</v>
      </c>
    </row>
    <row r="262" spans="1:25" x14ac:dyDescent="0.35">
      <c r="A262" t="s">
        <v>277</v>
      </c>
      <c r="B262" t="s">
        <v>243</v>
      </c>
      <c r="C262" t="s">
        <v>586</v>
      </c>
      <c r="D262">
        <v>10.25</v>
      </c>
      <c r="E262">
        <v>9.34</v>
      </c>
      <c r="F262">
        <v>9.94</v>
      </c>
      <c r="G262">
        <v>13.67</v>
      </c>
      <c r="H262">
        <v>13.89</v>
      </c>
      <c r="I262">
        <v>13.67</v>
      </c>
      <c r="J262">
        <v>4.9000000000000004</v>
      </c>
      <c r="K262">
        <v>4.28</v>
      </c>
      <c r="L262">
        <v>4.63</v>
      </c>
      <c r="M262">
        <v>82.98</v>
      </c>
      <c r="N262">
        <v>62.58</v>
      </c>
      <c r="O262">
        <v>72.78</v>
      </c>
      <c r="P262">
        <v>72.23</v>
      </c>
      <c r="Q262">
        <v>77.62</v>
      </c>
      <c r="R262">
        <v>74.86</v>
      </c>
      <c r="S262">
        <v>16.670000000000002</v>
      </c>
      <c r="T262">
        <v>32.53</v>
      </c>
      <c r="U262">
        <v>78.95</v>
      </c>
      <c r="V262">
        <v>76.569999999999993</v>
      </c>
      <c r="W262">
        <v>77.75</v>
      </c>
      <c r="X262">
        <v>70.040000000000006</v>
      </c>
      <c r="Y262">
        <v>0.192</v>
      </c>
    </row>
    <row r="263" spans="1:25" x14ac:dyDescent="0.35">
      <c r="A263" t="s">
        <v>278</v>
      </c>
      <c r="B263" t="s">
        <v>243</v>
      </c>
      <c r="C263" t="s">
        <v>586</v>
      </c>
      <c r="D263">
        <v>11.73</v>
      </c>
      <c r="E263">
        <v>10.9</v>
      </c>
      <c r="F263">
        <v>11.38</v>
      </c>
      <c r="G263">
        <v>14.42</v>
      </c>
      <c r="H263">
        <v>14.12</v>
      </c>
      <c r="I263">
        <v>14.13</v>
      </c>
      <c r="J263">
        <v>3.41</v>
      </c>
      <c r="K263">
        <v>4.2300000000000004</v>
      </c>
      <c r="L263">
        <v>3.76</v>
      </c>
      <c r="M263">
        <v>84.06</v>
      </c>
      <c r="N263">
        <v>61.61</v>
      </c>
      <c r="O263">
        <v>72.835000000000008</v>
      </c>
      <c r="P263">
        <v>73.16</v>
      </c>
      <c r="Q263">
        <v>78.959999999999994</v>
      </c>
      <c r="R263">
        <v>75.989999999999995</v>
      </c>
      <c r="S263">
        <v>16</v>
      </c>
      <c r="T263">
        <v>37.909999999999997</v>
      </c>
      <c r="U263">
        <v>84.72</v>
      </c>
      <c r="V263">
        <v>79.650000000000006</v>
      </c>
      <c r="W263">
        <v>80.92</v>
      </c>
      <c r="X263">
        <v>72.91</v>
      </c>
      <c r="Y263">
        <v>0.15</v>
      </c>
    </row>
    <row r="264" spans="1:25" x14ac:dyDescent="0.35">
      <c r="A264" t="s">
        <v>279</v>
      </c>
      <c r="B264" t="s">
        <v>243</v>
      </c>
      <c r="C264" t="s">
        <v>586</v>
      </c>
      <c r="D264">
        <v>12.38</v>
      </c>
      <c r="E264">
        <v>11.74</v>
      </c>
      <c r="F264">
        <v>12.11</v>
      </c>
      <c r="G264">
        <v>14.5</v>
      </c>
      <c r="H264">
        <v>14.9</v>
      </c>
      <c r="I264">
        <v>14.54</v>
      </c>
      <c r="J264">
        <v>4.46</v>
      </c>
      <c r="K264">
        <v>4.1100000000000003</v>
      </c>
      <c r="L264">
        <v>4.3</v>
      </c>
      <c r="M264">
        <v>78.87</v>
      </c>
      <c r="N264">
        <v>62.81</v>
      </c>
      <c r="O264">
        <v>70.84</v>
      </c>
      <c r="P264">
        <v>72.900000000000006</v>
      </c>
      <c r="Q264">
        <v>78.58</v>
      </c>
      <c r="R264">
        <v>75.67</v>
      </c>
      <c r="S264">
        <v>20.69</v>
      </c>
      <c r="T264">
        <v>38.79</v>
      </c>
      <c r="U264">
        <v>87</v>
      </c>
      <c r="V264">
        <v>82.88</v>
      </c>
      <c r="W264">
        <v>83.48</v>
      </c>
      <c r="X264">
        <v>76.510000000000005</v>
      </c>
      <c r="Y264">
        <v>9.2999999999999999E-2</v>
      </c>
    </row>
    <row r="265" spans="1:25" x14ac:dyDescent="0.35">
      <c r="A265" t="s">
        <v>280</v>
      </c>
      <c r="B265" t="s">
        <v>243</v>
      </c>
      <c r="C265" t="s">
        <v>586</v>
      </c>
      <c r="D265">
        <v>11.25</v>
      </c>
      <c r="E265">
        <v>10.62</v>
      </c>
      <c r="F265">
        <v>10.89</v>
      </c>
      <c r="G265">
        <v>15.13</v>
      </c>
      <c r="H265">
        <v>14.7</v>
      </c>
      <c r="I265">
        <v>14.87</v>
      </c>
      <c r="J265">
        <v>4.8499999999999996</v>
      </c>
      <c r="K265">
        <v>4.99</v>
      </c>
      <c r="L265">
        <v>4.91</v>
      </c>
      <c r="M265">
        <v>81.92</v>
      </c>
      <c r="N265">
        <v>59.48</v>
      </c>
      <c r="O265">
        <v>70.7</v>
      </c>
      <c r="P265">
        <v>73.180000000000007</v>
      </c>
      <c r="Q265">
        <v>78.989999999999995</v>
      </c>
      <c r="R265">
        <v>76.02</v>
      </c>
      <c r="S265">
        <v>20</v>
      </c>
      <c r="T265">
        <v>36.39</v>
      </c>
      <c r="U265">
        <v>87.13</v>
      </c>
      <c r="V265">
        <v>82.36</v>
      </c>
      <c r="W265">
        <v>84.14</v>
      </c>
      <c r="X265">
        <v>76.400000000000006</v>
      </c>
      <c r="Y265">
        <v>0.17100000000000001</v>
      </c>
    </row>
    <row r="266" spans="1:25" x14ac:dyDescent="0.35">
      <c r="A266" t="s">
        <v>281</v>
      </c>
      <c r="B266" t="s">
        <v>243</v>
      </c>
      <c r="C266" t="s">
        <v>586</v>
      </c>
      <c r="D266">
        <v>10.130000000000001</v>
      </c>
      <c r="E266">
        <v>9.69</v>
      </c>
      <c r="F266">
        <v>9.8699999999999992</v>
      </c>
      <c r="G266">
        <v>14.55</v>
      </c>
      <c r="H266">
        <v>14.58</v>
      </c>
      <c r="I266">
        <v>14.58</v>
      </c>
      <c r="J266">
        <v>3.93</v>
      </c>
      <c r="K266">
        <v>3.19</v>
      </c>
      <c r="L266">
        <v>3.63</v>
      </c>
      <c r="M266">
        <v>87.33</v>
      </c>
      <c r="N266">
        <v>59.65</v>
      </c>
      <c r="O266">
        <v>73.489999999999995</v>
      </c>
      <c r="P266">
        <v>72.64</v>
      </c>
      <c r="Q266">
        <v>78.209999999999994</v>
      </c>
      <c r="R266">
        <v>75.36</v>
      </c>
      <c r="S266">
        <v>23.33</v>
      </c>
      <c r="T266">
        <v>29.86</v>
      </c>
      <c r="U266">
        <v>82.85</v>
      </c>
      <c r="V266">
        <v>75.28</v>
      </c>
      <c r="W266">
        <v>78.790000000000006</v>
      </c>
      <c r="X266">
        <v>74.06</v>
      </c>
      <c r="Y266">
        <v>0.188</v>
      </c>
    </row>
    <row r="267" spans="1:25" x14ac:dyDescent="0.35">
      <c r="A267" t="s">
        <v>283</v>
      </c>
      <c r="B267" t="s">
        <v>282</v>
      </c>
      <c r="C267" t="s">
        <v>586</v>
      </c>
      <c r="D267">
        <v>7.65</v>
      </c>
      <c r="E267">
        <v>6.74</v>
      </c>
      <c r="F267">
        <v>7.16</v>
      </c>
      <c r="G267">
        <v>13.51</v>
      </c>
      <c r="H267">
        <v>14.15</v>
      </c>
      <c r="I267">
        <v>13.74</v>
      </c>
      <c r="J267">
        <v>7.66</v>
      </c>
      <c r="K267">
        <v>8.84</v>
      </c>
      <c r="L267">
        <v>8.09</v>
      </c>
      <c r="M267">
        <v>83.45</v>
      </c>
      <c r="N267">
        <v>49.49</v>
      </c>
      <c r="O267">
        <v>66.47</v>
      </c>
      <c r="P267">
        <v>71.8</v>
      </c>
      <c r="Q267">
        <v>76.77</v>
      </c>
      <c r="R267">
        <v>74.22</v>
      </c>
      <c r="S267">
        <v>20</v>
      </c>
      <c r="T267">
        <v>31.03</v>
      </c>
      <c r="U267">
        <v>72.069999999999993</v>
      </c>
      <c r="V267">
        <v>62.87</v>
      </c>
      <c r="W267">
        <v>66.989999999999995</v>
      </c>
      <c r="X267">
        <v>70.099999999999994</v>
      </c>
      <c r="Y267">
        <v>0.502</v>
      </c>
    </row>
    <row r="268" spans="1:25" x14ac:dyDescent="0.35">
      <c r="A268" t="s">
        <v>284</v>
      </c>
      <c r="B268" t="s">
        <v>282</v>
      </c>
      <c r="C268" t="s">
        <v>586</v>
      </c>
      <c r="D268">
        <v>7.08</v>
      </c>
      <c r="E268">
        <v>6.27</v>
      </c>
      <c r="F268">
        <v>6.61</v>
      </c>
      <c r="G268">
        <v>12.18</v>
      </c>
      <c r="H268">
        <v>12.09</v>
      </c>
      <c r="I268">
        <v>12.11</v>
      </c>
      <c r="J268">
        <v>6.52</v>
      </c>
      <c r="K268">
        <v>5.75</v>
      </c>
      <c r="L268">
        <v>6.23</v>
      </c>
      <c r="M268">
        <v>87.26</v>
      </c>
      <c r="N268">
        <v>57.53</v>
      </c>
      <c r="O268">
        <v>72.39500000000001</v>
      </c>
      <c r="P268">
        <v>71.650000000000006</v>
      </c>
      <c r="Q268">
        <v>76.45</v>
      </c>
      <c r="R268">
        <v>73.989999999999995</v>
      </c>
      <c r="S268">
        <v>14</v>
      </c>
      <c r="T268">
        <v>32.74</v>
      </c>
      <c r="U268">
        <v>70.59</v>
      </c>
      <c r="V268">
        <v>57.33</v>
      </c>
      <c r="W268">
        <v>65.86</v>
      </c>
      <c r="X268">
        <v>66.83</v>
      </c>
      <c r="Y268">
        <v>0.56699999999999995</v>
      </c>
    </row>
    <row r="269" spans="1:25" x14ac:dyDescent="0.35">
      <c r="A269" t="s">
        <v>285</v>
      </c>
      <c r="B269" t="s">
        <v>282</v>
      </c>
      <c r="C269" t="s">
        <v>586</v>
      </c>
      <c r="D269">
        <v>9.48</v>
      </c>
      <c r="E269">
        <v>8.57</v>
      </c>
      <c r="F269">
        <v>9.06</v>
      </c>
      <c r="G269">
        <v>12.88</v>
      </c>
      <c r="H269">
        <v>12.94</v>
      </c>
      <c r="I269">
        <v>12.88</v>
      </c>
      <c r="J269">
        <v>5.83</v>
      </c>
      <c r="K269">
        <v>6.48</v>
      </c>
      <c r="L269">
        <v>6.06</v>
      </c>
      <c r="M269">
        <v>84.29</v>
      </c>
      <c r="N269">
        <v>46.78</v>
      </c>
      <c r="O269">
        <v>65.534999999999997</v>
      </c>
      <c r="P269">
        <v>72.63</v>
      </c>
      <c r="Q269">
        <v>78.19</v>
      </c>
      <c r="R269">
        <v>75.34</v>
      </c>
      <c r="S269">
        <v>20</v>
      </c>
      <c r="T269">
        <v>28.5</v>
      </c>
      <c r="U269">
        <v>78.31</v>
      </c>
      <c r="V269">
        <v>71.8</v>
      </c>
      <c r="W269">
        <v>74.09</v>
      </c>
      <c r="X269">
        <v>69.37</v>
      </c>
      <c r="Y269">
        <v>0.251</v>
      </c>
    </row>
    <row r="270" spans="1:25" x14ac:dyDescent="0.35">
      <c r="A270" t="s">
        <v>286</v>
      </c>
      <c r="B270" t="s">
        <v>282</v>
      </c>
      <c r="C270" t="s">
        <v>586</v>
      </c>
      <c r="D270">
        <v>8.32</v>
      </c>
      <c r="E270">
        <v>7.51</v>
      </c>
      <c r="F270">
        <v>7.88</v>
      </c>
      <c r="G270">
        <v>12.82</v>
      </c>
      <c r="H270">
        <v>13.2</v>
      </c>
      <c r="I270">
        <v>12.87</v>
      </c>
      <c r="J270">
        <v>8.3699999999999992</v>
      </c>
      <c r="K270">
        <v>10.53</v>
      </c>
      <c r="L270">
        <v>9.18</v>
      </c>
      <c r="M270">
        <v>83.05</v>
      </c>
      <c r="N270">
        <v>51.86</v>
      </c>
      <c r="O270">
        <v>67.454999999999998</v>
      </c>
      <c r="P270">
        <v>72.27</v>
      </c>
      <c r="Q270">
        <v>77.680000000000007</v>
      </c>
      <c r="R270">
        <v>74.91</v>
      </c>
      <c r="S270">
        <v>12</v>
      </c>
      <c r="T270">
        <v>27.17</v>
      </c>
      <c r="U270">
        <v>73.02</v>
      </c>
      <c r="V270">
        <v>67.569999999999993</v>
      </c>
      <c r="W270">
        <v>69.03</v>
      </c>
      <c r="X270">
        <v>60.5</v>
      </c>
      <c r="Y270">
        <v>0.53100000000000003</v>
      </c>
    </row>
    <row r="271" spans="1:25" x14ac:dyDescent="0.35">
      <c r="A271" t="s">
        <v>287</v>
      </c>
      <c r="B271" t="s">
        <v>282</v>
      </c>
      <c r="C271" t="s">
        <v>586</v>
      </c>
      <c r="D271">
        <v>11.52</v>
      </c>
      <c r="E271">
        <v>10.81</v>
      </c>
      <c r="F271">
        <v>11.14</v>
      </c>
      <c r="G271">
        <v>13.9</v>
      </c>
      <c r="H271">
        <v>13.96</v>
      </c>
      <c r="I271">
        <v>13.9</v>
      </c>
      <c r="J271">
        <v>5.57</v>
      </c>
      <c r="K271">
        <v>6.49</v>
      </c>
      <c r="L271">
        <v>5.92</v>
      </c>
      <c r="M271">
        <v>82.13</v>
      </c>
      <c r="N271">
        <v>49.79</v>
      </c>
      <c r="O271">
        <v>65.959999999999994</v>
      </c>
      <c r="P271">
        <v>72.760000000000005</v>
      </c>
      <c r="Q271">
        <v>78.38</v>
      </c>
      <c r="R271">
        <v>75.5</v>
      </c>
      <c r="S271">
        <v>12</v>
      </c>
      <c r="T271">
        <v>32.06</v>
      </c>
      <c r="U271">
        <v>83.38</v>
      </c>
      <c r="V271">
        <v>79.17</v>
      </c>
      <c r="W271">
        <v>80.02</v>
      </c>
      <c r="X271">
        <v>65.209999999999994</v>
      </c>
      <c r="Y271">
        <v>0.32800000000000001</v>
      </c>
    </row>
    <row r="272" spans="1:25" x14ac:dyDescent="0.35">
      <c r="A272" t="s">
        <v>288</v>
      </c>
      <c r="B272" t="s">
        <v>282</v>
      </c>
      <c r="C272" t="s">
        <v>586</v>
      </c>
      <c r="D272">
        <v>10.69</v>
      </c>
      <c r="E272">
        <v>10.06</v>
      </c>
      <c r="F272">
        <v>10.39</v>
      </c>
      <c r="G272">
        <v>13.22</v>
      </c>
      <c r="H272">
        <v>14.72</v>
      </c>
      <c r="I272">
        <v>13.23</v>
      </c>
      <c r="J272">
        <v>5.93</v>
      </c>
      <c r="K272">
        <v>6.37</v>
      </c>
      <c r="L272">
        <v>6.08</v>
      </c>
      <c r="M272">
        <v>78.06</v>
      </c>
      <c r="N272">
        <v>43.26</v>
      </c>
      <c r="O272">
        <v>60.66</v>
      </c>
      <c r="P272">
        <v>72.38</v>
      </c>
      <c r="Q272">
        <v>77.83</v>
      </c>
      <c r="R272">
        <v>75.03</v>
      </c>
      <c r="S272">
        <v>10</v>
      </c>
      <c r="T272">
        <v>21.21</v>
      </c>
      <c r="U272">
        <v>79.94</v>
      </c>
      <c r="V272">
        <v>70.58</v>
      </c>
      <c r="W272">
        <v>75.14</v>
      </c>
      <c r="X272">
        <v>53.69</v>
      </c>
      <c r="Y272">
        <v>0.248</v>
      </c>
    </row>
    <row r="273" spans="1:25" x14ac:dyDescent="0.35">
      <c r="A273" t="s">
        <v>289</v>
      </c>
      <c r="B273" t="s">
        <v>282</v>
      </c>
      <c r="C273" t="s">
        <v>586</v>
      </c>
      <c r="D273">
        <v>9.6</v>
      </c>
      <c r="E273">
        <v>8.52</v>
      </c>
      <c r="F273">
        <v>8.93</v>
      </c>
      <c r="G273">
        <v>12.96</v>
      </c>
      <c r="H273">
        <v>12.83</v>
      </c>
      <c r="I273">
        <v>12.83</v>
      </c>
      <c r="J273">
        <v>6.95</v>
      </c>
      <c r="K273">
        <v>7.4</v>
      </c>
      <c r="L273">
        <v>7.12</v>
      </c>
      <c r="M273">
        <v>84.38</v>
      </c>
      <c r="N273">
        <v>53.21</v>
      </c>
      <c r="O273">
        <v>68.795000000000002</v>
      </c>
      <c r="P273">
        <v>72.599999999999994</v>
      </c>
      <c r="Q273">
        <v>78.16</v>
      </c>
      <c r="R273">
        <v>75.31</v>
      </c>
      <c r="S273">
        <v>8.89</v>
      </c>
      <c r="T273">
        <v>28.03</v>
      </c>
      <c r="U273">
        <v>78.400000000000006</v>
      </c>
      <c r="V273">
        <v>72.61</v>
      </c>
      <c r="W273">
        <v>73.989999999999995</v>
      </c>
      <c r="X273">
        <v>58.38</v>
      </c>
      <c r="Y273">
        <v>0.54300000000000004</v>
      </c>
    </row>
    <row r="274" spans="1:25" x14ac:dyDescent="0.35">
      <c r="A274" t="s">
        <v>290</v>
      </c>
      <c r="B274" t="s">
        <v>282</v>
      </c>
      <c r="C274" t="s">
        <v>586</v>
      </c>
      <c r="D274">
        <v>12.13</v>
      </c>
      <c r="E274">
        <v>11.29</v>
      </c>
      <c r="F274">
        <v>11.86</v>
      </c>
      <c r="G274">
        <v>14.52</v>
      </c>
      <c r="H274">
        <v>14.84</v>
      </c>
      <c r="I274">
        <v>14.7</v>
      </c>
      <c r="J274">
        <v>4.76</v>
      </c>
      <c r="K274">
        <v>5.7</v>
      </c>
      <c r="L274">
        <v>5.09</v>
      </c>
      <c r="M274">
        <v>76.58</v>
      </c>
      <c r="N274">
        <v>40.01</v>
      </c>
      <c r="O274">
        <v>58.295000000000002</v>
      </c>
      <c r="P274">
        <v>73</v>
      </c>
      <c r="Q274">
        <v>78.73</v>
      </c>
      <c r="R274">
        <v>75.8</v>
      </c>
      <c r="S274">
        <v>26</v>
      </c>
      <c r="T274">
        <v>26.71</v>
      </c>
      <c r="U274">
        <v>86.38</v>
      </c>
      <c r="V274">
        <v>81.599999999999994</v>
      </c>
      <c r="W274">
        <v>82.89</v>
      </c>
      <c r="X274">
        <v>70.59</v>
      </c>
      <c r="Y274">
        <v>0.17599999999999999</v>
      </c>
    </row>
    <row r="275" spans="1:25" x14ac:dyDescent="0.35">
      <c r="A275" t="s">
        <v>292</v>
      </c>
      <c r="B275" t="s">
        <v>291</v>
      </c>
      <c r="C275" t="s">
        <v>590</v>
      </c>
      <c r="D275">
        <v>9.41</v>
      </c>
      <c r="E275">
        <v>8.11</v>
      </c>
      <c r="F275">
        <v>8.6999999999999993</v>
      </c>
      <c r="G275">
        <v>12.96</v>
      </c>
      <c r="H275">
        <v>13.12</v>
      </c>
      <c r="I275">
        <v>13.05</v>
      </c>
      <c r="J275">
        <v>1.69</v>
      </c>
      <c r="K275">
        <v>1.35</v>
      </c>
      <c r="L275">
        <v>1.53</v>
      </c>
      <c r="M275">
        <v>86.78</v>
      </c>
      <c r="N275">
        <v>73.489999999999995</v>
      </c>
      <c r="O275">
        <v>80.134999999999991</v>
      </c>
      <c r="P275">
        <v>72.400000000000006</v>
      </c>
      <c r="Q275">
        <v>77.87</v>
      </c>
      <c r="R275">
        <v>75.069999999999993</v>
      </c>
      <c r="S275">
        <v>17.14</v>
      </c>
      <c r="T275">
        <v>39.61</v>
      </c>
      <c r="U275">
        <v>77.209999999999994</v>
      </c>
      <c r="V275">
        <v>73.27</v>
      </c>
      <c r="W275">
        <v>74.599999999999994</v>
      </c>
      <c r="X275">
        <v>72.94</v>
      </c>
      <c r="Y275">
        <v>0.21099999999999999</v>
      </c>
    </row>
    <row r="276" spans="1:25" x14ac:dyDescent="0.35">
      <c r="A276" t="s">
        <v>293</v>
      </c>
      <c r="B276" t="s">
        <v>291</v>
      </c>
      <c r="C276" t="s">
        <v>590</v>
      </c>
      <c r="D276">
        <v>10.25</v>
      </c>
      <c r="E276">
        <v>8.8699999999999992</v>
      </c>
      <c r="F276">
        <v>9.57</v>
      </c>
      <c r="G276">
        <v>13.34</v>
      </c>
      <c r="H276">
        <v>13.24</v>
      </c>
      <c r="I276">
        <v>13.29</v>
      </c>
      <c r="J276">
        <v>1.32</v>
      </c>
      <c r="K276">
        <v>2.48</v>
      </c>
      <c r="L276">
        <v>1.85</v>
      </c>
      <c r="M276">
        <v>83.17</v>
      </c>
      <c r="N276">
        <v>67.59</v>
      </c>
      <c r="O276">
        <v>75.38</v>
      </c>
      <c r="P276">
        <v>73.430000000000007</v>
      </c>
      <c r="Q276">
        <v>77.63</v>
      </c>
      <c r="R276">
        <v>75.67</v>
      </c>
      <c r="S276">
        <v>20</v>
      </c>
      <c r="T276">
        <v>39.380000000000003</v>
      </c>
      <c r="U276">
        <v>79.92</v>
      </c>
      <c r="V276">
        <v>76.680000000000007</v>
      </c>
      <c r="W276">
        <v>78.42</v>
      </c>
      <c r="X276">
        <v>75.48</v>
      </c>
      <c r="Y276">
        <v>0.17799999999999999</v>
      </c>
    </row>
    <row r="277" spans="1:25" x14ac:dyDescent="0.35">
      <c r="A277" t="s">
        <v>294</v>
      </c>
      <c r="B277" t="s">
        <v>291</v>
      </c>
      <c r="C277" t="s">
        <v>590</v>
      </c>
      <c r="D277">
        <v>11.45</v>
      </c>
      <c r="E277">
        <v>10.76</v>
      </c>
      <c r="F277">
        <v>11.14</v>
      </c>
      <c r="G277">
        <v>14.52</v>
      </c>
      <c r="H277">
        <v>14.05</v>
      </c>
      <c r="I277">
        <v>14.23</v>
      </c>
      <c r="J277">
        <v>2.16</v>
      </c>
      <c r="K277">
        <v>1.43</v>
      </c>
      <c r="L277">
        <v>1.83</v>
      </c>
      <c r="M277">
        <v>83.16</v>
      </c>
      <c r="N277">
        <v>68.069999999999993</v>
      </c>
      <c r="O277">
        <v>75.614999999999995</v>
      </c>
      <c r="P277">
        <v>74.11</v>
      </c>
      <c r="Q277">
        <v>78.010000000000005</v>
      </c>
      <c r="R277">
        <v>75.900000000000006</v>
      </c>
      <c r="S277">
        <v>8.89</v>
      </c>
      <c r="T277">
        <v>36.47</v>
      </c>
      <c r="U277">
        <v>86.03</v>
      </c>
      <c r="V277">
        <v>82.73</v>
      </c>
      <c r="W277">
        <v>83.87</v>
      </c>
      <c r="X277">
        <v>64.2</v>
      </c>
      <c r="Y277">
        <v>0.186</v>
      </c>
    </row>
    <row r="278" spans="1:25" x14ac:dyDescent="0.35">
      <c r="A278" t="s">
        <v>295</v>
      </c>
      <c r="B278" t="s">
        <v>291</v>
      </c>
      <c r="C278" t="s">
        <v>590</v>
      </c>
      <c r="D278">
        <v>10.44</v>
      </c>
      <c r="E278">
        <v>9.1999999999999993</v>
      </c>
      <c r="F278">
        <v>9.84</v>
      </c>
      <c r="G278">
        <v>14.09</v>
      </c>
      <c r="H278">
        <v>14.16</v>
      </c>
      <c r="I278">
        <v>14.11</v>
      </c>
      <c r="J278">
        <v>2.3199999999999998</v>
      </c>
      <c r="K278">
        <v>1.59</v>
      </c>
      <c r="L278">
        <v>1.98</v>
      </c>
      <c r="M278">
        <v>83.7</v>
      </c>
      <c r="N278">
        <v>69.459999999999994</v>
      </c>
      <c r="O278">
        <v>76.58</v>
      </c>
      <c r="P278">
        <v>73.489999999999995</v>
      </c>
      <c r="Q278">
        <v>77.650000000000006</v>
      </c>
      <c r="R278">
        <v>75.72</v>
      </c>
      <c r="S278">
        <v>17.78</v>
      </c>
      <c r="T278">
        <v>37.86</v>
      </c>
      <c r="U278">
        <v>82.16</v>
      </c>
      <c r="V278">
        <v>78.17</v>
      </c>
      <c r="W278">
        <v>79.819999999999993</v>
      </c>
      <c r="X278">
        <v>73.38</v>
      </c>
      <c r="Y278">
        <v>0.17499999999999999</v>
      </c>
    </row>
    <row r="279" spans="1:25" x14ac:dyDescent="0.35">
      <c r="A279" t="s">
        <v>296</v>
      </c>
      <c r="B279" t="s">
        <v>291</v>
      </c>
      <c r="C279" t="s">
        <v>590</v>
      </c>
      <c r="D279">
        <v>9.61</v>
      </c>
      <c r="E279">
        <v>7.89</v>
      </c>
      <c r="F279">
        <v>8.74</v>
      </c>
      <c r="G279">
        <v>13.95</v>
      </c>
      <c r="H279">
        <v>13.13</v>
      </c>
      <c r="I279">
        <v>13.13</v>
      </c>
      <c r="J279">
        <v>1.22</v>
      </c>
      <c r="K279">
        <v>1.25</v>
      </c>
      <c r="L279">
        <v>1.23</v>
      </c>
      <c r="M279">
        <v>82.89</v>
      </c>
      <c r="N279">
        <v>71.58</v>
      </c>
      <c r="O279">
        <v>77.234999999999999</v>
      </c>
      <c r="P279">
        <v>72.260000000000005</v>
      </c>
      <c r="Q279">
        <v>77.66</v>
      </c>
      <c r="R279">
        <v>74.900000000000006</v>
      </c>
      <c r="S279">
        <v>10</v>
      </c>
      <c r="T279">
        <v>47.93</v>
      </c>
      <c r="U279">
        <v>78.5</v>
      </c>
      <c r="V279">
        <v>72.36</v>
      </c>
      <c r="W279">
        <v>74.040000000000006</v>
      </c>
      <c r="X279">
        <v>69.98</v>
      </c>
      <c r="Y279">
        <v>0.21</v>
      </c>
    </row>
    <row r="280" spans="1:25" x14ac:dyDescent="0.35">
      <c r="A280" t="s">
        <v>297</v>
      </c>
      <c r="B280" t="s">
        <v>291</v>
      </c>
      <c r="C280" t="s">
        <v>590</v>
      </c>
      <c r="D280">
        <v>8.24</v>
      </c>
      <c r="E280">
        <v>7.16</v>
      </c>
      <c r="F280">
        <v>7.58</v>
      </c>
      <c r="G280">
        <v>12.99</v>
      </c>
      <c r="H280">
        <v>12.42</v>
      </c>
      <c r="I280">
        <v>12.53</v>
      </c>
      <c r="J280">
        <v>1.24</v>
      </c>
      <c r="K280">
        <v>0.15</v>
      </c>
      <c r="L280">
        <v>0.74</v>
      </c>
      <c r="M280">
        <v>88.02</v>
      </c>
      <c r="N280">
        <v>76.489999999999995</v>
      </c>
      <c r="O280">
        <v>82.254999999999995</v>
      </c>
      <c r="P280">
        <v>71.81</v>
      </c>
      <c r="Q280">
        <v>76.78</v>
      </c>
      <c r="R280">
        <v>74.23</v>
      </c>
      <c r="S280">
        <v>13.33</v>
      </c>
      <c r="T280">
        <v>36.58</v>
      </c>
      <c r="U280">
        <v>75.58</v>
      </c>
      <c r="V280">
        <v>69.97</v>
      </c>
      <c r="W280">
        <v>71.34</v>
      </c>
      <c r="X280">
        <v>69.06</v>
      </c>
      <c r="Y280">
        <v>0.23300000000000001</v>
      </c>
    </row>
    <row r="281" spans="1:25" x14ac:dyDescent="0.35">
      <c r="A281" t="s">
        <v>298</v>
      </c>
      <c r="B281" t="s">
        <v>291</v>
      </c>
      <c r="C281" t="s">
        <v>590</v>
      </c>
      <c r="D281">
        <v>7.47</v>
      </c>
      <c r="E281">
        <v>5.68</v>
      </c>
      <c r="F281">
        <v>6.7</v>
      </c>
      <c r="G281">
        <v>12.64</v>
      </c>
      <c r="H281">
        <v>13.02</v>
      </c>
      <c r="I281">
        <v>12.91</v>
      </c>
      <c r="J281">
        <v>1.7</v>
      </c>
      <c r="K281">
        <v>1.56</v>
      </c>
      <c r="L281">
        <v>1.63</v>
      </c>
      <c r="M281">
        <v>87.41</v>
      </c>
      <c r="N281">
        <v>80.11</v>
      </c>
      <c r="O281">
        <v>83.759999999999991</v>
      </c>
      <c r="P281">
        <v>71.77</v>
      </c>
      <c r="Q281">
        <v>76.7</v>
      </c>
      <c r="R281">
        <v>74.17</v>
      </c>
      <c r="S281">
        <v>13.33</v>
      </c>
      <c r="T281">
        <v>43.9</v>
      </c>
      <c r="U281">
        <v>73.849999999999994</v>
      </c>
      <c r="V281">
        <v>66.959999999999994</v>
      </c>
      <c r="W281">
        <v>69.739999999999995</v>
      </c>
      <c r="X281">
        <v>72.31</v>
      </c>
      <c r="Y281">
        <v>0.246</v>
      </c>
    </row>
    <row r="282" spans="1:25" x14ac:dyDescent="0.35">
      <c r="A282" t="s">
        <v>299</v>
      </c>
      <c r="B282" t="s">
        <v>291</v>
      </c>
      <c r="C282" t="s">
        <v>590</v>
      </c>
      <c r="D282">
        <v>8.43</v>
      </c>
      <c r="E282">
        <v>7.03</v>
      </c>
      <c r="F282">
        <v>7.69</v>
      </c>
      <c r="G282">
        <v>13.5</v>
      </c>
      <c r="H282">
        <v>13.19</v>
      </c>
      <c r="I282">
        <v>13.3</v>
      </c>
      <c r="J282">
        <v>2.59</v>
      </c>
      <c r="K282">
        <v>1.46</v>
      </c>
      <c r="L282">
        <v>2.06</v>
      </c>
      <c r="M282">
        <v>84.77</v>
      </c>
      <c r="N282">
        <v>74.78</v>
      </c>
      <c r="O282">
        <v>79.775000000000006</v>
      </c>
      <c r="P282">
        <v>72.12</v>
      </c>
      <c r="Q282">
        <v>77.430000000000007</v>
      </c>
      <c r="R282">
        <v>74.709999999999994</v>
      </c>
      <c r="S282">
        <v>11.11</v>
      </c>
      <c r="T282">
        <v>39.549999999999997</v>
      </c>
      <c r="U282">
        <v>78.78</v>
      </c>
      <c r="V282">
        <v>72.67</v>
      </c>
      <c r="W282">
        <v>74.52</v>
      </c>
      <c r="X282">
        <v>66.709999999999994</v>
      </c>
      <c r="Y282">
        <v>0.35299999999999998</v>
      </c>
    </row>
    <row r="283" spans="1:25" x14ac:dyDescent="0.35">
      <c r="A283" t="s">
        <v>300</v>
      </c>
      <c r="B283" t="s">
        <v>291</v>
      </c>
      <c r="C283" t="s">
        <v>590</v>
      </c>
      <c r="D283">
        <v>11.92</v>
      </c>
      <c r="E283">
        <v>11.2</v>
      </c>
      <c r="F283">
        <v>11.53</v>
      </c>
      <c r="G283">
        <v>14.21</v>
      </c>
      <c r="H283">
        <v>14.13</v>
      </c>
      <c r="I283">
        <v>14.13</v>
      </c>
      <c r="J283">
        <v>1.96</v>
      </c>
      <c r="K283">
        <v>2.31</v>
      </c>
      <c r="L283">
        <v>2.11</v>
      </c>
      <c r="M283">
        <v>78.8</v>
      </c>
      <c r="N283">
        <v>60.5</v>
      </c>
      <c r="O283">
        <v>69.650000000000006</v>
      </c>
      <c r="P283">
        <v>74.08</v>
      </c>
      <c r="Q283">
        <v>78.739999999999995</v>
      </c>
      <c r="R283">
        <v>75.8</v>
      </c>
      <c r="S283">
        <v>8.89</v>
      </c>
      <c r="T283">
        <v>42.01</v>
      </c>
      <c r="U283">
        <v>86.92</v>
      </c>
      <c r="V283">
        <v>84.11</v>
      </c>
      <c r="W283">
        <v>85.22</v>
      </c>
      <c r="X283">
        <v>67.400000000000006</v>
      </c>
      <c r="Y283">
        <v>0.2</v>
      </c>
    </row>
    <row r="284" spans="1:25" x14ac:dyDescent="0.35">
      <c r="A284" t="s">
        <v>302</v>
      </c>
      <c r="B284" t="s">
        <v>301</v>
      </c>
      <c r="C284" t="s">
        <v>590</v>
      </c>
      <c r="D284">
        <v>7.62</v>
      </c>
      <c r="E284">
        <v>6.32</v>
      </c>
      <c r="F284">
        <v>6.88</v>
      </c>
      <c r="G284">
        <v>14.05</v>
      </c>
      <c r="H284">
        <v>13.88</v>
      </c>
      <c r="I284">
        <v>13.99</v>
      </c>
      <c r="J284">
        <v>2.61</v>
      </c>
      <c r="K284">
        <v>2.94</v>
      </c>
      <c r="L284">
        <v>2.75</v>
      </c>
      <c r="M284">
        <v>87.97</v>
      </c>
      <c r="N284">
        <v>64.47</v>
      </c>
      <c r="O284">
        <v>76.22</v>
      </c>
      <c r="P284">
        <v>70.680000000000007</v>
      </c>
      <c r="Q284">
        <v>74.7</v>
      </c>
      <c r="R284">
        <v>72.64</v>
      </c>
      <c r="S284">
        <v>11.11</v>
      </c>
      <c r="T284">
        <v>32.47</v>
      </c>
      <c r="U284">
        <v>75.52</v>
      </c>
      <c r="V284">
        <v>68.47</v>
      </c>
      <c r="W284">
        <v>70.67</v>
      </c>
      <c r="X284">
        <v>62.49</v>
      </c>
      <c r="Y284">
        <v>0.53800000000000003</v>
      </c>
    </row>
    <row r="285" spans="1:25" x14ac:dyDescent="0.35">
      <c r="A285" t="s">
        <v>303</v>
      </c>
      <c r="B285" t="s">
        <v>301</v>
      </c>
      <c r="C285" t="s">
        <v>590</v>
      </c>
      <c r="D285">
        <v>7.35</v>
      </c>
      <c r="E285">
        <v>6.17</v>
      </c>
      <c r="F285">
        <v>6.73</v>
      </c>
      <c r="G285">
        <v>14.28</v>
      </c>
      <c r="H285">
        <v>13.69</v>
      </c>
      <c r="I285">
        <v>13.89</v>
      </c>
      <c r="J285">
        <v>3.19</v>
      </c>
      <c r="K285">
        <v>1.76</v>
      </c>
      <c r="L285">
        <v>2.5499999999999998</v>
      </c>
      <c r="M285">
        <v>86.88</v>
      </c>
      <c r="N285">
        <v>71.38</v>
      </c>
      <c r="O285">
        <v>79.13</v>
      </c>
      <c r="P285">
        <v>69.650000000000006</v>
      </c>
      <c r="Q285">
        <v>73.63</v>
      </c>
      <c r="R285">
        <v>71.59</v>
      </c>
      <c r="S285">
        <v>12</v>
      </c>
      <c r="T285">
        <v>36.07</v>
      </c>
      <c r="U285">
        <v>73.900000000000006</v>
      </c>
      <c r="V285">
        <v>65.61</v>
      </c>
      <c r="W285">
        <v>69.17</v>
      </c>
      <c r="X285">
        <v>63.6</v>
      </c>
      <c r="Y285">
        <v>0.54400000000000004</v>
      </c>
    </row>
    <row r="286" spans="1:25" x14ac:dyDescent="0.35">
      <c r="A286" t="s">
        <v>304</v>
      </c>
      <c r="B286" t="s">
        <v>301</v>
      </c>
      <c r="C286" t="s">
        <v>590</v>
      </c>
      <c r="D286">
        <v>7.8</v>
      </c>
      <c r="E286">
        <v>6.98</v>
      </c>
      <c r="F286">
        <v>7.36</v>
      </c>
      <c r="G286">
        <v>14.07</v>
      </c>
      <c r="H286">
        <v>14.2</v>
      </c>
      <c r="I286">
        <v>14.07</v>
      </c>
      <c r="J286">
        <v>2.35</v>
      </c>
      <c r="K286">
        <v>2.75</v>
      </c>
      <c r="L286">
        <v>2.5299999999999998</v>
      </c>
      <c r="M286">
        <v>86.95</v>
      </c>
      <c r="N286">
        <v>69.94</v>
      </c>
      <c r="O286">
        <v>78.444999999999993</v>
      </c>
      <c r="P286">
        <v>70</v>
      </c>
      <c r="Q286">
        <v>74</v>
      </c>
      <c r="R286">
        <v>71.95</v>
      </c>
      <c r="S286">
        <v>14</v>
      </c>
      <c r="T286">
        <v>45.85</v>
      </c>
      <c r="U286">
        <v>72.56</v>
      </c>
      <c r="V286">
        <v>67.040000000000006</v>
      </c>
      <c r="W286">
        <v>69.23</v>
      </c>
      <c r="X286">
        <v>71.239999999999995</v>
      </c>
      <c r="Y286">
        <v>0.55100000000000005</v>
      </c>
    </row>
    <row r="287" spans="1:25" x14ac:dyDescent="0.35">
      <c r="A287" t="s">
        <v>305</v>
      </c>
      <c r="B287" t="s">
        <v>301</v>
      </c>
      <c r="C287" t="s">
        <v>590</v>
      </c>
      <c r="D287">
        <v>8.89</v>
      </c>
      <c r="E287">
        <v>8.36</v>
      </c>
      <c r="F287">
        <v>8.59</v>
      </c>
      <c r="G287">
        <v>13.32</v>
      </c>
      <c r="H287">
        <v>13.42</v>
      </c>
      <c r="I287">
        <v>13.34</v>
      </c>
      <c r="J287">
        <v>3.17</v>
      </c>
      <c r="K287">
        <v>2.0499999999999998</v>
      </c>
      <c r="L287">
        <v>2.67</v>
      </c>
      <c r="M287">
        <v>83.45</v>
      </c>
      <c r="N287">
        <v>64.459999999999994</v>
      </c>
      <c r="O287">
        <v>73.954999999999998</v>
      </c>
      <c r="P287">
        <v>70.7</v>
      </c>
      <c r="Q287">
        <v>74.73</v>
      </c>
      <c r="R287">
        <v>72.67</v>
      </c>
      <c r="S287">
        <v>15.56</v>
      </c>
      <c r="T287">
        <v>35.99</v>
      </c>
      <c r="U287">
        <v>73.23</v>
      </c>
      <c r="V287">
        <v>69.540000000000006</v>
      </c>
      <c r="W287">
        <v>70.55</v>
      </c>
      <c r="X287">
        <v>72.58</v>
      </c>
      <c r="Y287">
        <v>0.373</v>
      </c>
    </row>
    <row r="288" spans="1:25" x14ac:dyDescent="0.35">
      <c r="A288" t="s">
        <v>306</v>
      </c>
      <c r="B288" t="s">
        <v>301</v>
      </c>
      <c r="C288" t="s">
        <v>590</v>
      </c>
      <c r="D288">
        <v>9.52</v>
      </c>
      <c r="E288">
        <v>8.4499999999999993</v>
      </c>
      <c r="F288">
        <v>9.0399999999999991</v>
      </c>
      <c r="G288">
        <v>13.62</v>
      </c>
      <c r="H288">
        <v>14.4</v>
      </c>
      <c r="I288">
        <v>13.84</v>
      </c>
      <c r="J288">
        <v>3.19</v>
      </c>
      <c r="K288">
        <v>2.12</v>
      </c>
      <c r="L288">
        <v>2.7</v>
      </c>
      <c r="M288">
        <v>86.66</v>
      </c>
      <c r="N288">
        <v>73.959999999999994</v>
      </c>
      <c r="O288">
        <v>80.31</v>
      </c>
      <c r="P288">
        <v>69.81</v>
      </c>
      <c r="Q288">
        <v>73.8</v>
      </c>
      <c r="R288">
        <v>71.760000000000005</v>
      </c>
      <c r="S288">
        <v>6.67</v>
      </c>
      <c r="T288">
        <v>33.96</v>
      </c>
      <c r="U288">
        <v>75.36</v>
      </c>
      <c r="V288">
        <v>68.97</v>
      </c>
      <c r="W288">
        <v>70.78</v>
      </c>
      <c r="X288">
        <v>61.57</v>
      </c>
      <c r="Y288">
        <v>0.51300000000000001</v>
      </c>
    </row>
    <row r="289" spans="1:25" x14ac:dyDescent="0.35">
      <c r="A289" t="s">
        <v>307</v>
      </c>
      <c r="B289" t="s">
        <v>301</v>
      </c>
      <c r="C289" t="s">
        <v>590</v>
      </c>
      <c r="D289">
        <v>8.91</v>
      </c>
      <c r="E289">
        <v>8.2799999999999994</v>
      </c>
      <c r="F289">
        <v>8.3000000000000007</v>
      </c>
      <c r="G289">
        <v>13.69</v>
      </c>
      <c r="H289">
        <v>13.29</v>
      </c>
      <c r="I289">
        <v>13.66</v>
      </c>
      <c r="J289">
        <v>1.52</v>
      </c>
      <c r="K289">
        <v>3.04</v>
      </c>
      <c r="L289">
        <v>2.19</v>
      </c>
      <c r="M289">
        <v>86.81</v>
      </c>
      <c r="N289">
        <v>69.23</v>
      </c>
      <c r="O289">
        <v>78.02000000000001</v>
      </c>
      <c r="P289">
        <v>69.930000000000007</v>
      </c>
      <c r="Q289">
        <v>73.92</v>
      </c>
      <c r="R289">
        <v>71.88</v>
      </c>
      <c r="S289">
        <v>17.78</v>
      </c>
      <c r="T289">
        <v>27.13</v>
      </c>
      <c r="U289">
        <v>72.59</v>
      </c>
      <c r="V289">
        <v>67.02</v>
      </c>
      <c r="W289">
        <v>68.94</v>
      </c>
      <c r="X289">
        <v>64.63</v>
      </c>
      <c r="Y289">
        <v>0.47899999999999998</v>
      </c>
    </row>
    <row r="290" spans="1:25" x14ac:dyDescent="0.35">
      <c r="A290" t="s">
        <v>308</v>
      </c>
      <c r="B290" t="s">
        <v>301</v>
      </c>
      <c r="C290" t="s">
        <v>590</v>
      </c>
      <c r="D290">
        <v>9.39</v>
      </c>
      <c r="E290">
        <v>8.61</v>
      </c>
      <c r="F290">
        <v>8.99</v>
      </c>
      <c r="G290">
        <v>14.04</v>
      </c>
      <c r="H290">
        <v>13.49</v>
      </c>
      <c r="I290">
        <v>13.68</v>
      </c>
      <c r="J290">
        <v>3.12</v>
      </c>
      <c r="K290">
        <v>3.07</v>
      </c>
      <c r="L290">
        <v>3.1</v>
      </c>
      <c r="M290">
        <v>87.81</v>
      </c>
      <c r="N290">
        <v>63.59</v>
      </c>
      <c r="O290">
        <v>75.7</v>
      </c>
      <c r="P290">
        <v>70.98</v>
      </c>
      <c r="Q290">
        <v>75.05</v>
      </c>
      <c r="R290">
        <v>72.97</v>
      </c>
      <c r="S290">
        <v>12</v>
      </c>
      <c r="T290">
        <v>19.940000000000001</v>
      </c>
      <c r="U290">
        <v>77.45</v>
      </c>
      <c r="V290">
        <v>72.5</v>
      </c>
      <c r="W290">
        <v>73.86</v>
      </c>
      <c r="X290">
        <v>53.49</v>
      </c>
      <c r="Y290">
        <v>0.48199999999999998</v>
      </c>
    </row>
    <row r="291" spans="1:25" x14ac:dyDescent="0.35">
      <c r="A291" t="s">
        <v>309</v>
      </c>
      <c r="B291" t="s">
        <v>301</v>
      </c>
      <c r="C291" t="s">
        <v>590</v>
      </c>
      <c r="D291">
        <v>7.21</v>
      </c>
      <c r="E291">
        <v>5.54</v>
      </c>
      <c r="F291">
        <v>6.4</v>
      </c>
      <c r="G291">
        <v>13.45</v>
      </c>
      <c r="H291">
        <v>12.73</v>
      </c>
      <c r="I291">
        <v>13.02</v>
      </c>
      <c r="J291">
        <v>1.8</v>
      </c>
      <c r="K291">
        <v>1.93</v>
      </c>
      <c r="L291">
        <v>1.85</v>
      </c>
      <c r="M291">
        <v>91.84</v>
      </c>
      <c r="N291">
        <v>69.91</v>
      </c>
      <c r="O291">
        <v>80.875</v>
      </c>
      <c r="P291">
        <v>69.58</v>
      </c>
      <c r="Q291">
        <v>73.56</v>
      </c>
      <c r="R291">
        <v>71.52</v>
      </c>
      <c r="S291">
        <v>3.33</v>
      </c>
      <c r="T291">
        <v>26.82</v>
      </c>
      <c r="U291">
        <v>72.22</v>
      </c>
      <c r="V291">
        <v>62.14</v>
      </c>
      <c r="W291">
        <v>67.239999999999995</v>
      </c>
      <c r="X291">
        <v>47.67</v>
      </c>
      <c r="Y291">
        <v>0.57299999999999995</v>
      </c>
    </row>
    <row r="292" spans="1:25" x14ac:dyDescent="0.35">
      <c r="A292" t="s">
        <v>310</v>
      </c>
      <c r="B292" t="s">
        <v>301</v>
      </c>
      <c r="C292" t="s">
        <v>590</v>
      </c>
      <c r="D292">
        <v>10.61</v>
      </c>
      <c r="E292">
        <v>9.2899999999999991</v>
      </c>
      <c r="F292">
        <v>9.58</v>
      </c>
      <c r="G292">
        <v>15.74</v>
      </c>
      <c r="H292">
        <v>15.65</v>
      </c>
      <c r="I292">
        <v>15.68</v>
      </c>
      <c r="J292">
        <v>5.28</v>
      </c>
      <c r="K292">
        <v>4.29</v>
      </c>
      <c r="L292">
        <v>4.8499999999999996</v>
      </c>
      <c r="M292">
        <v>82.48</v>
      </c>
      <c r="N292">
        <v>61.41</v>
      </c>
      <c r="O292">
        <v>71.944999999999993</v>
      </c>
      <c r="P292">
        <v>72.209999999999994</v>
      </c>
      <c r="Q292">
        <v>77.58</v>
      </c>
      <c r="R292">
        <v>74.83</v>
      </c>
      <c r="S292">
        <v>25</v>
      </c>
      <c r="T292">
        <v>33.36</v>
      </c>
      <c r="U292">
        <v>84.33</v>
      </c>
      <c r="V292">
        <v>78.7</v>
      </c>
      <c r="W292">
        <v>80.599999999999994</v>
      </c>
      <c r="X292">
        <v>77.02</v>
      </c>
      <c r="Y292">
        <v>0.44400000000000001</v>
      </c>
    </row>
    <row r="293" spans="1:25" x14ac:dyDescent="0.35">
      <c r="A293" t="s">
        <v>311</v>
      </c>
      <c r="B293" t="s">
        <v>301</v>
      </c>
      <c r="C293" t="s">
        <v>590</v>
      </c>
      <c r="D293">
        <v>11.28</v>
      </c>
      <c r="E293">
        <v>10.66</v>
      </c>
      <c r="F293">
        <v>10.96</v>
      </c>
      <c r="G293">
        <v>14.96</v>
      </c>
      <c r="H293">
        <v>15.69</v>
      </c>
      <c r="I293">
        <v>15.08</v>
      </c>
      <c r="J293">
        <v>3.22</v>
      </c>
      <c r="K293">
        <v>3.33</v>
      </c>
      <c r="L293">
        <v>3.27</v>
      </c>
      <c r="M293">
        <v>82.15</v>
      </c>
      <c r="N293">
        <v>64.58</v>
      </c>
      <c r="O293">
        <v>73.365000000000009</v>
      </c>
      <c r="P293">
        <v>71.099999999999994</v>
      </c>
      <c r="Q293">
        <v>75.3</v>
      </c>
      <c r="R293">
        <v>73.150000000000006</v>
      </c>
      <c r="S293">
        <v>24</v>
      </c>
      <c r="T293">
        <v>38.020000000000003</v>
      </c>
      <c r="U293">
        <v>79.73</v>
      </c>
      <c r="V293">
        <v>77.239999999999995</v>
      </c>
      <c r="W293">
        <v>78.040000000000006</v>
      </c>
      <c r="X293">
        <v>77.48</v>
      </c>
      <c r="Y293">
        <v>0.45800000000000002</v>
      </c>
    </row>
    <row r="294" spans="1:25" x14ac:dyDescent="0.35">
      <c r="A294" t="s">
        <v>313</v>
      </c>
      <c r="B294" t="s">
        <v>312</v>
      </c>
      <c r="C294" t="s">
        <v>590</v>
      </c>
      <c r="D294">
        <v>7.49</v>
      </c>
      <c r="E294">
        <v>6.81</v>
      </c>
      <c r="F294">
        <v>7.17</v>
      </c>
      <c r="G294">
        <v>13.18</v>
      </c>
      <c r="H294">
        <v>13.77</v>
      </c>
      <c r="I294">
        <v>13.4</v>
      </c>
      <c r="J294">
        <v>2.25</v>
      </c>
      <c r="K294">
        <v>4.34</v>
      </c>
      <c r="L294">
        <v>3.21</v>
      </c>
      <c r="M294">
        <v>81.47</v>
      </c>
      <c r="N294">
        <v>72.69</v>
      </c>
      <c r="O294">
        <v>77.08</v>
      </c>
      <c r="P294">
        <v>69.430000000000007</v>
      </c>
      <c r="Q294">
        <v>73.400000000000006</v>
      </c>
      <c r="R294">
        <v>71.37</v>
      </c>
      <c r="S294">
        <v>16</v>
      </c>
      <c r="T294">
        <v>36.22</v>
      </c>
      <c r="U294">
        <v>68.63</v>
      </c>
      <c r="V294">
        <v>65.239999999999995</v>
      </c>
      <c r="W294">
        <v>66.06</v>
      </c>
      <c r="X294">
        <v>69.510000000000005</v>
      </c>
      <c r="Y294">
        <v>0.27800000000000002</v>
      </c>
    </row>
    <row r="295" spans="1:25" x14ac:dyDescent="0.35">
      <c r="A295" t="s">
        <v>314</v>
      </c>
      <c r="B295" t="s">
        <v>312</v>
      </c>
      <c r="C295" t="s">
        <v>590</v>
      </c>
      <c r="D295">
        <v>7.77</v>
      </c>
      <c r="E295">
        <v>7.64</v>
      </c>
      <c r="F295">
        <v>7.77</v>
      </c>
      <c r="G295">
        <v>12.85</v>
      </c>
      <c r="H295">
        <v>13.16</v>
      </c>
      <c r="I295">
        <v>12.87</v>
      </c>
      <c r="J295">
        <v>3.42</v>
      </c>
      <c r="K295">
        <v>3.52</v>
      </c>
      <c r="L295">
        <v>3.46</v>
      </c>
      <c r="M295">
        <v>81.34</v>
      </c>
      <c r="N295">
        <v>67.17</v>
      </c>
      <c r="O295">
        <v>74.254999999999995</v>
      </c>
      <c r="P295">
        <v>69.63</v>
      </c>
      <c r="Q295">
        <v>73.61</v>
      </c>
      <c r="R295">
        <v>71.569999999999993</v>
      </c>
      <c r="S295">
        <v>3.33</v>
      </c>
      <c r="T295">
        <v>45.52</v>
      </c>
      <c r="U295">
        <v>69.95</v>
      </c>
      <c r="V295">
        <v>67.319999999999993</v>
      </c>
      <c r="W295">
        <v>67.680000000000007</v>
      </c>
      <c r="X295">
        <v>58.42</v>
      </c>
      <c r="Y295">
        <v>0.41599999999999998</v>
      </c>
    </row>
    <row r="296" spans="1:25" x14ac:dyDescent="0.35">
      <c r="A296" t="s">
        <v>315</v>
      </c>
      <c r="B296" t="s">
        <v>312</v>
      </c>
      <c r="C296" t="s">
        <v>590</v>
      </c>
      <c r="D296">
        <v>7.84</v>
      </c>
      <c r="E296">
        <v>7.48</v>
      </c>
      <c r="F296">
        <v>7.62</v>
      </c>
      <c r="G296">
        <v>13.85</v>
      </c>
      <c r="H296">
        <v>13.94</v>
      </c>
      <c r="I296">
        <v>13.9</v>
      </c>
      <c r="J296">
        <v>2.68</v>
      </c>
      <c r="K296">
        <v>4.3899999999999997</v>
      </c>
      <c r="L296">
        <v>3.36</v>
      </c>
      <c r="M296">
        <v>82.91</v>
      </c>
      <c r="N296">
        <v>55.44</v>
      </c>
      <c r="O296">
        <v>69.174999999999997</v>
      </c>
      <c r="P296">
        <v>67.599999999999994</v>
      </c>
      <c r="Q296">
        <v>71.55</v>
      </c>
      <c r="R296">
        <v>69.53</v>
      </c>
      <c r="S296">
        <v>8.57</v>
      </c>
      <c r="T296">
        <v>35.9</v>
      </c>
      <c r="U296">
        <v>70.56</v>
      </c>
      <c r="V296">
        <v>62.82</v>
      </c>
      <c r="W296">
        <v>66.569999999999993</v>
      </c>
      <c r="X296">
        <v>62.06</v>
      </c>
      <c r="Y296">
        <v>0.48799999999999999</v>
      </c>
    </row>
    <row r="297" spans="1:25" x14ac:dyDescent="0.35">
      <c r="A297" t="s">
        <v>316</v>
      </c>
      <c r="B297" t="s">
        <v>312</v>
      </c>
      <c r="C297" t="s">
        <v>590</v>
      </c>
      <c r="D297">
        <v>7.21</v>
      </c>
      <c r="E297">
        <v>6.9</v>
      </c>
      <c r="F297">
        <v>7.21</v>
      </c>
      <c r="G297">
        <v>12.33</v>
      </c>
      <c r="H297">
        <v>14.81</v>
      </c>
      <c r="I297">
        <v>12.62</v>
      </c>
      <c r="J297">
        <v>3</v>
      </c>
      <c r="K297">
        <v>2.23</v>
      </c>
      <c r="L297">
        <v>2.63</v>
      </c>
      <c r="M297">
        <v>93.2</v>
      </c>
      <c r="N297">
        <v>81.81</v>
      </c>
      <c r="O297">
        <v>87.504999999999995</v>
      </c>
      <c r="P297">
        <v>69.290000000000006</v>
      </c>
      <c r="Q297">
        <v>73.25</v>
      </c>
      <c r="R297">
        <v>71.22</v>
      </c>
      <c r="S297">
        <v>5</v>
      </c>
      <c r="T297">
        <v>29.25</v>
      </c>
      <c r="U297">
        <v>67.05</v>
      </c>
      <c r="V297">
        <v>64.34</v>
      </c>
      <c r="W297">
        <v>64.36</v>
      </c>
      <c r="X297">
        <v>52.73</v>
      </c>
      <c r="Y297">
        <v>0.51700000000000002</v>
      </c>
    </row>
    <row r="298" spans="1:25" x14ac:dyDescent="0.35">
      <c r="A298" t="s">
        <v>317</v>
      </c>
      <c r="B298" t="s">
        <v>312</v>
      </c>
      <c r="C298" t="s">
        <v>590</v>
      </c>
      <c r="D298">
        <v>8.33</v>
      </c>
      <c r="E298">
        <v>8.11</v>
      </c>
      <c r="F298">
        <v>8.17</v>
      </c>
      <c r="G298">
        <v>12.99</v>
      </c>
      <c r="H298">
        <v>14.02</v>
      </c>
      <c r="I298">
        <v>13.36</v>
      </c>
      <c r="J298">
        <v>1.35</v>
      </c>
      <c r="K298">
        <v>2.33</v>
      </c>
      <c r="L298">
        <v>1.82</v>
      </c>
      <c r="M298">
        <v>86.81</v>
      </c>
      <c r="N298">
        <v>78.52</v>
      </c>
      <c r="O298">
        <v>82.664999999999992</v>
      </c>
      <c r="P298">
        <v>69.09</v>
      </c>
      <c r="Q298">
        <v>73.040000000000006</v>
      </c>
      <c r="R298">
        <v>71.02</v>
      </c>
      <c r="S298">
        <v>13.33</v>
      </c>
      <c r="T298">
        <v>39.94</v>
      </c>
      <c r="U298">
        <v>67.84</v>
      </c>
      <c r="V298">
        <v>65.180000000000007</v>
      </c>
      <c r="W298">
        <v>65.83</v>
      </c>
      <c r="X298">
        <v>68.319999999999993</v>
      </c>
      <c r="Y298">
        <v>0.443</v>
      </c>
    </row>
    <row r="299" spans="1:25" x14ac:dyDescent="0.35">
      <c r="A299" t="s">
        <v>318</v>
      </c>
      <c r="B299" t="s">
        <v>312</v>
      </c>
      <c r="C299" t="s">
        <v>590</v>
      </c>
      <c r="D299">
        <v>7.62</v>
      </c>
      <c r="E299">
        <v>7.37</v>
      </c>
      <c r="F299">
        <v>7.5</v>
      </c>
      <c r="G299">
        <v>12.01</v>
      </c>
      <c r="H299">
        <v>12.68</v>
      </c>
      <c r="I299">
        <v>12.32</v>
      </c>
      <c r="J299">
        <v>4.22</v>
      </c>
      <c r="K299">
        <v>6.92</v>
      </c>
      <c r="L299">
        <v>5.41</v>
      </c>
      <c r="M299">
        <v>89.36</v>
      </c>
      <c r="N299">
        <v>70.44</v>
      </c>
      <c r="O299">
        <v>79.900000000000006</v>
      </c>
      <c r="P299">
        <v>71.849999999999994</v>
      </c>
      <c r="Q299">
        <v>76.87</v>
      </c>
      <c r="R299">
        <v>74.3</v>
      </c>
      <c r="S299">
        <v>16.670000000000002</v>
      </c>
      <c r="T299">
        <v>40.450000000000003</v>
      </c>
      <c r="U299">
        <v>65.930000000000007</v>
      </c>
      <c r="V299">
        <v>64.12</v>
      </c>
      <c r="W299">
        <v>64.430000000000007</v>
      </c>
      <c r="X299">
        <v>70.569999999999993</v>
      </c>
      <c r="Y299">
        <v>0.36199999999999999</v>
      </c>
    </row>
    <row r="300" spans="1:25" x14ac:dyDescent="0.35">
      <c r="A300" t="s">
        <v>319</v>
      </c>
      <c r="B300" t="s">
        <v>312</v>
      </c>
      <c r="C300" t="s">
        <v>590</v>
      </c>
      <c r="D300">
        <v>8.93</v>
      </c>
      <c r="E300">
        <v>8.32</v>
      </c>
      <c r="F300">
        <v>8.61</v>
      </c>
      <c r="G300">
        <v>12.57</v>
      </c>
      <c r="H300">
        <v>12.37</v>
      </c>
      <c r="I300">
        <v>12.48</v>
      </c>
      <c r="J300">
        <v>1.79</v>
      </c>
      <c r="K300">
        <v>2.77</v>
      </c>
      <c r="L300">
        <v>2.27</v>
      </c>
      <c r="M300">
        <v>84.31</v>
      </c>
      <c r="N300">
        <v>78.13</v>
      </c>
      <c r="O300">
        <v>81.22</v>
      </c>
      <c r="P300">
        <v>68.95</v>
      </c>
      <c r="Q300">
        <v>72.900000000000006</v>
      </c>
      <c r="R300">
        <v>70.88</v>
      </c>
      <c r="S300">
        <v>6.67</v>
      </c>
      <c r="T300">
        <v>43.67</v>
      </c>
      <c r="U300">
        <v>67.459999999999994</v>
      </c>
      <c r="V300">
        <v>62.57</v>
      </c>
      <c r="W300">
        <v>63.82</v>
      </c>
      <c r="X300">
        <v>61.96</v>
      </c>
      <c r="Y300">
        <v>0.53500000000000003</v>
      </c>
    </row>
    <row r="301" spans="1:25" x14ac:dyDescent="0.35">
      <c r="A301" t="s">
        <v>320</v>
      </c>
      <c r="B301" t="s">
        <v>312</v>
      </c>
      <c r="C301" t="s">
        <v>590</v>
      </c>
      <c r="D301">
        <v>9.1199999999999992</v>
      </c>
      <c r="E301">
        <v>7.62</v>
      </c>
      <c r="F301">
        <v>8.27</v>
      </c>
      <c r="G301">
        <v>12.47</v>
      </c>
      <c r="H301">
        <v>12.8</v>
      </c>
      <c r="I301">
        <v>12.47</v>
      </c>
      <c r="J301">
        <v>2.15</v>
      </c>
      <c r="K301">
        <v>2.2000000000000002</v>
      </c>
      <c r="L301">
        <v>2.1800000000000002</v>
      </c>
      <c r="M301">
        <v>88.57</v>
      </c>
      <c r="N301">
        <v>79.08</v>
      </c>
      <c r="O301">
        <v>83.824999999999989</v>
      </c>
      <c r="P301">
        <v>71.23</v>
      </c>
      <c r="Q301">
        <v>75.569999999999993</v>
      </c>
      <c r="R301">
        <v>73.349999999999994</v>
      </c>
      <c r="S301">
        <v>0</v>
      </c>
      <c r="T301">
        <v>48.52</v>
      </c>
      <c r="U301">
        <v>71.05</v>
      </c>
      <c r="V301">
        <v>65.150000000000006</v>
      </c>
      <c r="W301">
        <v>66.62</v>
      </c>
      <c r="X301">
        <v>54.68</v>
      </c>
      <c r="Y301">
        <v>0.747</v>
      </c>
    </row>
    <row r="302" spans="1:25" x14ac:dyDescent="0.35">
      <c r="A302" t="s">
        <v>321</v>
      </c>
      <c r="B302" t="s">
        <v>312</v>
      </c>
      <c r="C302" t="s">
        <v>590</v>
      </c>
      <c r="D302">
        <v>8.67</v>
      </c>
      <c r="E302">
        <v>7.57</v>
      </c>
      <c r="F302">
        <v>8.06</v>
      </c>
      <c r="G302">
        <v>13</v>
      </c>
      <c r="H302">
        <v>12.95</v>
      </c>
      <c r="I302">
        <v>12.96</v>
      </c>
      <c r="J302">
        <v>3.34</v>
      </c>
      <c r="K302">
        <v>3.84</v>
      </c>
      <c r="L302">
        <v>3.58</v>
      </c>
      <c r="M302">
        <v>81.56</v>
      </c>
      <c r="N302">
        <v>67.42</v>
      </c>
      <c r="O302">
        <v>74.490000000000009</v>
      </c>
      <c r="P302">
        <v>71.599999999999994</v>
      </c>
      <c r="Q302">
        <v>76.34</v>
      </c>
      <c r="R302">
        <v>73.91</v>
      </c>
      <c r="S302">
        <v>0</v>
      </c>
      <c r="T302">
        <v>44.82</v>
      </c>
      <c r="U302">
        <v>70.34</v>
      </c>
      <c r="V302">
        <v>64.819999999999993</v>
      </c>
      <c r="W302">
        <v>66.290000000000006</v>
      </c>
      <c r="X302">
        <v>55.03</v>
      </c>
      <c r="Y302">
        <v>0.67600000000000005</v>
      </c>
    </row>
    <row r="303" spans="1:25" x14ac:dyDescent="0.35">
      <c r="A303" t="s">
        <v>322</v>
      </c>
      <c r="B303" t="s">
        <v>312</v>
      </c>
      <c r="C303" t="s">
        <v>590</v>
      </c>
      <c r="D303">
        <v>7.32</v>
      </c>
      <c r="E303">
        <v>6.85</v>
      </c>
      <c r="F303">
        <v>6.99</v>
      </c>
      <c r="G303">
        <v>13.55</v>
      </c>
      <c r="H303">
        <v>13.97</v>
      </c>
      <c r="I303">
        <v>13.67</v>
      </c>
      <c r="J303">
        <v>1.78</v>
      </c>
      <c r="K303">
        <v>2.96</v>
      </c>
      <c r="L303">
        <v>2.33</v>
      </c>
      <c r="M303">
        <v>82.23</v>
      </c>
      <c r="N303">
        <v>66.47</v>
      </c>
      <c r="O303">
        <v>74.349999999999994</v>
      </c>
      <c r="P303">
        <v>71.81</v>
      </c>
      <c r="Q303">
        <v>76.8</v>
      </c>
      <c r="R303">
        <v>74.239999999999995</v>
      </c>
      <c r="S303">
        <v>11.43</v>
      </c>
      <c r="T303">
        <v>37.700000000000003</v>
      </c>
      <c r="U303">
        <v>71.959999999999994</v>
      </c>
      <c r="V303">
        <v>64.55</v>
      </c>
      <c r="W303">
        <v>67.41</v>
      </c>
      <c r="X303">
        <v>62.39</v>
      </c>
      <c r="Y303">
        <v>0.27300000000000002</v>
      </c>
    </row>
    <row r="304" spans="1:25" x14ac:dyDescent="0.35">
      <c r="A304" t="s">
        <v>323</v>
      </c>
      <c r="B304" t="s">
        <v>312</v>
      </c>
      <c r="C304" t="s">
        <v>590</v>
      </c>
      <c r="D304">
        <v>8.6199999999999992</v>
      </c>
      <c r="E304">
        <v>8.1300000000000008</v>
      </c>
      <c r="F304">
        <v>8.2899999999999991</v>
      </c>
      <c r="G304">
        <v>14.09</v>
      </c>
      <c r="H304">
        <v>13.82</v>
      </c>
      <c r="I304">
        <v>13.83</v>
      </c>
      <c r="J304">
        <v>1.97</v>
      </c>
      <c r="K304">
        <v>2.14</v>
      </c>
      <c r="L304">
        <v>2.0499999999999998</v>
      </c>
      <c r="M304">
        <v>82.04</v>
      </c>
      <c r="N304">
        <v>72.86</v>
      </c>
      <c r="O304">
        <v>77.45</v>
      </c>
      <c r="P304">
        <v>70.900000000000006</v>
      </c>
      <c r="Q304">
        <v>74.94</v>
      </c>
      <c r="R304">
        <v>72.87</v>
      </c>
      <c r="S304">
        <v>6.67</v>
      </c>
      <c r="T304">
        <v>50.42</v>
      </c>
      <c r="U304">
        <v>70.84</v>
      </c>
      <c r="V304">
        <v>68.239999999999995</v>
      </c>
      <c r="W304">
        <v>69.11</v>
      </c>
      <c r="X304">
        <v>61.01</v>
      </c>
      <c r="Y304">
        <v>0.193</v>
      </c>
    </row>
    <row r="305" spans="1:25" x14ac:dyDescent="0.35">
      <c r="A305" t="s">
        <v>324</v>
      </c>
      <c r="B305" t="s">
        <v>312</v>
      </c>
      <c r="C305" t="s">
        <v>590</v>
      </c>
      <c r="D305">
        <v>8.84</v>
      </c>
      <c r="E305">
        <v>8.76</v>
      </c>
      <c r="F305">
        <v>8.83</v>
      </c>
      <c r="G305">
        <v>12.44</v>
      </c>
      <c r="H305">
        <v>13.06</v>
      </c>
      <c r="I305">
        <v>12.75</v>
      </c>
      <c r="J305">
        <v>3.39</v>
      </c>
      <c r="K305">
        <v>1.96</v>
      </c>
      <c r="L305">
        <v>2.68</v>
      </c>
      <c r="M305">
        <v>89.36</v>
      </c>
      <c r="N305">
        <v>83.57</v>
      </c>
      <c r="O305">
        <v>86.465000000000003</v>
      </c>
      <c r="P305">
        <v>71.94</v>
      </c>
      <c r="Q305">
        <v>77.05</v>
      </c>
      <c r="R305">
        <v>74.430000000000007</v>
      </c>
      <c r="S305">
        <v>0</v>
      </c>
      <c r="T305">
        <v>50.38</v>
      </c>
      <c r="U305">
        <v>71.819999999999993</v>
      </c>
      <c r="V305">
        <v>69.2</v>
      </c>
      <c r="W305">
        <v>69.52</v>
      </c>
      <c r="X305">
        <v>55.66</v>
      </c>
      <c r="Y305">
        <v>0.66500000000000004</v>
      </c>
    </row>
    <row r="306" spans="1:25" x14ac:dyDescent="0.35">
      <c r="A306" t="s">
        <v>325</v>
      </c>
      <c r="B306" t="s">
        <v>312</v>
      </c>
      <c r="C306" t="s">
        <v>590</v>
      </c>
      <c r="D306">
        <v>8.5399999999999991</v>
      </c>
      <c r="E306">
        <v>7.36</v>
      </c>
      <c r="F306">
        <v>7.91</v>
      </c>
      <c r="G306">
        <v>13.5</v>
      </c>
      <c r="H306">
        <v>14.31</v>
      </c>
      <c r="I306">
        <v>13.73</v>
      </c>
      <c r="J306">
        <v>1.21</v>
      </c>
      <c r="K306">
        <v>1.1200000000000001</v>
      </c>
      <c r="L306">
        <v>1.17</v>
      </c>
      <c r="M306">
        <v>88.28</v>
      </c>
      <c r="N306">
        <v>78.040000000000006</v>
      </c>
      <c r="O306">
        <v>83.16</v>
      </c>
      <c r="P306">
        <v>70.48</v>
      </c>
      <c r="Q306">
        <v>74.5</v>
      </c>
      <c r="R306">
        <v>72.44</v>
      </c>
      <c r="S306">
        <v>8.57</v>
      </c>
      <c r="T306">
        <v>47.74</v>
      </c>
      <c r="U306">
        <v>71.8</v>
      </c>
      <c r="V306">
        <v>63.96</v>
      </c>
      <c r="W306">
        <v>67.28</v>
      </c>
      <c r="X306">
        <v>65.39</v>
      </c>
      <c r="Y306">
        <v>0.46500000000000002</v>
      </c>
    </row>
    <row r="307" spans="1:25" x14ac:dyDescent="0.35">
      <c r="A307" t="s">
        <v>326</v>
      </c>
      <c r="B307" t="s">
        <v>312</v>
      </c>
      <c r="C307" t="s">
        <v>590</v>
      </c>
      <c r="D307">
        <v>8.32</v>
      </c>
      <c r="E307">
        <v>7.7</v>
      </c>
      <c r="F307">
        <v>7.83</v>
      </c>
      <c r="G307">
        <v>13.24</v>
      </c>
      <c r="H307">
        <v>13.07</v>
      </c>
      <c r="I307">
        <v>13.23</v>
      </c>
      <c r="J307">
        <v>2.35</v>
      </c>
      <c r="K307">
        <v>2.52</v>
      </c>
      <c r="L307">
        <v>2.42</v>
      </c>
      <c r="M307">
        <v>82.42</v>
      </c>
      <c r="N307">
        <v>61.14</v>
      </c>
      <c r="O307">
        <v>71.78</v>
      </c>
      <c r="P307">
        <v>67.88</v>
      </c>
      <c r="Q307">
        <v>71.83</v>
      </c>
      <c r="R307">
        <v>69.81</v>
      </c>
      <c r="S307">
        <v>0</v>
      </c>
      <c r="T307">
        <v>36.14</v>
      </c>
      <c r="U307">
        <v>69.72</v>
      </c>
      <c r="V307">
        <v>59.68</v>
      </c>
      <c r="W307">
        <v>64.59</v>
      </c>
      <c r="X307">
        <v>50.43</v>
      </c>
      <c r="Y307">
        <v>0.81</v>
      </c>
    </row>
    <row r="308" spans="1:25" x14ac:dyDescent="0.35">
      <c r="A308" t="s">
        <v>327</v>
      </c>
      <c r="B308" t="s">
        <v>312</v>
      </c>
      <c r="C308" t="s">
        <v>590</v>
      </c>
      <c r="D308">
        <v>8.41</v>
      </c>
      <c r="E308">
        <v>7.91</v>
      </c>
      <c r="F308">
        <v>8.2100000000000009</v>
      </c>
      <c r="G308">
        <v>12.64</v>
      </c>
      <c r="H308">
        <v>12.54</v>
      </c>
      <c r="I308">
        <v>12.54</v>
      </c>
      <c r="J308">
        <v>3.59</v>
      </c>
      <c r="K308">
        <v>3.32</v>
      </c>
      <c r="L308">
        <v>3.47</v>
      </c>
      <c r="M308">
        <v>83.81</v>
      </c>
      <c r="N308">
        <v>69.56</v>
      </c>
      <c r="O308">
        <v>76.685000000000002</v>
      </c>
      <c r="P308">
        <v>70.89</v>
      </c>
      <c r="Q308">
        <v>74.930000000000007</v>
      </c>
      <c r="R308">
        <v>72.86</v>
      </c>
      <c r="S308">
        <v>10</v>
      </c>
      <c r="T308">
        <v>39.42</v>
      </c>
      <c r="U308">
        <v>71.41</v>
      </c>
      <c r="V308">
        <v>63.58</v>
      </c>
      <c r="W308">
        <v>66.650000000000006</v>
      </c>
      <c r="X308">
        <v>62.72</v>
      </c>
      <c r="Y308">
        <v>0.46100000000000002</v>
      </c>
    </row>
    <row r="309" spans="1:25" x14ac:dyDescent="0.35">
      <c r="A309" t="s">
        <v>328</v>
      </c>
      <c r="B309" t="s">
        <v>312</v>
      </c>
      <c r="C309" t="s">
        <v>590</v>
      </c>
      <c r="D309">
        <v>7.37</v>
      </c>
      <c r="E309">
        <v>7.14</v>
      </c>
      <c r="F309">
        <v>7.23</v>
      </c>
      <c r="G309">
        <v>13.1</v>
      </c>
      <c r="H309">
        <v>13.43</v>
      </c>
      <c r="I309">
        <v>13.14</v>
      </c>
      <c r="J309">
        <v>1.08</v>
      </c>
      <c r="K309">
        <v>2.94</v>
      </c>
      <c r="L309">
        <v>1.89</v>
      </c>
      <c r="M309">
        <v>83.82</v>
      </c>
      <c r="N309">
        <v>69.099999999999994</v>
      </c>
      <c r="O309">
        <v>76.459999999999994</v>
      </c>
      <c r="P309">
        <v>67.53</v>
      </c>
      <c r="Q309">
        <v>71.48</v>
      </c>
      <c r="R309">
        <v>69.459999999999994</v>
      </c>
      <c r="S309">
        <v>10</v>
      </c>
      <c r="T309">
        <v>40.76</v>
      </c>
      <c r="U309">
        <v>67.959999999999994</v>
      </c>
      <c r="V309">
        <v>62.01</v>
      </c>
      <c r="W309">
        <v>64.31</v>
      </c>
      <c r="X309">
        <v>66.22</v>
      </c>
      <c r="Y309">
        <v>0.43</v>
      </c>
    </row>
    <row r="310" spans="1:25" x14ac:dyDescent="0.35">
      <c r="A310" t="s">
        <v>329</v>
      </c>
      <c r="B310" t="s">
        <v>312</v>
      </c>
      <c r="C310" t="s">
        <v>590</v>
      </c>
      <c r="D310">
        <v>6.48</v>
      </c>
      <c r="E310">
        <v>6.38</v>
      </c>
      <c r="F310">
        <v>6.39</v>
      </c>
      <c r="G310">
        <v>13.06</v>
      </c>
      <c r="H310">
        <v>13.5</v>
      </c>
      <c r="I310">
        <v>13.11</v>
      </c>
      <c r="J310">
        <v>3.58</v>
      </c>
      <c r="K310">
        <v>1.45</v>
      </c>
      <c r="L310">
        <v>2.64</v>
      </c>
      <c r="M310">
        <v>86.28</v>
      </c>
      <c r="N310">
        <v>70.78</v>
      </c>
      <c r="O310">
        <v>78.53</v>
      </c>
      <c r="P310">
        <v>67.27</v>
      </c>
      <c r="Q310">
        <v>71.23</v>
      </c>
      <c r="R310">
        <v>69.2</v>
      </c>
      <c r="S310">
        <v>8.57</v>
      </c>
      <c r="T310">
        <v>42.29</v>
      </c>
      <c r="U310">
        <v>65.05</v>
      </c>
      <c r="V310">
        <v>63.98</v>
      </c>
      <c r="W310">
        <v>64.27</v>
      </c>
      <c r="X310">
        <v>63.53</v>
      </c>
      <c r="Y310">
        <v>0.49</v>
      </c>
    </row>
    <row r="311" spans="1:25" x14ac:dyDescent="0.35">
      <c r="A311" t="s">
        <v>330</v>
      </c>
      <c r="B311" t="s">
        <v>312</v>
      </c>
      <c r="C311" t="s">
        <v>590</v>
      </c>
      <c r="D311">
        <v>8.41</v>
      </c>
      <c r="E311">
        <v>8.1</v>
      </c>
      <c r="F311">
        <v>8.23</v>
      </c>
      <c r="G311">
        <v>12.9</v>
      </c>
      <c r="H311">
        <v>12.69</v>
      </c>
      <c r="I311">
        <v>12.69</v>
      </c>
      <c r="J311">
        <v>2.19</v>
      </c>
      <c r="K311">
        <v>2.14</v>
      </c>
      <c r="L311">
        <v>2.17</v>
      </c>
      <c r="M311">
        <v>85.11</v>
      </c>
      <c r="N311">
        <v>67.33</v>
      </c>
      <c r="O311">
        <v>76.22</v>
      </c>
      <c r="P311">
        <v>70.55</v>
      </c>
      <c r="Q311">
        <v>74.569999999999993</v>
      </c>
      <c r="R311">
        <v>72.510000000000005</v>
      </c>
      <c r="S311">
        <v>8</v>
      </c>
      <c r="T311">
        <v>48.68</v>
      </c>
      <c r="U311">
        <v>68.459999999999994</v>
      </c>
      <c r="V311">
        <v>67.33</v>
      </c>
      <c r="W311">
        <v>67.72</v>
      </c>
      <c r="X311">
        <v>62.02</v>
      </c>
      <c r="Y311">
        <v>0.35</v>
      </c>
    </row>
    <row r="312" spans="1:25" x14ac:dyDescent="0.35">
      <c r="A312" t="s">
        <v>331</v>
      </c>
      <c r="B312" t="s">
        <v>312</v>
      </c>
      <c r="C312" t="s">
        <v>590</v>
      </c>
      <c r="D312">
        <v>8.08</v>
      </c>
      <c r="E312">
        <v>7.84</v>
      </c>
      <c r="F312">
        <v>7.96</v>
      </c>
      <c r="G312">
        <v>12.66</v>
      </c>
      <c r="H312">
        <v>12.85</v>
      </c>
      <c r="I312">
        <v>12.66</v>
      </c>
      <c r="J312">
        <v>0.73</v>
      </c>
      <c r="K312">
        <v>0.25</v>
      </c>
      <c r="L312">
        <v>0.51</v>
      </c>
      <c r="M312">
        <v>88.16</v>
      </c>
      <c r="N312">
        <v>78.47</v>
      </c>
      <c r="O312">
        <v>83.314999999999998</v>
      </c>
      <c r="P312">
        <v>70.989999999999995</v>
      </c>
      <c r="Q312">
        <v>75.06</v>
      </c>
      <c r="R312">
        <v>72.98</v>
      </c>
      <c r="S312">
        <v>3.33</v>
      </c>
      <c r="T312">
        <v>36.299999999999997</v>
      </c>
      <c r="U312">
        <v>67.98</v>
      </c>
      <c r="V312">
        <v>62.52</v>
      </c>
      <c r="W312">
        <v>64.2</v>
      </c>
      <c r="X312">
        <v>53.16</v>
      </c>
      <c r="Y312">
        <v>0.59</v>
      </c>
    </row>
    <row r="313" spans="1:25" x14ac:dyDescent="0.35">
      <c r="A313" t="s">
        <v>332</v>
      </c>
      <c r="B313" t="s">
        <v>312</v>
      </c>
      <c r="C313" t="s">
        <v>590</v>
      </c>
      <c r="D313">
        <v>7.09</v>
      </c>
      <c r="E313">
        <v>6.98</v>
      </c>
      <c r="F313">
        <v>6.99</v>
      </c>
      <c r="G313">
        <v>13.19</v>
      </c>
      <c r="H313">
        <v>13.4</v>
      </c>
      <c r="I313">
        <v>13.19</v>
      </c>
      <c r="J313">
        <v>3.68</v>
      </c>
      <c r="K313">
        <v>4.38</v>
      </c>
      <c r="L313">
        <v>3.99</v>
      </c>
      <c r="M313">
        <v>82.85</v>
      </c>
      <c r="N313">
        <v>71.680000000000007</v>
      </c>
      <c r="O313">
        <v>77.265000000000001</v>
      </c>
      <c r="P313">
        <v>64.73</v>
      </c>
      <c r="Q313">
        <v>68.66</v>
      </c>
      <c r="R313">
        <v>66.650000000000006</v>
      </c>
      <c r="S313">
        <v>10</v>
      </c>
      <c r="T313">
        <v>36.25</v>
      </c>
      <c r="U313">
        <v>62.95</v>
      </c>
      <c r="V313">
        <v>58.18</v>
      </c>
      <c r="W313">
        <v>59.58</v>
      </c>
      <c r="X313">
        <v>57.51</v>
      </c>
      <c r="Y313">
        <v>0.48399999999999999</v>
      </c>
    </row>
    <row r="314" spans="1:25" x14ac:dyDescent="0.35">
      <c r="A314" t="s">
        <v>333</v>
      </c>
      <c r="B314" t="s">
        <v>312</v>
      </c>
      <c r="C314" t="s">
        <v>590</v>
      </c>
      <c r="D314">
        <v>7.48</v>
      </c>
      <c r="E314">
        <v>7.01</v>
      </c>
      <c r="F314">
        <v>7.14</v>
      </c>
      <c r="G314">
        <v>12.43</v>
      </c>
      <c r="H314">
        <v>13.09</v>
      </c>
      <c r="I314">
        <v>12.83</v>
      </c>
      <c r="J314">
        <v>1.19</v>
      </c>
      <c r="K314">
        <v>2.02</v>
      </c>
      <c r="L314">
        <v>1.58</v>
      </c>
      <c r="M314">
        <v>76.63</v>
      </c>
      <c r="N314">
        <v>67.680000000000007</v>
      </c>
      <c r="O314">
        <v>72.155000000000001</v>
      </c>
      <c r="P314">
        <v>69.53</v>
      </c>
      <c r="Q314">
        <v>73.5</v>
      </c>
      <c r="R314">
        <v>71.47</v>
      </c>
      <c r="S314">
        <v>16</v>
      </c>
      <c r="T314">
        <v>51.75</v>
      </c>
      <c r="U314">
        <v>66.64</v>
      </c>
      <c r="V314">
        <v>60.5</v>
      </c>
      <c r="W314">
        <v>62.73</v>
      </c>
      <c r="X314">
        <v>63.31</v>
      </c>
      <c r="Y314">
        <v>0.40400000000000003</v>
      </c>
    </row>
    <row r="315" spans="1:25" x14ac:dyDescent="0.35">
      <c r="A315" t="s">
        <v>334</v>
      </c>
      <c r="B315" t="s">
        <v>312</v>
      </c>
      <c r="C315" t="s">
        <v>590</v>
      </c>
      <c r="D315">
        <v>12.05</v>
      </c>
      <c r="E315">
        <v>11.51</v>
      </c>
      <c r="F315">
        <v>11.64</v>
      </c>
      <c r="G315">
        <v>16.440000000000001</v>
      </c>
      <c r="H315">
        <v>17.100000000000001</v>
      </c>
      <c r="I315">
        <v>16.54</v>
      </c>
      <c r="J315">
        <v>7.9</v>
      </c>
      <c r="K315">
        <v>9.6199999999999992</v>
      </c>
      <c r="L315">
        <v>8.6</v>
      </c>
      <c r="M315">
        <v>79.099999999999994</v>
      </c>
      <c r="N315">
        <v>54.86</v>
      </c>
      <c r="O315">
        <v>66.97999999999999</v>
      </c>
      <c r="P315">
        <v>72.31</v>
      </c>
      <c r="Q315">
        <v>77.73</v>
      </c>
      <c r="R315">
        <v>74.95</v>
      </c>
      <c r="S315">
        <v>12.5</v>
      </c>
      <c r="T315">
        <v>39.14</v>
      </c>
      <c r="U315">
        <v>83.63</v>
      </c>
      <c r="V315">
        <v>80.680000000000007</v>
      </c>
      <c r="W315">
        <v>81.08</v>
      </c>
      <c r="X315">
        <v>69.16</v>
      </c>
      <c r="Y315">
        <v>0.35899999999999999</v>
      </c>
    </row>
    <row r="316" spans="1:25" x14ac:dyDescent="0.35">
      <c r="A316" t="s">
        <v>336</v>
      </c>
      <c r="B316" t="s">
        <v>335</v>
      </c>
      <c r="C316" t="s">
        <v>587</v>
      </c>
      <c r="D316">
        <v>7.4</v>
      </c>
      <c r="E316">
        <v>6.15</v>
      </c>
      <c r="F316">
        <v>6.76</v>
      </c>
      <c r="G316">
        <v>12.76</v>
      </c>
      <c r="H316">
        <v>13.38</v>
      </c>
      <c r="I316">
        <v>12.76</v>
      </c>
      <c r="J316">
        <v>5.16</v>
      </c>
      <c r="K316">
        <v>4.74</v>
      </c>
      <c r="L316">
        <v>4.99</v>
      </c>
      <c r="M316">
        <v>85.2</v>
      </c>
      <c r="N316">
        <v>59.91</v>
      </c>
      <c r="O316">
        <v>72.555000000000007</v>
      </c>
      <c r="P316">
        <v>71.86</v>
      </c>
      <c r="Q316">
        <v>76.900000000000006</v>
      </c>
      <c r="R316">
        <v>74.319999999999993</v>
      </c>
      <c r="S316">
        <v>20</v>
      </c>
      <c r="T316">
        <v>38.65</v>
      </c>
      <c r="U316">
        <v>74</v>
      </c>
      <c r="V316">
        <v>65.41</v>
      </c>
      <c r="W316">
        <v>69.31</v>
      </c>
      <c r="X316">
        <v>74.66</v>
      </c>
      <c r="Y316">
        <v>0.41399999999999998</v>
      </c>
    </row>
    <row r="317" spans="1:25" x14ac:dyDescent="0.35">
      <c r="A317" t="s">
        <v>337</v>
      </c>
      <c r="B317" t="s">
        <v>335</v>
      </c>
      <c r="C317" t="s">
        <v>587</v>
      </c>
      <c r="D317">
        <v>7.75</v>
      </c>
      <c r="E317">
        <v>6.87</v>
      </c>
      <c r="F317">
        <v>7.41</v>
      </c>
      <c r="G317">
        <v>12.16</v>
      </c>
      <c r="H317">
        <v>12.45</v>
      </c>
      <c r="I317">
        <v>12.22</v>
      </c>
      <c r="J317">
        <v>3.04</v>
      </c>
      <c r="K317">
        <v>2.41</v>
      </c>
      <c r="L317">
        <v>2.81</v>
      </c>
      <c r="M317">
        <v>86.85</v>
      </c>
      <c r="N317">
        <v>56.88</v>
      </c>
      <c r="O317">
        <v>71.864999999999995</v>
      </c>
      <c r="P317">
        <v>72.650000000000006</v>
      </c>
      <c r="Q317">
        <v>77.03</v>
      </c>
      <c r="R317">
        <v>74.42</v>
      </c>
      <c r="S317">
        <v>23.33</v>
      </c>
      <c r="T317">
        <v>38.590000000000003</v>
      </c>
      <c r="U317">
        <v>74.36</v>
      </c>
      <c r="V317">
        <v>62.51</v>
      </c>
      <c r="W317">
        <v>70.3</v>
      </c>
      <c r="X317">
        <v>76.94</v>
      </c>
      <c r="Y317">
        <v>0.31900000000000001</v>
      </c>
    </row>
    <row r="318" spans="1:25" x14ac:dyDescent="0.35">
      <c r="A318" t="s">
        <v>338</v>
      </c>
      <c r="B318" t="s">
        <v>335</v>
      </c>
      <c r="C318" t="s">
        <v>587</v>
      </c>
      <c r="D318">
        <v>8.1999999999999993</v>
      </c>
      <c r="E318">
        <v>7.18</v>
      </c>
      <c r="F318">
        <v>7.46</v>
      </c>
      <c r="G318">
        <v>12.54</v>
      </c>
      <c r="H318">
        <v>12.97</v>
      </c>
      <c r="I318">
        <v>12.54</v>
      </c>
      <c r="J318">
        <v>2.23</v>
      </c>
      <c r="K318">
        <v>2.19</v>
      </c>
      <c r="L318">
        <v>2.2200000000000002</v>
      </c>
      <c r="M318">
        <v>85.61</v>
      </c>
      <c r="N318">
        <v>56.55</v>
      </c>
      <c r="O318">
        <v>71.08</v>
      </c>
      <c r="P318">
        <v>71.739999999999995</v>
      </c>
      <c r="Q318">
        <v>76.650000000000006</v>
      </c>
      <c r="R318">
        <v>74.13</v>
      </c>
      <c r="S318">
        <v>20</v>
      </c>
      <c r="T318">
        <v>36.14</v>
      </c>
      <c r="U318">
        <v>73.31</v>
      </c>
      <c r="V318">
        <v>65.77</v>
      </c>
      <c r="W318">
        <v>69.08</v>
      </c>
      <c r="X318">
        <v>75.86</v>
      </c>
      <c r="Y318">
        <v>0.46700000000000003</v>
      </c>
    </row>
    <row r="319" spans="1:25" x14ac:dyDescent="0.35">
      <c r="A319" t="s">
        <v>339</v>
      </c>
      <c r="B319" t="s">
        <v>335</v>
      </c>
      <c r="C319" t="s">
        <v>587</v>
      </c>
      <c r="D319">
        <v>7.6</v>
      </c>
      <c r="E319">
        <v>6.96</v>
      </c>
      <c r="F319">
        <v>7.21</v>
      </c>
      <c r="G319">
        <v>12.7</v>
      </c>
      <c r="H319">
        <v>13.46</v>
      </c>
      <c r="I319">
        <v>12.9</v>
      </c>
      <c r="J319">
        <v>6.91</v>
      </c>
      <c r="K319">
        <v>6.56</v>
      </c>
      <c r="L319">
        <v>6.78</v>
      </c>
      <c r="M319">
        <v>88.88</v>
      </c>
      <c r="N319">
        <v>56.54</v>
      </c>
      <c r="O319">
        <v>72.709999999999994</v>
      </c>
      <c r="P319">
        <v>71.88</v>
      </c>
      <c r="Q319">
        <v>76.930000000000007</v>
      </c>
      <c r="R319">
        <v>74.34</v>
      </c>
      <c r="S319">
        <v>8.57</v>
      </c>
      <c r="T319">
        <v>34.619999999999997</v>
      </c>
      <c r="U319">
        <v>73.11</v>
      </c>
      <c r="V319">
        <v>65.09</v>
      </c>
      <c r="W319">
        <v>68.56</v>
      </c>
      <c r="X319">
        <v>63.03</v>
      </c>
      <c r="Y319">
        <v>0.54600000000000004</v>
      </c>
    </row>
    <row r="320" spans="1:25" x14ac:dyDescent="0.35">
      <c r="A320" t="s">
        <v>340</v>
      </c>
      <c r="B320" t="s">
        <v>335</v>
      </c>
      <c r="C320" t="s">
        <v>587</v>
      </c>
      <c r="D320">
        <v>7.95</v>
      </c>
      <c r="E320">
        <v>7.17</v>
      </c>
      <c r="F320">
        <v>7.47</v>
      </c>
      <c r="G320">
        <v>11.88</v>
      </c>
      <c r="H320">
        <v>11.98</v>
      </c>
      <c r="I320">
        <v>11.88</v>
      </c>
      <c r="J320">
        <v>3.96</v>
      </c>
      <c r="K320">
        <v>3.27</v>
      </c>
      <c r="L320">
        <v>3.71</v>
      </c>
      <c r="M320">
        <v>87.44</v>
      </c>
      <c r="N320">
        <v>54.67</v>
      </c>
      <c r="O320">
        <v>71.055000000000007</v>
      </c>
      <c r="P320">
        <v>71.75</v>
      </c>
      <c r="Q320">
        <v>76.66</v>
      </c>
      <c r="R320">
        <v>74.150000000000006</v>
      </c>
      <c r="S320">
        <v>10</v>
      </c>
      <c r="T320">
        <v>33.5</v>
      </c>
      <c r="U320">
        <v>73.260000000000005</v>
      </c>
      <c r="V320">
        <v>60.83</v>
      </c>
      <c r="W320">
        <v>68.430000000000007</v>
      </c>
      <c r="X320">
        <v>64.260000000000005</v>
      </c>
      <c r="Y320">
        <v>0.56299999999999994</v>
      </c>
    </row>
    <row r="321" spans="1:25" x14ac:dyDescent="0.35">
      <c r="A321" t="s">
        <v>341</v>
      </c>
      <c r="B321" t="s">
        <v>335</v>
      </c>
      <c r="C321" t="s">
        <v>587</v>
      </c>
      <c r="D321">
        <v>8.1199999999999992</v>
      </c>
      <c r="E321">
        <v>7.63</v>
      </c>
      <c r="F321">
        <v>7.68</v>
      </c>
      <c r="G321">
        <v>12.03</v>
      </c>
      <c r="H321">
        <v>11.89</v>
      </c>
      <c r="I321">
        <v>11.97</v>
      </c>
      <c r="J321">
        <v>6.33</v>
      </c>
      <c r="K321">
        <v>6.44</v>
      </c>
      <c r="L321">
        <v>6.36</v>
      </c>
      <c r="M321">
        <v>89.57</v>
      </c>
      <c r="N321">
        <v>41.81</v>
      </c>
      <c r="O321">
        <v>65.69</v>
      </c>
      <c r="P321">
        <v>71.47</v>
      </c>
      <c r="Q321">
        <v>76.069999999999993</v>
      </c>
      <c r="R321">
        <v>73.72</v>
      </c>
      <c r="S321">
        <v>6.67</v>
      </c>
      <c r="T321">
        <v>26.18</v>
      </c>
      <c r="U321">
        <v>73.510000000000005</v>
      </c>
      <c r="V321">
        <v>65.87</v>
      </c>
      <c r="W321">
        <v>69.42</v>
      </c>
      <c r="X321">
        <v>53.65</v>
      </c>
      <c r="Y321">
        <v>0.63400000000000001</v>
      </c>
    </row>
    <row r="322" spans="1:25" x14ac:dyDescent="0.35">
      <c r="A322" t="s">
        <v>342</v>
      </c>
      <c r="B322" t="s">
        <v>335</v>
      </c>
      <c r="C322" t="s">
        <v>587</v>
      </c>
      <c r="D322">
        <v>7.99</v>
      </c>
      <c r="E322">
        <v>7.2</v>
      </c>
      <c r="F322">
        <v>7.65</v>
      </c>
      <c r="G322">
        <v>11.99</v>
      </c>
      <c r="H322">
        <v>12.66</v>
      </c>
      <c r="I322">
        <v>12.32</v>
      </c>
      <c r="J322">
        <v>3.33</v>
      </c>
      <c r="K322">
        <v>2.15</v>
      </c>
      <c r="L322">
        <v>2.85</v>
      </c>
      <c r="M322">
        <v>85.87</v>
      </c>
      <c r="N322">
        <v>63.22</v>
      </c>
      <c r="O322">
        <v>74.545000000000002</v>
      </c>
      <c r="P322">
        <v>71.88</v>
      </c>
      <c r="Q322">
        <v>76.930000000000007</v>
      </c>
      <c r="R322">
        <v>74.349999999999994</v>
      </c>
      <c r="S322">
        <v>10</v>
      </c>
      <c r="T322">
        <v>32.82</v>
      </c>
      <c r="U322">
        <v>73.41</v>
      </c>
      <c r="V322">
        <v>64.64</v>
      </c>
      <c r="W322">
        <v>69.42</v>
      </c>
      <c r="X322">
        <v>61.9</v>
      </c>
      <c r="Y322">
        <v>0.56100000000000005</v>
      </c>
    </row>
    <row r="323" spans="1:25" x14ac:dyDescent="0.35">
      <c r="A323" t="s">
        <v>343</v>
      </c>
      <c r="B323" t="s">
        <v>335</v>
      </c>
      <c r="C323" t="s">
        <v>587</v>
      </c>
      <c r="D323">
        <v>8.42</v>
      </c>
      <c r="E323">
        <v>7.76</v>
      </c>
      <c r="F323">
        <v>8.0299999999999994</v>
      </c>
      <c r="G323">
        <v>12.75</v>
      </c>
      <c r="H323">
        <v>12.23</v>
      </c>
      <c r="I323">
        <v>12.23</v>
      </c>
      <c r="J323">
        <v>2.2999999999999998</v>
      </c>
      <c r="K323">
        <v>2.0099999999999998</v>
      </c>
      <c r="L323">
        <v>2.1800000000000002</v>
      </c>
      <c r="M323">
        <v>86.15</v>
      </c>
      <c r="N323">
        <v>65.25</v>
      </c>
      <c r="O323">
        <v>75.7</v>
      </c>
      <c r="P323">
        <v>71.319999999999993</v>
      </c>
      <c r="Q323">
        <v>75.760000000000005</v>
      </c>
      <c r="R323">
        <v>73.489999999999995</v>
      </c>
      <c r="S323">
        <v>6.67</v>
      </c>
      <c r="T323">
        <v>40.98</v>
      </c>
      <c r="U323">
        <v>73.48</v>
      </c>
      <c r="V323">
        <v>63.8</v>
      </c>
      <c r="W323">
        <v>68.58</v>
      </c>
      <c r="X323">
        <v>64.39</v>
      </c>
      <c r="Y323">
        <v>0.39800000000000002</v>
      </c>
    </row>
    <row r="324" spans="1:25" x14ac:dyDescent="0.35">
      <c r="A324" t="s">
        <v>344</v>
      </c>
      <c r="B324" t="s">
        <v>335</v>
      </c>
      <c r="C324" t="s">
        <v>587</v>
      </c>
      <c r="D324">
        <v>7.83</v>
      </c>
      <c r="E324">
        <v>6.6</v>
      </c>
      <c r="F324">
        <v>7.23</v>
      </c>
      <c r="G324">
        <v>11.65</v>
      </c>
      <c r="H324">
        <v>12.42</v>
      </c>
      <c r="I324">
        <v>11.93</v>
      </c>
      <c r="J324">
        <v>2.35</v>
      </c>
      <c r="K324">
        <v>2.0699999999999998</v>
      </c>
      <c r="L324">
        <v>2.2400000000000002</v>
      </c>
      <c r="M324">
        <v>90.71</v>
      </c>
      <c r="N324">
        <v>61.41</v>
      </c>
      <c r="O324">
        <v>76.06</v>
      </c>
      <c r="P324">
        <v>71.73</v>
      </c>
      <c r="Q324">
        <v>76.63</v>
      </c>
      <c r="R324">
        <v>74.12</v>
      </c>
      <c r="S324">
        <v>0</v>
      </c>
      <c r="T324">
        <v>38.69</v>
      </c>
      <c r="U324">
        <v>72.209999999999994</v>
      </c>
      <c r="V324">
        <v>60.75</v>
      </c>
      <c r="W324">
        <v>67.25</v>
      </c>
      <c r="X324">
        <v>52.76</v>
      </c>
      <c r="Y324">
        <v>0.85599999999999998</v>
      </c>
    </row>
    <row r="325" spans="1:25" x14ac:dyDescent="0.35">
      <c r="A325" t="s">
        <v>345</v>
      </c>
      <c r="B325" t="s">
        <v>335</v>
      </c>
      <c r="C325" t="s">
        <v>587</v>
      </c>
      <c r="D325">
        <v>8.1</v>
      </c>
      <c r="E325">
        <v>7.36</v>
      </c>
      <c r="F325">
        <v>7.66</v>
      </c>
      <c r="G325">
        <v>11.27</v>
      </c>
      <c r="H325">
        <v>11.52</v>
      </c>
      <c r="I325">
        <v>11.37</v>
      </c>
      <c r="J325">
        <v>2.48</v>
      </c>
      <c r="K325">
        <v>2.2999999999999998</v>
      </c>
      <c r="L325">
        <v>2.41</v>
      </c>
      <c r="M325">
        <v>88.96</v>
      </c>
      <c r="N325">
        <v>60.51</v>
      </c>
      <c r="O325">
        <v>74.734999999999999</v>
      </c>
      <c r="P325">
        <v>71.540000000000006</v>
      </c>
      <c r="Q325">
        <v>76.209999999999994</v>
      </c>
      <c r="R325">
        <v>73.819999999999993</v>
      </c>
      <c r="S325">
        <v>20</v>
      </c>
      <c r="T325">
        <v>35.450000000000003</v>
      </c>
      <c r="U325">
        <v>73.91</v>
      </c>
      <c r="V325">
        <v>60.53</v>
      </c>
      <c r="W325">
        <v>68.66</v>
      </c>
      <c r="X325">
        <v>73.760000000000005</v>
      </c>
      <c r="Y325">
        <v>0.55500000000000005</v>
      </c>
    </row>
    <row r="326" spans="1:25" x14ac:dyDescent="0.35">
      <c r="A326" t="s">
        <v>346</v>
      </c>
      <c r="B326" t="s">
        <v>335</v>
      </c>
      <c r="C326" t="s">
        <v>587</v>
      </c>
      <c r="D326">
        <v>7.05</v>
      </c>
      <c r="E326">
        <v>6.01</v>
      </c>
      <c r="F326">
        <v>6.54</v>
      </c>
      <c r="G326">
        <v>12.24</v>
      </c>
      <c r="H326">
        <v>12.19</v>
      </c>
      <c r="I326">
        <v>12.2</v>
      </c>
      <c r="J326">
        <v>3.14</v>
      </c>
      <c r="K326">
        <v>2.83</v>
      </c>
      <c r="L326">
        <v>3.02</v>
      </c>
      <c r="M326">
        <v>86.82</v>
      </c>
      <c r="N326">
        <v>55.67</v>
      </c>
      <c r="O326">
        <v>71.245000000000005</v>
      </c>
      <c r="P326">
        <v>70.58</v>
      </c>
      <c r="Q326">
        <v>74.599999999999994</v>
      </c>
      <c r="R326">
        <v>72.540000000000006</v>
      </c>
      <c r="S326">
        <v>4</v>
      </c>
      <c r="T326">
        <v>30.55</v>
      </c>
      <c r="U326">
        <v>70.12</v>
      </c>
      <c r="V326">
        <v>61</v>
      </c>
      <c r="W326">
        <v>65.739999999999995</v>
      </c>
      <c r="X326">
        <v>53.62</v>
      </c>
      <c r="Y326">
        <v>0.61699999999999999</v>
      </c>
    </row>
    <row r="327" spans="1:25" x14ac:dyDescent="0.35">
      <c r="A327" t="s">
        <v>347</v>
      </c>
      <c r="B327" t="s">
        <v>335</v>
      </c>
      <c r="C327" t="s">
        <v>587</v>
      </c>
      <c r="D327">
        <v>7.77</v>
      </c>
      <c r="E327">
        <v>6.86</v>
      </c>
      <c r="F327">
        <v>7.05</v>
      </c>
      <c r="G327">
        <v>13.87</v>
      </c>
      <c r="H327">
        <v>14.32</v>
      </c>
      <c r="I327">
        <v>13.9</v>
      </c>
      <c r="J327">
        <v>6.77</v>
      </c>
      <c r="K327">
        <v>6.63</v>
      </c>
      <c r="L327">
        <v>6.73</v>
      </c>
      <c r="M327">
        <v>87.66</v>
      </c>
      <c r="N327">
        <v>43.07</v>
      </c>
      <c r="O327">
        <v>65.364999999999995</v>
      </c>
      <c r="P327">
        <v>71.28</v>
      </c>
      <c r="Q327">
        <v>75.67</v>
      </c>
      <c r="R327">
        <v>73.42</v>
      </c>
      <c r="S327">
        <v>13.33</v>
      </c>
      <c r="T327">
        <v>35.89</v>
      </c>
      <c r="U327">
        <v>75.63</v>
      </c>
      <c r="V327">
        <v>64.8</v>
      </c>
      <c r="W327">
        <v>70.25</v>
      </c>
      <c r="X327">
        <v>68.66</v>
      </c>
      <c r="Y327">
        <v>0.56999999999999995</v>
      </c>
    </row>
    <row r="328" spans="1:25" x14ac:dyDescent="0.35">
      <c r="A328" t="s">
        <v>348</v>
      </c>
      <c r="B328" t="s">
        <v>335</v>
      </c>
      <c r="C328" t="s">
        <v>587</v>
      </c>
      <c r="D328">
        <v>10.73</v>
      </c>
      <c r="E328">
        <v>10.17</v>
      </c>
      <c r="F328">
        <v>10.47</v>
      </c>
      <c r="G328">
        <v>15.32</v>
      </c>
      <c r="H328">
        <v>15.05</v>
      </c>
      <c r="I328">
        <v>15.06</v>
      </c>
      <c r="J328">
        <v>8.61</v>
      </c>
      <c r="K328">
        <v>7.81</v>
      </c>
      <c r="L328">
        <v>8.2899999999999991</v>
      </c>
      <c r="M328">
        <v>78.59</v>
      </c>
      <c r="N328">
        <v>50.68</v>
      </c>
      <c r="O328">
        <v>64.635000000000005</v>
      </c>
      <c r="P328">
        <v>72.73</v>
      </c>
      <c r="Q328">
        <v>78.33</v>
      </c>
      <c r="R328">
        <v>75.459999999999994</v>
      </c>
      <c r="S328">
        <v>20</v>
      </c>
      <c r="T328">
        <v>33.94</v>
      </c>
      <c r="U328">
        <v>85.14</v>
      </c>
      <c r="V328">
        <v>80.709999999999994</v>
      </c>
      <c r="W328">
        <v>81.569999999999993</v>
      </c>
      <c r="X328">
        <v>73.040000000000006</v>
      </c>
      <c r="Y328">
        <v>0.23899999999999999</v>
      </c>
    </row>
    <row r="329" spans="1:25" x14ac:dyDescent="0.35">
      <c r="A329" t="s">
        <v>349</v>
      </c>
      <c r="B329" t="s">
        <v>335</v>
      </c>
      <c r="C329" t="s">
        <v>587</v>
      </c>
      <c r="D329">
        <v>8.35</v>
      </c>
      <c r="E329">
        <v>8.07</v>
      </c>
      <c r="F329">
        <v>8.2200000000000006</v>
      </c>
      <c r="G329">
        <v>12.91</v>
      </c>
      <c r="H329">
        <v>13.34</v>
      </c>
      <c r="I329">
        <v>12.95</v>
      </c>
      <c r="J329">
        <v>8.2899999999999991</v>
      </c>
      <c r="K329">
        <v>7.3</v>
      </c>
      <c r="L329">
        <v>7.92</v>
      </c>
      <c r="M329">
        <v>81.13</v>
      </c>
      <c r="N329">
        <v>50.46</v>
      </c>
      <c r="O329">
        <v>65.795000000000002</v>
      </c>
      <c r="P329">
        <v>72.14</v>
      </c>
      <c r="Q329">
        <v>77.489999999999995</v>
      </c>
      <c r="R329">
        <v>74.75</v>
      </c>
      <c r="S329">
        <v>16.670000000000002</v>
      </c>
      <c r="T329">
        <v>29.16</v>
      </c>
      <c r="U329">
        <v>77.41</v>
      </c>
      <c r="V329">
        <v>72.11</v>
      </c>
      <c r="W329">
        <v>73.87</v>
      </c>
      <c r="X329">
        <v>66.2</v>
      </c>
      <c r="Y329">
        <v>0.214</v>
      </c>
    </row>
    <row r="330" spans="1:25" x14ac:dyDescent="0.35">
      <c r="A330" t="s">
        <v>351</v>
      </c>
      <c r="B330" t="s">
        <v>350</v>
      </c>
      <c r="C330" t="s">
        <v>587</v>
      </c>
      <c r="D330">
        <v>8.98</v>
      </c>
      <c r="E330">
        <v>8.49</v>
      </c>
      <c r="F330">
        <v>8.77</v>
      </c>
      <c r="G330">
        <v>12.9</v>
      </c>
      <c r="H330">
        <v>12.77</v>
      </c>
      <c r="I330">
        <v>12.78</v>
      </c>
      <c r="J330">
        <v>4.3899999999999997</v>
      </c>
      <c r="K330">
        <v>4.47</v>
      </c>
      <c r="L330">
        <v>4.42</v>
      </c>
      <c r="M330">
        <v>88.89</v>
      </c>
      <c r="N330">
        <v>47.87</v>
      </c>
      <c r="O330">
        <v>68.38</v>
      </c>
      <c r="P330">
        <v>71.19</v>
      </c>
      <c r="Q330">
        <v>75.489999999999995</v>
      </c>
      <c r="R330">
        <v>73.290000000000006</v>
      </c>
      <c r="S330">
        <v>20</v>
      </c>
      <c r="T330">
        <v>24.52</v>
      </c>
      <c r="U330">
        <v>78.53</v>
      </c>
      <c r="V330">
        <v>72.5</v>
      </c>
      <c r="W330">
        <v>74.44</v>
      </c>
      <c r="X330">
        <v>66.73</v>
      </c>
      <c r="Y330">
        <v>0.48299999999999998</v>
      </c>
    </row>
    <row r="331" spans="1:25" x14ac:dyDescent="0.35">
      <c r="A331" t="s">
        <v>352</v>
      </c>
      <c r="B331" t="s">
        <v>350</v>
      </c>
      <c r="C331" t="s">
        <v>587</v>
      </c>
      <c r="D331">
        <v>8.57</v>
      </c>
      <c r="E331">
        <v>7.74</v>
      </c>
      <c r="F331">
        <v>8.18</v>
      </c>
      <c r="G331">
        <v>12.94</v>
      </c>
      <c r="H331">
        <v>12.89</v>
      </c>
      <c r="I331">
        <v>12.89</v>
      </c>
      <c r="J331">
        <v>1.48</v>
      </c>
      <c r="K331">
        <v>11.74</v>
      </c>
      <c r="L331">
        <v>4.63</v>
      </c>
      <c r="M331">
        <v>85.63</v>
      </c>
      <c r="N331">
        <v>40.770000000000003</v>
      </c>
      <c r="O331">
        <v>63.2</v>
      </c>
      <c r="P331">
        <v>71.900000000000006</v>
      </c>
      <c r="Q331">
        <v>76.98</v>
      </c>
      <c r="R331">
        <v>74.38</v>
      </c>
      <c r="S331">
        <v>17.95</v>
      </c>
      <c r="T331">
        <v>26.19</v>
      </c>
      <c r="U331">
        <v>77.400000000000006</v>
      </c>
      <c r="V331">
        <v>68.55</v>
      </c>
      <c r="W331">
        <v>72.66</v>
      </c>
      <c r="X331">
        <v>67.25</v>
      </c>
      <c r="Y331">
        <v>0.55300000000000005</v>
      </c>
    </row>
    <row r="332" spans="1:25" x14ac:dyDescent="0.35">
      <c r="A332" t="s">
        <v>353</v>
      </c>
      <c r="B332" t="s">
        <v>350</v>
      </c>
      <c r="C332" t="s">
        <v>587</v>
      </c>
      <c r="D332">
        <v>8.1999999999999993</v>
      </c>
      <c r="E332">
        <v>7.79</v>
      </c>
      <c r="F332">
        <v>7.93</v>
      </c>
      <c r="G332">
        <v>12.95</v>
      </c>
      <c r="H332">
        <v>13.24</v>
      </c>
      <c r="I332">
        <v>13.01</v>
      </c>
      <c r="J332">
        <v>4.1100000000000003</v>
      </c>
      <c r="K332">
        <v>2.74</v>
      </c>
      <c r="L332">
        <v>3.61</v>
      </c>
      <c r="M332">
        <v>88.1</v>
      </c>
      <c r="N332">
        <v>53.9</v>
      </c>
      <c r="O332">
        <v>71</v>
      </c>
      <c r="P332">
        <v>70.89</v>
      </c>
      <c r="Q332">
        <v>74.930000000000007</v>
      </c>
      <c r="R332">
        <v>72.86</v>
      </c>
      <c r="S332">
        <v>25</v>
      </c>
      <c r="T332">
        <v>28.19</v>
      </c>
      <c r="U332">
        <v>73.66</v>
      </c>
      <c r="V332">
        <v>70.48</v>
      </c>
      <c r="W332">
        <v>71.319999999999993</v>
      </c>
      <c r="X332">
        <v>72.81</v>
      </c>
      <c r="Y332">
        <v>0.56200000000000006</v>
      </c>
    </row>
    <row r="333" spans="1:25" x14ac:dyDescent="0.35">
      <c r="A333" t="s">
        <v>354</v>
      </c>
      <c r="B333" t="s">
        <v>350</v>
      </c>
      <c r="C333" t="s">
        <v>587</v>
      </c>
      <c r="D333">
        <v>9.64</v>
      </c>
      <c r="E333">
        <v>8.92</v>
      </c>
      <c r="F333">
        <v>9.2200000000000006</v>
      </c>
      <c r="G333">
        <v>12.99</v>
      </c>
      <c r="H333">
        <v>13.17</v>
      </c>
      <c r="I333">
        <v>13</v>
      </c>
      <c r="J333">
        <v>4.97</v>
      </c>
      <c r="K333">
        <v>2.69</v>
      </c>
      <c r="L333">
        <v>4.12</v>
      </c>
      <c r="M333">
        <v>84.54</v>
      </c>
      <c r="N333">
        <v>52.58</v>
      </c>
      <c r="O333">
        <v>68.56</v>
      </c>
      <c r="P333">
        <v>70.819999999999993</v>
      </c>
      <c r="Q333">
        <v>74.849999999999994</v>
      </c>
      <c r="R333">
        <v>72.790000000000006</v>
      </c>
      <c r="S333">
        <v>52</v>
      </c>
      <c r="T333">
        <v>37.909999999999997</v>
      </c>
      <c r="U333">
        <v>76.17</v>
      </c>
      <c r="V333">
        <v>70.540000000000006</v>
      </c>
      <c r="W333">
        <v>72.36</v>
      </c>
      <c r="X333">
        <v>87.93</v>
      </c>
      <c r="Y333">
        <v>0.498</v>
      </c>
    </row>
    <row r="334" spans="1:25" x14ac:dyDescent="0.35">
      <c r="A334" t="s">
        <v>355</v>
      </c>
      <c r="B334" t="s">
        <v>350</v>
      </c>
      <c r="C334" t="s">
        <v>587</v>
      </c>
      <c r="D334">
        <v>9.1199999999999992</v>
      </c>
      <c r="E334">
        <v>8.6199999999999992</v>
      </c>
      <c r="F334">
        <v>8.92</v>
      </c>
      <c r="G334">
        <v>13.2</v>
      </c>
      <c r="H334">
        <v>12.36</v>
      </c>
      <c r="I334">
        <v>12.55</v>
      </c>
      <c r="J334">
        <v>2.73</v>
      </c>
      <c r="K334">
        <v>7.98</v>
      </c>
      <c r="L334">
        <v>4.71</v>
      </c>
      <c r="M334">
        <v>84.87</v>
      </c>
      <c r="N334">
        <v>55.61</v>
      </c>
      <c r="O334">
        <v>70.240000000000009</v>
      </c>
      <c r="P334">
        <v>71.430000000000007</v>
      </c>
      <c r="Q334">
        <v>75.989999999999995</v>
      </c>
      <c r="R334">
        <v>73.650000000000006</v>
      </c>
      <c r="S334">
        <v>36</v>
      </c>
      <c r="T334">
        <v>42.32</v>
      </c>
      <c r="U334">
        <v>77.06</v>
      </c>
      <c r="V334">
        <v>67.78</v>
      </c>
      <c r="W334">
        <v>72.31</v>
      </c>
      <c r="X334">
        <v>87.49</v>
      </c>
      <c r="Y334">
        <v>0.52700000000000002</v>
      </c>
    </row>
    <row r="335" spans="1:25" x14ac:dyDescent="0.35">
      <c r="A335" t="s">
        <v>356</v>
      </c>
      <c r="B335" t="s">
        <v>350</v>
      </c>
      <c r="C335" t="s">
        <v>587</v>
      </c>
      <c r="D335">
        <v>8.61</v>
      </c>
      <c r="E335">
        <v>7.89</v>
      </c>
      <c r="F335">
        <v>8.18</v>
      </c>
      <c r="G335">
        <v>12.46</v>
      </c>
      <c r="H335">
        <v>12.17</v>
      </c>
      <c r="I335">
        <v>12.17</v>
      </c>
      <c r="J335">
        <v>2.81</v>
      </c>
      <c r="K335">
        <v>8.86</v>
      </c>
      <c r="L335">
        <v>4.95</v>
      </c>
      <c r="M335">
        <v>85.39</v>
      </c>
      <c r="N335">
        <v>52.27</v>
      </c>
      <c r="O335">
        <v>68.83</v>
      </c>
      <c r="P335">
        <v>71.900000000000006</v>
      </c>
      <c r="Q335">
        <v>76.900000000000006</v>
      </c>
      <c r="R335">
        <v>74.37</v>
      </c>
      <c r="S335">
        <v>20</v>
      </c>
      <c r="T335">
        <v>21.47</v>
      </c>
      <c r="U335">
        <v>73.83</v>
      </c>
      <c r="V335">
        <v>67.930000000000007</v>
      </c>
      <c r="W335">
        <v>69.849999999999994</v>
      </c>
      <c r="X335">
        <v>63.48</v>
      </c>
      <c r="Y335">
        <v>0.51800000000000002</v>
      </c>
    </row>
    <row r="336" spans="1:25" x14ac:dyDescent="0.35">
      <c r="A336" t="s">
        <v>357</v>
      </c>
      <c r="B336" t="s">
        <v>350</v>
      </c>
      <c r="C336" t="s">
        <v>587</v>
      </c>
      <c r="D336">
        <v>9.0299999999999994</v>
      </c>
      <c r="E336">
        <v>8.42</v>
      </c>
      <c r="F336">
        <v>8.82</v>
      </c>
      <c r="G336">
        <v>12.22</v>
      </c>
      <c r="H336">
        <v>12.55</v>
      </c>
      <c r="I336">
        <v>12.53</v>
      </c>
      <c r="J336">
        <v>2.09</v>
      </c>
      <c r="K336">
        <v>5.24</v>
      </c>
      <c r="L336">
        <v>3.17</v>
      </c>
      <c r="M336">
        <v>87.99</v>
      </c>
      <c r="N336">
        <v>53.78</v>
      </c>
      <c r="O336">
        <v>70.884999999999991</v>
      </c>
      <c r="P336">
        <v>71.39</v>
      </c>
      <c r="Q336">
        <v>75.81</v>
      </c>
      <c r="R336">
        <v>73.59</v>
      </c>
      <c r="S336">
        <v>33.33</v>
      </c>
      <c r="T336">
        <v>27.98</v>
      </c>
      <c r="U336">
        <v>75.650000000000006</v>
      </c>
      <c r="V336">
        <v>69.599999999999994</v>
      </c>
      <c r="W336">
        <v>72.25</v>
      </c>
      <c r="X336">
        <v>79.459999999999994</v>
      </c>
      <c r="Y336">
        <v>0.50900000000000001</v>
      </c>
    </row>
    <row r="337" spans="1:25" x14ac:dyDescent="0.35">
      <c r="A337" t="s">
        <v>358</v>
      </c>
      <c r="B337" t="s">
        <v>350</v>
      </c>
      <c r="C337" t="s">
        <v>587</v>
      </c>
      <c r="D337">
        <v>8.44</v>
      </c>
      <c r="E337">
        <v>7.64</v>
      </c>
      <c r="F337">
        <v>8.01</v>
      </c>
      <c r="G337">
        <v>11.92</v>
      </c>
      <c r="H337">
        <v>12.36</v>
      </c>
      <c r="I337">
        <v>12.04</v>
      </c>
      <c r="J337">
        <v>2.61</v>
      </c>
      <c r="K337">
        <v>5.31</v>
      </c>
      <c r="L337">
        <v>3.47</v>
      </c>
      <c r="M337">
        <v>89.33</v>
      </c>
      <c r="N337">
        <v>48.06</v>
      </c>
      <c r="O337">
        <v>68.694999999999993</v>
      </c>
      <c r="P337">
        <v>71.19</v>
      </c>
      <c r="Q337">
        <v>75.489999999999995</v>
      </c>
      <c r="R337">
        <v>73.290000000000006</v>
      </c>
      <c r="S337">
        <v>12</v>
      </c>
      <c r="T337">
        <v>28.02</v>
      </c>
      <c r="U337">
        <v>73.53</v>
      </c>
      <c r="V337">
        <v>65.81</v>
      </c>
      <c r="W337">
        <v>69.05</v>
      </c>
      <c r="X337">
        <v>64.150000000000006</v>
      </c>
      <c r="Y337">
        <v>0.624</v>
      </c>
    </row>
    <row r="338" spans="1:25" x14ac:dyDescent="0.35">
      <c r="A338" t="s">
        <v>359</v>
      </c>
      <c r="B338" t="s">
        <v>350</v>
      </c>
      <c r="C338" t="s">
        <v>587</v>
      </c>
      <c r="D338">
        <v>9.0299999999999994</v>
      </c>
      <c r="E338">
        <v>8.93</v>
      </c>
      <c r="F338">
        <v>8.9499999999999993</v>
      </c>
      <c r="G338">
        <v>12.79</v>
      </c>
      <c r="H338">
        <v>13.16</v>
      </c>
      <c r="I338">
        <v>12.99</v>
      </c>
      <c r="J338">
        <v>3.62</v>
      </c>
      <c r="K338">
        <v>7.32</v>
      </c>
      <c r="L338">
        <v>4.88</v>
      </c>
      <c r="M338">
        <v>85.96</v>
      </c>
      <c r="N338">
        <v>47.82</v>
      </c>
      <c r="O338">
        <v>66.89</v>
      </c>
      <c r="P338">
        <v>71.75</v>
      </c>
      <c r="Q338">
        <v>76.66</v>
      </c>
      <c r="R338">
        <v>74.14</v>
      </c>
      <c r="S338">
        <v>8</v>
      </c>
      <c r="T338">
        <v>29.97</v>
      </c>
      <c r="U338">
        <v>74.760000000000005</v>
      </c>
      <c r="V338">
        <v>64.89</v>
      </c>
      <c r="W338">
        <v>70.7</v>
      </c>
      <c r="X338">
        <v>56.99</v>
      </c>
      <c r="Y338">
        <v>0.58399999999999996</v>
      </c>
    </row>
    <row r="339" spans="1:25" x14ac:dyDescent="0.35">
      <c r="A339" t="s">
        <v>360</v>
      </c>
      <c r="B339" t="s">
        <v>350</v>
      </c>
      <c r="C339" t="s">
        <v>587</v>
      </c>
      <c r="D339">
        <v>8.6300000000000008</v>
      </c>
      <c r="E339">
        <v>8.2799999999999994</v>
      </c>
      <c r="F339">
        <v>8.42</v>
      </c>
      <c r="G339">
        <v>12.49</v>
      </c>
      <c r="H339">
        <v>12.97</v>
      </c>
      <c r="I339">
        <v>12.52</v>
      </c>
      <c r="J339">
        <v>1.37</v>
      </c>
      <c r="K339">
        <v>3.15</v>
      </c>
      <c r="L339">
        <v>1.99</v>
      </c>
      <c r="M339">
        <v>90.03</v>
      </c>
      <c r="N339">
        <v>53.13</v>
      </c>
      <c r="O339">
        <v>71.58</v>
      </c>
      <c r="P339">
        <v>71.16</v>
      </c>
      <c r="Q339">
        <v>75.349999999999994</v>
      </c>
      <c r="R339">
        <v>73.239999999999995</v>
      </c>
      <c r="S339">
        <v>24</v>
      </c>
      <c r="T339">
        <v>22.75</v>
      </c>
      <c r="U339">
        <v>73.81</v>
      </c>
      <c r="V339">
        <v>68.09</v>
      </c>
      <c r="W339">
        <v>70.27</v>
      </c>
      <c r="X339">
        <v>68.989999999999995</v>
      </c>
      <c r="Y339">
        <v>0.5</v>
      </c>
    </row>
    <row r="340" spans="1:25" x14ac:dyDescent="0.35">
      <c r="A340" t="s">
        <v>361</v>
      </c>
      <c r="B340" t="s">
        <v>350</v>
      </c>
      <c r="C340" t="s">
        <v>587</v>
      </c>
      <c r="D340">
        <v>9.43</v>
      </c>
      <c r="E340">
        <v>9.2799999999999994</v>
      </c>
      <c r="F340">
        <v>9.3699999999999992</v>
      </c>
      <c r="G340">
        <v>11.92</v>
      </c>
      <c r="H340">
        <v>12.74</v>
      </c>
      <c r="I340">
        <v>12.1</v>
      </c>
      <c r="J340">
        <v>2.36</v>
      </c>
      <c r="K340">
        <v>4.6900000000000004</v>
      </c>
      <c r="L340">
        <v>3.12</v>
      </c>
      <c r="M340">
        <v>87.72</v>
      </c>
      <c r="N340">
        <v>47.35</v>
      </c>
      <c r="O340">
        <v>67.534999999999997</v>
      </c>
      <c r="P340">
        <v>71.38</v>
      </c>
      <c r="Q340">
        <v>75.83</v>
      </c>
      <c r="R340">
        <v>73.58</v>
      </c>
      <c r="S340">
        <v>40</v>
      </c>
      <c r="T340">
        <v>45.67</v>
      </c>
      <c r="U340">
        <v>76.099999999999994</v>
      </c>
      <c r="V340">
        <v>70.319999999999993</v>
      </c>
      <c r="W340">
        <v>72.73</v>
      </c>
      <c r="X340">
        <v>88.74</v>
      </c>
      <c r="Y340">
        <v>0.57399999999999995</v>
      </c>
    </row>
    <row r="341" spans="1:25" x14ac:dyDescent="0.35">
      <c r="A341" t="s">
        <v>362</v>
      </c>
      <c r="B341" t="s">
        <v>350</v>
      </c>
      <c r="C341" t="s">
        <v>587</v>
      </c>
      <c r="D341">
        <v>9.93</v>
      </c>
      <c r="E341">
        <v>9.39</v>
      </c>
      <c r="F341">
        <v>9.5399999999999991</v>
      </c>
      <c r="G341">
        <v>13.18</v>
      </c>
      <c r="H341">
        <v>12.41</v>
      </c>
      <c r="I341">
        <v>12.88</v>
      </c>
      <c r="J341">
        <v>3.71</v>
      </c>
      <c r="K341">
        <v>2.65</v>
      </c>
      <c r="L341">
        <v>3.26</v>
      </c>
      <c r="M341">
        <v>87.71</v>
      </c>
      <c r="N341">
        <v>68.91</v>
      </c>
      <c r="O341">
        <v>78.31</v>
      </c>
      <c r="P341">
        <v>70.25</v>
      </c>
      <c r="Q341">
        <v>74.260000000000005</v>
      </c>
      <c r="R341">
        <v>72.209999999999994</v>
      </c>
      <c r="S341">
        <v>30.43</v>
      </c>
      <c r="T341">
        <v>43.78</v>
      </c>
      <c r="U341">
        <v>77.84</v>
      </c>
      <c r="V341">
        <v>69.66</v>
      </c>
      <c r="W341">
        <v>73.260000000000005</v>
      </c>
      <c r="X341">
        <v>84.42</v>
      </c>
      <c r="Y341">
        <v>0.47099999999999997</v>
      </c>
    </row>
    <row r="342" spans="1:25" x14ac:dyDescent="0.35">
      <c r="A342" t="s">
        <v>363</v>
      </c>
      <c r="B342" t="s">
        <v>350</v>
      </c>
      <c r="C342" t="s">
        <v>587</v>
      </c>
      <c r="D342">
        <v>8.49</v>
      </c>
      <c r="E342">
        <v>7.82</v>
      </c>
      <c r="F342">
        <v>7.94</v>
      </c>
      <c r="G342">
        <v>12.14</v>
      </c>
      <c r="H342">
        <v>12.04</v>
      </c>
      <c r="I342">
        <v>12.05</v>
      </c>
      <c r="J342">
        <v>2.4700000000000002</v>
      </c>
      <c r="K342">
        <v>3.91</v>
      </c>
      <c r="L342">
        <v>2.9</v>
      </c>
      <c r="M342">
        <v>82.49</v>
      </c>
      <c r="N342">
        <v>37.92</v>
      </c>
      <c r="O342">
        <v>60.204999999999998</v>
      </c>
      <c r="P342">
        <v>71.290000000000006</v>
      </c>
      <c r="Q342">
        <v>75.7</v>
      </c>
      <c r="R342">
        <v>73.44</v>
      </c>
      <c r="S342">
        <v>17.39</v>
      </c>
      <c r="T342">
        <v>29.38</v>
      </c>
      <c r="U342">
        <v>75.209999999999994</v>
      </c>
      <c r="V342">
        <v>63.7</v>
      </c>
      <c r="W342">
        <v>70.03</v>
      </c>
      <c r="X342">
        <v>68.81</v>
      </c>
      <c r="Y342">
        <v>0.61899999999999999</v>
      </c>
    </row>
    <row r="343" spans="1:25" x14ac:dyDescent="0.35">
      <c r="A343" t="s">
        <v>364</v>
      </c>
      <c r="B343" t="s">
        <v>350</v>
      </c>
      <c r="C343" t="s">
        <v>587</v>
      </c>
      <c r="D343">
        <v>11.85</v>
      </c>
      <c r="E343">
        <v>11.56</v>
      </c>
      <c r="F343">
        <v>11.66</v>
      </c>
      <c r="G343">
        <v>15.13</v>
      </c>
      <c r="H343">
        <v>15.05</v>
      </c>
      <c r="I343">
        <v>15.13</v>
      </c>
      <c r="J343">
        <v>5.8</v>
      </c>
      <c r="K343">
        <v>3.73</v>
      </c>
      <c r="L343">
        <v>5.0199999999999996</v>
      </c>
      <c r="M343">
        <v>82.15</v>
      </c>
      <c r="N343">
        <v>49.37</v>
      </c>
      <c r="O343">
        <v>65.760000000000005</v>
      </c>
      <c r="P343">
        <v>71.97</v>
      </c>
      <c r="Q343">
        <v>77.040000000000006</v>
      </c>
      <c r="R343">
        <v>74.489999999999995</v>
      </c>
      <c r="S343">
        <v>16.670000000000002</v>
      </c>
      <c r="T343">
        <v>31.56</v>
      </c>
      <c r="U343">
        <v>85.39</v>
      </c>
      <c r="V343">
        <v>81.709999999999994</v>
      </c>
      <c r="W343">
        <v>82.2</v>
      </c>
      <c r="X343">
        <v>69.55</v>
      </c>
      <c r="Y343">
        <v>0.42</v>
      </c>
    </row>
    <row r="344" spans="1:25" x14ac:dyDescent="0.35">
      <c r="A344" t="s">
        <v>366</v>
      </c>
      <c r="B344" t="s">
        <v>350</v>
      </c>
      <c r="C344" t="s">
        <v>587</v>
      </c>
      <c r="D344">
        <v>8.3800000000000008</v>
      </c>
      <c r="E344">
        <v>7.47</v>
      </c>
      <c r="F344">
        <v>7.94</v>
      </c>
      <c r="G344">
        <v>12.64</v>
      </c>
      <c r="H344">
        <v>12.42</v>
      </c>
      <c r="I344">
        <v>12.43</v>
      </c>
      <c r="J344">
        <v>3.54</v>
      </c>
      <c r="K344">
        <v>3.26</v>
      </c>
      <c r="L344">
        <v>3.43</v>
      </c>
      <c r="M344">
        <v>88.96</v>
      </c>
      <c r="N344">
        <v>56.4</v>
      </c>
      <c r="O344">
        <v>72.679999999999993</v>
      </c>
      <c r="P344">
        <v>72.069999999999993</v>
      </c>
      <c r="Q344">
        <v>77.34</v>
      </c>
      <c r="R344">
        <v>74.64</v>
      </c>
      <c r="S344">
        <v>34.29</v>
      </c>
      <c r="T344">
        <v>28.35</v>
      </c>
      <c r="U344">
        <v>76.180000000000007</v>
      </c>
      <c r="V344">
        <v>66.87</v>
      </c>
      <c r="W344">
        <v>71.430000000000007</v>
      </c>
      <c r="X344">
        <v>76.98</v>
      </c>
      <c r="Y344">
        <v>0.47299999999999998</v>
      </c>
    </row>
    <row r="345" spans="1:25" x14ac:dyDescent="0.35">
      <c r="A345" t="s">
        <v>367</v>
      </c>
      <c r="B345" t="s">
        <v>350</v>
      </c>
      <c r="C345" t="s">
        <v>587</v>
      </c>
      <c r="D345">
        <v>8.1</v>
      </c>
      <c r="E345">
        <v>7.24</v>
      </c>
      <c r="F345">
        <v>7.56</v>
      </c>
      <c r="G345">
        <v>12.08</v>
      </c>
      <c r="H345">
        <v>12.27</v>
      </c>
      <c r="I345">
        <v>12.08</v>
      </c>
      <c r="J345">
        <v>6.16</v>
      </c>
      <c r="K345">
        <v>5.81</v>
      </c>
      <c r="L345">
        <v>6.05</v>
      </c>
      <c r="M345">
        <v>85.02</v>
      </c>
      <c r="N345">
        <v>45.25</v>
      </c>
      <c r="O345">
        <v>65.134999999999991</v>
      </c>
      <c r="P345">
        <v>71.58</v>
      </c>
      <c r="Q345">
        <v>76.290000000000006</v>
      </c>
      <c r="R345">
        <v>73.88</v>
      </c>
      <c r="S345">
        <v>28.57</v>
      </c>
      <c r="T345">
        <v>26.98</v>
      </c>
      <c r="U345">
        <v>75.319999999999993</v>
      </c>
      <c r="V345">
        <v>64.150000000000006</v>
      </c>
      <c r="W345">
        <v>70.61</v>
      </c>
      <c r="X345">
        <v>75.94</v>
      </c>
      <c r="Y345">
        <v>0.55100000000000005</v>
      </c>
    </row>
    <row r="346" spans="1:25" x14ac:dyDescent="0.35">
      <c r="A346" t="s">
        <v>368</v>
      </c>
      <c r="B346" t="s">
        <v>350</v>
      </c>
      <c r="C346" t="s">
        <v>587</v>
      </c>
      <c r="D346">
        <v>8.2899999999999991</v>
      </c>
      <c r="E346">
        <v>7.59</v>
      </c>
      <c r="F346">
        <v>7.95</v>
      </c>
      <c r="G346">
        <v>13.02</v>
      </c>
      <c r="H346">
        <v>13.28</v>
      </c>
      <c r="I346">
        <v>13.04</v>
      </c>
      <c r="J346">
        <v>2.5299999999999998</v>
      </c>
      <c r="K346">
        <v>2.99</v>
      </c>
      <c r="L346">
        <v>2.71</v>
      </c>
      <c r="M346">
        <v>86.42</v>
      </c>
      <c r="N346">
        <v>55.45</v>
      </c>
      <c r="O346">
        <v>70.935000000000002</v>
      </c>
      <c r="P346">
        <v>71.36</v>
      </c>
      <c r="Q346">
        <v>75.849999999999994</v>
      </c>
      <c r="R346">
        <v>73.55</v>
      </c>
      <c r="S346">
        <v>22.22</v>
      </c>
      <c r="T346">
        <v>34.299999999999997</v>
      </c>
      <c r="U346">
        <v>75.97</v>
      </c>
      <c r="V346">
        <v>70.290000000000006</v>
      </c>
      <c r="W346">
        <v>71.87</v>
      </c>
      <c r="X346">
        <v>76.41</v>
      </c>
      <c r="Y346">
        <v>0.52800000000000002</v>
      </c>
    </row>
    <row r="347" spans="1:25" x14ac:dyDescent="0.35">
      <c r="A347" t="s">
        <v>369</v>
      </c>
      <c r="B347" t="s">
        <v>350</v>
      </c>
      <c r="C347" t="s">
        <v>587</v>
      </c>
      <c r="D347">
        <v>8.19</v>
      </c>
      <c r="E347">
        <v>7.55</v>
      </c>
      <c r="F347">
        <v>7.92</v>
      </c>
      <c r="G347">
        <v>12.67</v>
      </c>
      <c r="H347">
        <v>12.56</v>
      </c>
      <c r="I347">
        <v>12.56</v>
      </c>
      <c r="J347">
        <v>3.42</v>
      </c>
      <c r="K347">
        <v>3.4</v>
      </c>
      <c r="L347">
        <v>3.41</v>
      </c>
      <c r="M347">
        <v>88.92</v>
      </c>
      <c r="N347">
        <v>57.66</v>
      </c>
      <c r="O347">
        <v>73.289999999999992</v>
      </c>
      <c r="P347">
        <v>70.56</v>
      </c>
      <c r="Q347">
        <v>74.58</v>
      </c>
      <c r="R347">
        <v>72.52</v>
      </c>
      <c r="S347">
        <v>22.86</v>
      </c>
      <c r="T347">
        <v>42.34</v>
      </c>
      <c r="U347">
        <v>72.94</v>
      </c>
      <c r="V347">
        <v>65.760000000000005</v>
      </c>
      <c r="W347">
        <v>68.84</v>
      </c>
      <c r="X347">
        <v>79.23</v>
      </c>
      <c r="Y347">
        <v>0.51100000000000001</v>
      </c>
    </row>
    <row r="348" spans="1:25" x14ac:dyDescent="0.35">
      <c r="A348" t="s">
        <v>370</v>
      </c>
      <c r="B348" t="s">
        <v>350</v>
      </c>
      <c r="C348" t="s">
        <v>587</v>
      </c>
      <c r="D348">
        <v>8.69</v>
      </c>
      <c r="E348">
        <v>7.76</v>
      </c>
      <c r="F348">
        <v>8.15</v>
      </c>
      <c r="G348">
        <v>12.19</v>
      </c>
      <c r="H348">
        <v>12.34</v>
      </c>
      <c r="I348">
        <v>12.34</v>
      </c>
      <c r="J348">
        <v>4.6900000000000004</v>
      </c>
      <c r="K348">
        <v>2.5499999999999998</v>
      </c>
      <c r="L348">
        <v>3.86</v>
      </c>
      <c r="M348">
        <v>83.28</v>
      </c>
      <c r="N348">
        <v>53.03</v>
      </c>
      <c r="O348">
        <v>68.155000000000001</v>
      </c>
      <c r="P348">
        <v>72.12</v>
      </c>
      <c r="Q348">
        <v>77.44</v>
      </c>
      <c r="R348">
        <v>74.72</v>
      </c>
      <c r="S348">
        <v>8</v>
      </c>
      <c r="T348">
        <v>49.37</v>
      </c>
      <c r="U348">
        <v>77.02</v>
      </c>
      <c r="V348">
        <v>65.77</v>
      </c>
      <c r="W348">
        <v>72.510000000000005</v>
      </c>
      <c r="X348">
        <v>65.08</v>
      </c>
      <c r="Y348">
        <v>0.57699999999999996</v>
      </c>
    </row>
    <row r="349" spans="1:25" x14ac:dyDescent="0.35">
      <c r="A349" t="s">
        <v>371</v>
      </c>
      <c r="B349" t="s">
        <v>350</v>
      </c>
      <c r="C349" t="s">
        <v>587</v>
      </c>
      <c r="D349">
        <v>8.36</v>
      </c>
      <c r="E349">
        <v>8.0299999999999994</v>
      </c>
      <c r="F349">
        <v>8.09</v>
      </c>
      <c r="G349">
        <v>12.44</v>
      </c>
      <c r="H349">
        <v>12.95</v>
      </c>
      <c r="I349">
        <v>12.48</v>
      </c>
      <c r="J349">
        <v>2.19</v>
      </c>
      <c r="K349">
        <v>2.0099999999999998</v>
      </c>
      <c r="L349">
        <v>2.11</v>
      </c>
      <c r="M349">
        <v>87.24</v>
      </c>
      <c r="N349">
        <v>64.319999999999993</v>
      </c>
      <c r="O349">
        <v>75.78</v>
      </c>
      <c r="P349">
        <v>70.849999999999994</v>
      </c>
      <c r="Q349">
        <v>74.88</v>
      </c>
      <c r="R349">
        <v>72.819999999999993</v>
      </c>
      <c r="S349">
        <v>17.239999999999998</v>
      </c>
      <c r="T349">
        <v>27.19</v>
      </c>
      <c r="U349">
        <v>75.069999999999993</v>
      </c>
      <c r="V349">
        <v>67.62</v>
      </c>
      <c r="W349">
        <v>71.209999999999994</v>
      </c>
      <c r="X349">
        <v>65.92</v>
      </c>
      <c r="Y349">
        <v>0.45900000000000002</v>
      </c>
    </row>
    <row r="350" spans="1:25" x14ac:dyDescent="0.35">
      <c r="A350" t="s">
        <v>372</v>
      </c>
      <c r="B350" t="s">
        <v>350</v>
      </c>
      <c r="C350" t="s">
        <v>587</v>
      </c>
      <c r="D350">
        <v>8.74</v>
      </c>
      <c r="E350">
        <v>8.11</v>
      </c>
      <c r="F350">
        <v>8.35</v>
      </c>
      <c r="G350">
        <v>12.48</v>
      </c>
      <c r="H350">
        <v>12.25</v>
      </c>
      <c r="I350">
        <v>12.31</v>
      </c>
      <c r="J350">
        <v>3.53</v>
      </c>
      <c r="K350">
        <v>2.76</v>
      </c>
      <c r="L350">
        <v>3.2</v>
      </c>
      <c r="M350">
        <v>85.5</v>
      </c>
      <c r="N350">
        <v>63.51</v>
      </c>
      <c r="O350">
        <v>74.504999999999995</v>
      </c>
      <c r="P350">
        <v>70.63</v>
      </c>
      <c r="Q350">
        <v>74.66</v>
      </c>
      <c r="R350">
        <v>72.599999999999994</v>
      </c>
      <c r="S350">
        <v>13.33</v>
      </c>
      <c r="T350">
        <v>48.35</v>
      </c>
      <c r="U350">
        <v>72.58</v>
      </c>
      <c r="V350">
        <v>69.81</v>
      </c>
      <c r="W350">
        <v>70.69</v>
      </c>
      <c r="X350">
        <v>72.39</v>
      </c>
      <c r="Y350">
        <v>0.39</v>
      </c>
    </row>
    <row r="351" spans="1:25" x14ac:dyDescent="0.35">
      <c r="A351" t="s">
        <v>373</v>
      </c>
      <c r="B351" t="s">
        <v>350</v>
      </c>
      <c r="C351" t="s">
        <v>587</v>
      </c>
      <c r="D351">
        <v>8.41</v>
      </c>
      <c r="E351">
        <v>7.52</v>
      </c>
      <c r="F351">
        <v>7.78</v>
      </c>
      <c r="G351">
        <v>13.21</v>
      </c>
      <c r="H351">
        <v>13.59</v>
      </c>
      <c r="I351">
        <v>13.21</v>
      </c>
      <c r="J351">
        <v>3.89</v>
      </c>
      <c r="K351">
        <v>3.51</v>
      </c>
      <c r="L351">
        <v>3.73</v>
      </c>
      <c r="M351">
        <v>84.75</v>
      </c>
      <c r="N351">
        <v>63.09</v>
      </c>
      <c r="O351">
        <v>73.92</v>
      </c>
      <c r="P351">
        <v>70.53</v>
      </c>
      <c r="Q351">
        <v>74.55</v>
      </c>
      <c r="R351">
        <v>72.489999999999995</v>
      </c>
      <c r="S351">
        <v>23.33</v>
      </c>
      <c r="T351">
        <v>30.3</v>
      </c>
      <c r="U351">
        <v>72.709999999999994</v>
      </c>
      <c r="V351">
        <v>66.739999999999995</v>
      </c>
      <c r="W351">
        <v>68.28</v>
      </c>
      <c r="X351">
        <v>71.44</v>
      </c>
      <c r="Y351">
        <v>0.46500000000000002</v>
      </c>
    </row>
    <row r="352" spans="1:25" x14ac:dyDescent="0.35">
      <c r="A352" t="s">
        <v>374</v>
      </c>
      <c r="B352" t="s">
        <v>350</v>
      </c>
      <c r="C352" t="s">
        <v>587</v>
      </c>
      <c r="D352">
        <v>9.61</v>
      </c>
      <c r="E352">
        <v>8.82</v>
      </c>
      <c r="F352">
        <v>9.15</v>
      </c>
      <c r="G352">
        <v>12.88</v>
      </c>
      <c r="H352">
        <v>13.47</v>
      </c>
      <c r="I352">
        <v>12.92</v>
      </c>
      <c r="J352">
        <v>4.0999999999999996</v>
      </c>
      <c r="K352">
        <v>2.54</v>
      </c>
      <c r="L352">
        <v>3.44</v>
      </c>
      <c r="M352">
        <v>85.03</v>
      </c>
      <c r="N352">
        <v>63.08</v>
      </c>
      <c r="O352">
        <v>74.055000000000007</v>
      </c>
      <c r="P352">
        <v>72.150000000000006</v>
      </c>
      <c r="Q352">
        <v>77.489999999999995</v>
      </c>
      <c r="R352">
        <v>74.760000000000005</v>
      </c>
      <c r="S352">
        <v>26.67</v>
      </c>
      <c r="T352">
        <v>29.45</v>
      </c>
      <c r="U352">
        <v>79.37</v>
      </c>
      <c r="V352">
        <v>68.92</v>
      </c>
      <c r="W352">
        <v>74.41</v>
      </c>
      <c r="X352">
        <v>75.83</v>
      </c>
      <c r="Y352">
        <v>0.42099999999999999</v>
      </c>
    </row>
    <row r="353" spans="1:25" x14ac:dyDescent="0.35">
      <c r="A353" t="s">
        <v>375</v>
      </c>
      <c r="B353" t="s">
        <v>350</v>
      </c>
      <c r="C353" t="s">
        <v>587</v>
      </c>
      <c r="D353">
        <v>8.9</v>
      </c>
      <c r="E353">
        <v>8.02</v>
      </c>
      <c r="F353">
        <v>8.43</v>
      </c>
      <c r="G353">
        <v>12.74</v>
      </c>
      <c r="H353">
        <v>12.6</v>
      </c>
      <c r="I353">
        <v>12.61</v>
      </c>
      <c r="J353">
        <v>6.38</v>
      </c>
      <c r="K353">
        <v>6.36</v>
      </c>
      <c r="L353">
        <v>6.37</v>
      </c>
      <c r="M353">
        <v>87.02</v>
      </c>
      <c r="N353">
        <v>46.8</v>
      </c>
      <c r="O353">
        <v>66.91</v>
      </c>
      <c r="P353">
        <v>71.94</v>
      </c>
      <c r="Q353">
        <v>77.069999999999993</v>
      </c>
      <c r="R353">
        <v>74.44</v>
      </c>
      <c r="S353">
        <v>11.43</v>
      </c>
      <c r="T353">
        <v>31.26</v>
      </c>
      <c r="U353">
        <v>78.22</v>
      </c>
      <c r="V353">
        <v>67.14</v>
      </c>
      <c r="W353">
        <v>72.95</v>
      </c>
      <c r="X353">
        <v>64.510000000000005</v>
      </c>
      <c r="Y353">
        <v>0.53300000000000003</v>
      </c>
    </row>
    <row r="354" spans="1:25" x14ac:dyDescent="0.35">
      <c r="A354" t="s">
        <v>376</v>
      </c>
      <c r="B354" t="s">
        <v>350</v>
      </c>
      <c r="C354" t="s">
        <v>587</v>
      </c>
      <c r="D354">
        <v>8.91</v>
      </c>
      <c r="E354">
        <v>7.62</v>
      </c>
      <c r="F354">
        <v>8.1300000000000008</v>
      </c>
      <c r="G354">
        <v>13.09</v>
      </c>
      <c r="H354">
        <v>13.33</v>
      </c>
      <c r="I354">
        <v>13.09</v>
      </c>
      <c r="J354">
        <v>3.1</v>
      </c>
      <c r="K354">
        <v>2.15</v>
      </c>
      <c r="L354">
        <v>2.69</v>
      </c>
      <c r="M354">
        <v>86.86</v>
      </c>
      <c r="N354">
        <v>66.81</v>
      </c>
      <c r="O354">
        <v>76.835000000000008</v>
      </c>
      <c r="P354">
        <v>71.569999999999993</v>
      </c>
      <c r="Q354">
        <v>76.28</v>
      </c>
      <c r="R354">
        <v>73.87</v>
      </c>
      <c r="S354">
        <v>16</v>
      </c>
      <c r="T354">
        <v>37.33</v>
      </c>
      <c r="U354">
        <v>75.75</v>
      </c>
      <c r="V354">
        <v>70.41</v>
      </c>
      <c r="W354">
        <v>71.34</v>
      </c>
      <c r="X354">
        <v>68.83</v>
      </c>
      <c r="Y354">
        <v>0.52300000000000002</v>
      </c>
    </row>
    <row r="355" spans="1:25" x14ac:dyDescent="0.35">
      <c r="A355" t="s">
        <v>377</v>
      </c>
      <c r="B355" t="s">
        <v>350</v>
      </c>
      <c r="C355" t="s">
        <v>587</v>
      </c>
      <c r="D355">
        <v>11.14</v>
      </c>
      <c r="E355">
        <v>9.9700000000000006</v>
      </c>
      <c r="F355">
        <v>10.35</v>
      </c>
      <c r="G355">
        <v>13.97</v>
      </c>
      <c r="H355">
        <v>14.26</v>
      </c>
      <c r="I355">
        <v>14.01</v>
      </c>
      <c r="J355">
        <v>8.3000000000000007</v>
      </c>
      <c r="K355">
        <v>3.98</v>
      </c>
      <c r="L355">
        <v>6.56</v>
      </c>
      <c r="M355">
        <v>77.16</v>
      </c>
      <c r="N355">
        <v>50.93</v>
      </c>
      <c r="O355">
        <v>64.045000000000002</v>
      </c>
      <c r="P355">
        <v>72.41</v>
      </c>
      <c r="Q355">
        <v>77.87</v>
      </c>
      <c r="R355">
        <v>75.069999999999993</v>
      </c>
      <c r="S355">
        <v>26.67</v>
      </c>
      <c r="T355">
        <v>37.46</v>
      </c>
      <c r="U355">
        <v>82.45</v>
      </c>
      <c r="V355">
        <v>77.86</v>
      </c>
      <c r="W355">
        <v>79.05</v>
      </c>
      <c r="X355">
        <v>80.900000000000006</v>
      </c>
      <c r="Y355">
        <v>0.28399999999999997</v>
      </c>
    </row>
    <row r="356" spans="1:25" x14ac:dyDescent="0.35">
      <c r="A356" t="s">
        <v>378</v>
      </c>
      <c r="B356" t="s">
        <v>350</v>
      </c>
      <c r="C356" t="s">
        <v>587</v>
      </c>
      <c r="D356">
        <v>11.44</v>
      </c>
      <c r="E356">
        <v>10.8</v>
      </c>
      <c r="F356">
        <v>11</v>
      </c>
      <c r="G356">
        <v>15.74</v>
      </c>
      <c r="H356">
        <v>14.86</v>
      </c>
      <c r="I356">
        <v>14.86</v>
      </c>
      <c r="J356">
        <v>4.08</v>
      </c>
      <c r="K356">
        <v>6.25</v>
      </c>
      <c r="L356">
        <v>4.93</v>
      </c>
      <c r="M356">
        <v>81.87</v>
      </c>
      <c r="N356">
        <v>52.65</v>
      </c>
      <c r="O356">
        <v>67.260000000000005</v>
      </c>
      <c r="P356">
        <v>72.44</v>
      </c>
      <c r="Q356">
        <v>77.92</v>
      </c>
      <c r="R356">
        <v>75.11</v>
      </c>
      <c r="S356">
        <v>26.67</v>
      </c>
      <c r="T356">
        <v>32.36</v>
      </c>
      <c r="U356">
        <v>85.55</v>
      </c>
      <c r="V356">
        <v>79.569999999999993</v>
      </c>
      <c r="W356">
        <v>80.510000000000005</v>
      </c>
      <c r="X356">
        <v>76.8</v>
      </c>
      <c r="Y356">
        <v>0.17299999999999999</v>
      </c>
    </row>
    <row r="357" spans="1:25" x14ac:dyDescent="0.35">
      <c r="A357" t="s">
        <v>380</v>
      </c>
      <c r="B357" t="s">
        <v>379</v>
      </c>
      <c r="C357" t="s">
        <v>587</v>
      </c>
      <c r="D357">
        <v>9.18</v>
      </c>
      <c r="E357">
        <v>8.76</v>
      </c>
      <c r="F357">
        <v>8.92</v>
      </c>
      <c r="G357">
        <v>13.21</v>
      </c>
      <c r="H357">
        <v>13.62</v>
      </c>
      <c r="I357">
        <v>13.38</v>
      </c>
      <c r="J357">
        <v>3.23</v>
      </c>
      <c r="K357">
        <v>7.27</v>
      </c>
      <c r="L357">
        <v>4.53</v>
      </c>
      <c r="M357">
        <v>89.43</v>
      </c>
      <c r="N357">
        <v>46.22</v>
      </c>
      <c r="O357">
        <v>67.825000000000003</v>
      </c>
      <c r="P357">
        <v>71.72</v>
      </c>
      <c r="Q357">
        <v>76.599999999999994</v>
      </c>
      <c r="R357">
        <v>74.099999999999994</v>
      </c>
      <c r="S357">
        <v>20</v>
      </c>
      <c r="T357">
        <v>24.13</v>
      </c>
      <c r="U357">
        <v>79.56</v>
      </c>
      <c r="V357">
        <v>58.66</v>
      </c>
      <c r="W357">
        <v>74.7</v>
      </c>
      <c r="X357">
        <v>65.98</v>
      </c>
      <c r="Y357">
        <v>0.52700000000000002</v>
      </c>
    </row>
    <row r="358" spans="1:25" x14ac:dyDescent="0.35">
      <c r="A358" t="s">
        <v>381</v>
      </c>
      <c r="B358" t="s">
        <v>379</v>
      </c>
      <c r="C358" t="s">
        <v>587</v>
      </c>
      <c r="D358">
        <v>9.42</v>
      </c>
      <c r="E358">
        <v>8.5</v>
      </c>
      <c r="F358">
        <v>8.89</v>
      </c>
      <c r="G358">
        <v>13.36</v>
      </c>
      <c r="H358">
        <v>13.32</v>
      </c>
      <c r="I358">
        <v>13.36</v>
      </c>
      <c r="J358">
        <v>7.18</v>
      </c>
      <c r="K358">
        <v>2.85</v>
      </c>
      <c r="L358">
        <v>5.58</v>
      </c>
      <c r="M358">
        <v>83.77</v>
      </c>
      <c r="N358">
        <v>55.1</v>
      </c>
      <c r="O358">
        <v>69.435000000000002</v>
      </c>
      <c r="P358">
        <v>71.61</v>
      </c>
      <c r="Q358">
        <v>76.37</v>
      </c>
      <c r="R358">
        <v>73.930000000000007</v>
      </c>
      <c r="S358">
        <v>20</v>
      </c>
      <c r="T358">
        <v>27.19</v>
      </c>
      <c r="U358">
        <v>79.33</v>
      </c>
      <c r="V358">
        <v>68.13</v>
      </c>
      <c r="W358">
        <v>74.5</v>
      </c>
      <c r="X358">
        <v>70.260000000000005</v>
      </c>
      <c r="Y358">
        <v>0.47699999999999998</v>
      </c>
    </row>
    <row r="359" spans="1:25" x14ac:dyDescent="0.35">
      <c r="A359" t="s">
        <v>382</v>
      </c>
      <c r="B359" t="s">
        <v>379</v>
      </c>
      <c r="C359" t="s">
        <v>587</v>
      </c>
      <c r="D359">
        <v>9.6199999999999992</v>
      </c>
      <c r="E359">
        <v>8.83</v>
      </c>
      <c r="F359">
        <v>9.27</v>
      </c>
      <c r="G359">
        <v>13.59</v>
      </c>
      <c r="H359">
        <v>13.97</v>
      </c>
      <c r="I359">
        <v>13.65</v>
      </c>
      <c r="J359">
        <v>3.8</v>
      </c>
      <c r="K359">
        <v>4.75</v>
      </c>
      <c r="L359">
        <v>4.1100000000000003</v>
      </c>
      <c r="M359">
        <v>83.85</v>
      </c>
      <c r="N359">
        <v>44.86</v>
      </c>
      <c r="O359">
        <v>64.35499999999999</v>
      </c>
      <c r="P359">
        <v>71.87</v>
      </c>
      <c r="Q359">
        <v>76.92</v>
      </c>
      <c r="R359">
        <v>74.33</v>
      </c>
      <c r="S359">
        <v>26.67</v>
      </c>
      <c r="T359">
        <v>24.38</v>
      </c>
      <c r="U359">
        <v>80.87</v>
      </c>
      <c r="V359">
        <v>65.67</v>
      </c>
      <c r="W359">
        <v>75.91</v>
      </c>
      <c r="X359">
        <v>72.290000000000006</v>
      </c>
      <c r="Y359">
        <v>0.439</v>
      </c>
    </row>
    <row r="360" spans="1:25" x14ac:dyDescent="0.35">
      <c r="A360" t="s">
        <v>383</v>
      </c>
      <c r="B360" t="s">
        <v>379</v>
      </c>
      <c r="C360" t="s">
        <v>587</v>
      </c>
      <c r="D360">
        <v>9.92</v>
      </c>
      <c r="E360">
        <v>9.01</v>
      </c>
      <c r="F360">
        <v>9.4700000000000006</v>
      </c>
      <c r="G360">
        <v>12.8</v>
      </c>
      <c r="H360">
        <v>13.33</v>
      </c>
      <c r="I360">
        <v>13.02</v>
      </c>
      <c r="J360">
        <v>5.0599999999999996</v>
      </c>
      <c r="K360">
        <v>7.39</v>
      </c>
      <c r="L360">
        <v>5.76</v>
      </c>
      <c r="M360">
        <v>86.25</v>
      </c>
      <c r="N360">
        <v>43.71</v>
      </c>
      <c r="O360">
        <v>64.98</v>
      </c>
      <c r="P360">
        <v>72.010000000000005</v>
      </c>
      <c r="Q360">
        <v>77.209999999999994</v>
      </c>
      <c r="R360">
        <v>74.55</v>
      </c>
      <c r="S360">
        <v>15</v>
      </c>
      <c r="T360">
        <v>18.71</v>
      </c>
      <c r="U360">
        <v>80.55</v>
      </c>
      <c r="V360">
        <v>63.32</v>
      </c>
      <c r="W360">
        <v>75.53</v>
      </c>
      <c r="X360">
        <v>55.87</v>
      </c>
      <c r="Y360">
        <v>0.51700000000000002</v>
      </c>
    </row>
    <row r="361" spans="1:25" x14ac:dyDescent="0.35">
      <c r="A361" t="s">
        <v>384</v>
      </c>
      <c r="B361" t="s">
        <v>379</v>
      </c>
      <c r="C361" t="s">
        <v>587</v>
      </c>
      <c r="D361">
        <v>9.94</v>
      </c>
      <c r="E361">
        <v>9.31</v>
      </c>
      <c r="F361">
        <v>9.57</v>
      </c>
      <c r="G361">
        <v>13.19</v>
      </c>
      <c r="H361">
        <v>14.26</v>
      </c>
      <c r="I361">
        <v>13.37</v>
      </c>
      <c r="J361">
        <v>4.34</v>
      </c>
      <c r="K361">
        <v>6.89</v>
      </c>
      <c r="L361">
        <v>5.15</v>
      </c>
      <c r="M361">
        <v>86.02</v>
      </c>
      <c r="N361">
        <v>46.32</v>
      </c>
      <c r="O361">
        <v>66.17</v>
      </c>
      <c r="P361">
        <v>71.430000000000007</v>
      </c>
      <c r="Q361">
        <v>75.989999999999995</v>
      </c>
      <c r="R361">
        <v>73.66</v>
      </c>
      <c r="S361">
        <v>20</v>
      </c>
      <c r="T361">
        <v>18.190000000000001</v>
      </c>
      <c r="U361">
        <v>81.17</v>
      </c>
      <c r="V361">
        <v>71.900000000000006</v>
      </c>
      <c r="W361">
        <v>76.66</v>
      </c>
      <c r="X361">
        <v>60.9</v>
      </c>
      <c r="Y361">
        <v>0.42099999999999999</v>
      </c>
    </row>
    <row r="362" spans="1:25" x14ac:dyDescent="0.35">
      <c r="A362" t="s">
        <v>385</v>
      </c>
      <c r="B362" t="s">
        <v>379</v>
      </c>
      <c r="C362" t="s">
        <v>587</v>
      </c>
      <c r="D362">
        <v>8.86</v>
      </c>
      <c r="E362">
        <v>8.27</v>
      </c>
      <c r="F362">
        <v>8.57</v>
      </c>
      <c r="G362">
        <v>12.92</v>
      </c>
      <c r="H362">
        <v>12.76</v>
      </c>
      <c r="I362">
        <v>12.87</v>
      </c>
      <c r="J362">
        <v>2.14</v>
      </c>
      <c r="K362">
        <v>1.91</v>
      </c>
      <c r="L362">
        <v>2.0499999999999998</v>
      </c>
      <c r="M362">
        <v>88.5</v>
      </c>
      <c r="N362">
        <v>56.79</v>
      </c>
      <c r="O362">
        <v>72.644999999999996</v>
      </c>
      <c r="P362">
        <v>71.83</v>
      </c>
      <c r="Q362">
        <v>76.83</v>
      </c>
      <c r="R362">
        <v>74.27</v>
      </c>
      <c r="S362">
        <v>4</v>
      </c>
      <c r="T362">
        <v>25.73</v>
      </c>
      <c r="U362">
        <v>78.31</v>
      </c>
      <c r="V362">
        <v>68.31</v>
      </c>
      <c r="W362">
        <v>73.900000000000006</v>
      </c>
      <c r="X362">
        <v>50.52</v>
      </c>
      <c r="Y362">
        <v>0.47399999999999998</v>
      </c>
    </row>
    <row r="363" spans="1:25" x14ac:dyDescent="0.35">
      <c r="A363" t="s">
        <v>386</v>
      </c>
      <c r="B363" t="s">
        <v>379</v>
      </c>
      <c r="C363" t="s">
        <v>587</v>
      </c>
      <c r="D363">
        <v>8.9600000000000009</v>
      </c>
      <c r="E363">
        <v>8.4600000000000009</v>
      </c>
      <c r="F363">
        <v>8.5</v>
      </c>
      <c r="G363">
        <v>13.2</v>
      </c>
      <c r="H363">
        <v>12.77</v>
      </c>
      <c r="I363">
        <v>12.78</v>
      </c>
      <c r="J363">
        <v>2.65</v>
      </c>
      <c r="K363">
        <v>2.2999999999999998</v>
      </c>
      <c r="L363">
        <v>2.5099999999999998</v>
      </c>
      <c r="M363">
        <v>81.17</v>
      </c>
      <c r="N363">
        <v>57.98</v>
      </c>
      <c r="O363">
        <v>69.575000000000003</v>
      </c>
      <c r="P363">
        <v>71.42</v>
      </c>
      <c r="Q363">
        <v>75.97</v>
      </c>
      <c r="R363">
        <v>73.64</v>
      </c>
      <c r="S363">
        <v>40</v>
      </c>
      <c r="T363">
        <v>28.39</v>
      </c>
      <c r="U363">
        <v>76.06</v>
      </c>
      <c r="V363">
        <v>63.59</v>
      </c>
      <c r="W363">
        <v>70.349999999999994</v>
      </c>
      <c r="X363">
        <v>82.2</v>
      </c>
      <c r="Y363">
        <v>0.33900000000000002</v>
      </c>
    </row>
    <row r="364" spans="1:25" x14ac:dyDescent="0.35">
      <c r="A364" t="s">
        <v>387</v>
      </c>
      <c r="B364" t="s">
        <v>379</v>
      </c>
      <c r="C364" t="s">
        <v>587</v>
      </c>
      <c r="D364">
        <v>11.44</v>
      </c>
      <c r="E364">
        <v>10.77</v>
      </c>
      <c r="F364">
        <v>10.99</v>
      </c>
      <c r="G364">
        <v>14.25</v>
      </c>
      <c r="H364">
        <v>14.44</v>
      </c>
      <c r="I364">
        <v>14.25</v>
      </c>
      <c r="J364">
        <v>5.99</v>
      </c>
      <c r="K364">
        <v>6.59</v>
      </c>
      <c r="L364">
        <v>6.22</v>
      </c>
      <c r="M364">
        <v>80.33</v>
      </c>
      <c r="N364">
        <v>52.71</v>
      </c>
      <c r="O364">
        <v>66.52</v>
      </c>
      <c r="P364">
        <v>73.87</v>
      </c>
      <c r="Q364">
        <v>78.819999999999993</v>
      </c>
      <c r="R364">
        <v>75.87</v>
      </c>
      <c r="S364">
        <v>26.67</v>
      </c>
      <c r="T364">
        <v>27.56</v>
      </c>
      <c r="U364">
        <v>87.14</v>
      </c>
      <c r="V364">
        <v>78.72</v>
      </c>
      <c r="W364">
        <v>82.24</v>
      </c>
      <c r="X364">
        <v>75.040000000000006</v>
      </c>
      <c r="Y364">
        <v>0.313</v>
      </c>
    </row>
    <row r="365" spans="1:25" x14ac:dyDescent="0.35">
      <c r="A365" t="s">
        <v>388</v>
      </c>
      <c r="B365" t="s">
        <v>379</v>
      </c>
      <c r="C365" t="s">
        <v>587</v>
      </c>
      <c r="D365">
        <v>11.38</v>
      </c>
      <c r="E365">
        <v>10.62</v>
      </c>
      <c r="F365">
        <v>10.95</v>
      </c>
      <c r="G365">
        <v>15.21</v>
      </c>
      <c r="H365">
        <v>15.76</v>
      </c>
      <c r="I365">
        <v>15.4</v>
      </c>
      <c r="J365">
        <v>5.01</v>
      </c>
      <c r="K365">
        <v>6.97</v>
      </c>
      <c r="L365">
        <v>5.75</v>
      </c>
      <c r="M365">
        <v>80.87</v>
      </c>
      <c r="N365">
        <v>49.7</v>
      </c>
      <c r="O365">
        <v>65.284999999999997</v>
      </c>
      <c r="P365">
        <v>73.52</v>
      </c>
      <c r="Q365">
        <v>78.39</v>
      </c>
      <c r="R365">
        <v>75.510000000000005</v>
      </c>
      <c r="S365">
        <v>8.89</v>
      </c>
      <c r="T365">
        <v>31.34</v>
      </c>
      <c r="U365">
        <v>87.01</v>
      </c>
      <c r="V365">
        <v>78.62</v>
      </c>
      <c r="W365">
        <v>82.81</v>
      </c>
      <c r="X365">
        <v>62.57</v>
      </c>
      <c r="Y365">
        <v>0.24299999999999999</v>
      </c>
    </row>
    <row r="366" spans="1:25" x14ac:dyDescent="0.35">
      <c r="A366" t="s">
        <v>389</v>
      </c>
      <c r="B366" t="s">
        <v>379</v>
      </c>
      <c r="C366" t="s">
        <v>587</v>
      </c>
      <c r="D366">
        <v>11.19</v>
      </c>
      <c r="E366">
        <v>10.93</v>
      </c>
      <c r="F366">
        <v>10.97</v>
      </c>
      <c r="G366">
        <v>13.8</v>
      </c>
      <c r="H366">
        <v>13.52</v>
      </c>
      <c r="I366">
        <v>13.73</v>
      </c>
      <c r="J366">
        <v>6.99</v>
      </c>
      <c r="K366">
        <v>7.18</v>
      </c>
      <c r="L366">
        <v>7.06</v>
      </c>
      <c r="M366">
        <v>84.11</v>
      </c>
      <c r="N366">
        <v>50.72</v>
      </c>
      <c r="O366">
        <v>67.414999999999992</v>
      </c>
      <c r="P366">
        <v>73.239999999999995</v>
      </c>
      <c r="Q366">
        <v>77.83</v>
      </c>
      <c r="R366">
        <v>75.03</v>
      </c>
      <c r="S366">
        <v>4</v>
      </c>
      <c r="T366">
        <v>17.8</v>
      </c>
      <c r="U366">
        <v>86.49</v>
      </c>
      <c r="V366">
        <v>76.41</v>
      </c>
      <c r="W366">
        <v>82.42</v>
      </c>
      <c r="X366">
        <v>42.51</v>
      </c>
      <c r="Y366">
        <v>0.313</v>
      </c>
    </row>
    <row r="367" spans="1:25" x14ac:dyDescent="0.35">
      <c r="A367" t="s">
        <v>391</v>
      </c>
      <c r="B367" t="s">
        <v>390</v>
      </c>
      <c r="C367" t="s">
        <v>587</v>
      </c>
      <c r="D367">
        <v>9.85</v>
      </c>
      <c r="E367">
        <v>9.0399999999999991</v>
      </c>
      <c r="F367">
        <v>9.6300000000000008</v>
      </c>
      <c r="G367">
        <v>13.23</v>
      </c>
      <c r="H367">
        <v>13.87</v>
      </c>
      <c r="I367">
        <v>13.35</v>
      </c>
      <c r="J367">
        <v>3.59</v>
      </c>
      <c r="K367">
        <v>2.2599999999999998</v>
      </c>
      <c r="L367">
        <v>3.1</v>
      </c>
      <c r="M367">
        <v>86.54</v>
      </c>
      <c r="N367">
        <v>57.83</v>
      </c>
      <c r="O367">
        <v>72.185000000000002</v>
      </c>
      <c r="P367">
        <v>71.97</v>
      </c>
      <c r="Q367">
        <v>75.459999999999994</v>
      </c>
      <c r="R367">
        <v>73.27</v>
      </c>
      <c r="S367">
        <v>25</v>
      </c>
      <c r="T367">
        <v>29.05</v>
      </c>
      <c r="U367">
        <v>78.92</v>
      </c>
      <c r="V367">
        <v>65.55</v>
      </c>
      <c r="W367">
        <v>73.900000000000006</v>
      </c>
      <c r="X367">
        <v>76.58</v>
      </c>
      <c r="Y367">
        <v>0.48</v>
      </c>
    </row>
    <row r="368" spans="1:25" x14ac:dyDescent="0.35">
      <c r="A368" t="s">
        <v>392</v>
      </c>
      <c r="B368" t="s">
        <v>390</v>
      </c>
      <c r="C368" t="s">
        <v>587</v>
      </c>
      <c r="D368">
        <v>9.7899999999999991</v>
      </c>
      <c r="E368">
        <v>8.9499999999999993</v>
      </c>
      <c r="F368">
        <v>9.23</v>
      </c>
      <c r="G368">
        <v>13.32</v>
      </c>
      <c r="H368">
        <v>13.24</v>
      </c>
      <c r="I368">
        <v>13.25</v>
      </c>
      <c r="J368">
        <v>3.98</v>
      </c>
      <c r="K368">
        <v>4.99</v>
      </c>
      <c r="L368">
        <v>4.33</v>
      </c>
      <c r="M368">
        <v>87.8</v>
      </c>
      <c r="N368">
        <v>53.51</v>
      </c>
      <c r="O368">
        <v>70.655000000000001</v>
      </c>
      <c r="P368">
        <v>72.31</v>
      </c>
      <c r="Q368">
        <v>76.28</v>
      </c>
      <c r="R368">
        <v>73.87</v>
      </c>
      <c r="S368">
        <v>8</v>
      </c>
      <c r="T368">
        <v>22.57</v>
      </c>
      <c r="U368">
        <v>78.87</v>
      </c>
      <c r="V368">
        <v>67.849999999999994</v>
      </c>
      <c r="W368">
        <v>73.34</v>
      </c>
      <c r="X368">
        <v>53.78</v>
      </c>
      <c r="Y368">
        <v>0.496</v>
      </c>
    </row>
    <row r="369" spans="1:25" x14ac:dyDescent="0.35">
      <c r="A369" t="s">
        <v>393</v>
      </c>
      <c r="B369" t="s">
        <v>390</v>
      </c>
      <c r="C369" t="s">
        <v>587</v>
      </c>
      <c r="D369">
        <v>9.8000000000000007</v>
      </c>
      <c r="E369">
        <v>8.7200000000000006</v>
      </c>
      <c r="F369">
        <v>9.24</v>
      </c>
      <c r="G369">
        <v>12.61</v>
      </c>
      <c r="H369">
        <v>12.5</v>
      </c>
      <c r="I369">
        <v>12.61</v>
      </c>
      <c r="J369">
        <v>3.81</v>
      </c>
      <c r="K369">
        <v>3.42</v>
      </c>
      <c r="L369">
        <v>3.67</v>
      </c>
      <c r="M369">
        <v>87.49</v>
      </c>
      <c r="N369">
        <v>58.41</v>
      </c>
      <c r="O369">
        <v>72.949999999999989</v>
      </c>
      <c r="P369">
        <v>71.34</v>
      </c>
      <c r="Q369">
        <v>75.790000000000006</v>
      </c>
      <c r="R369">
        <v>73.510000000000005</v>
      </c>
      <c r="S369">
        <v>15</v>
      </c>
      <c r="T369">
        <v>24.07</v>
      </c>
      <c r="U369">
        <v>75.52</v>
      </c>
      <c r="V369">
        <v>60.08</v>
      </c>
      <c r="W369">
        <v>70.08</v>
      </c>
      <c r="X369">
        <v>61.1</v>
      </c>
      <c r="Y369">
        <v>0.44800000000000001</v>
      </c>
    </row>
    <row r="370" spans="1:25" x14ac:dyDescent="0.35">
      <c r="A370" t="s">
        <v>394</v>
      </c>
      <c r="B370" t="s">
        <v>390</v>
      </c>
      <c r="C370" t="s">
        <v>587</v>
      </c>
      <c r="D370">
        <v>8.6300000000000008</v>
      </c>
      <c r="E370">
        <v>8.33</v>
      </c>
      <c r="F370">
        <v>8.39</v>
      </c>
      <c r="G370">
        <v>12.68</v>
      </c>
      <c r="H370">
        <v>12.75</v>
      </c>
      <c r="I370">
        <v>12.69</v>
      </c>
      <c r="J370">
        <v>2.78</v>
      </c>
      <c r="K370">
        <v>2.59</v>
      </c>
      <c r="L370">
        <v>2.71</v>
      </c>
      <c r="M370">
        <v>90.74</v>
      </c>
      <c r="N370">
        <v>58.03</v>
      </c>
      <c r="O370">
        <v>74.384999999999991</v>
      </c>
      <c r="P370">
        <v>71.09</v>
      </c>
      <c r="Q370">
        <v>75.28</v>
      </c>
      <c r="R370">
        <v>73.13</v>
      </c>
      <c r="S370">
        <v>23.33</v>
      </c>
      <c r="T370">
        <v>26.88</v>
      </c>
      <c r="U370">
        <v>73.430000000000007</v>
      </c>
      <c r="V370">
        <v>62.05</v>
      </c>
      <c r="W370">
        <v>68.52</v>
      </c>
      <c r="X370">
        <v>73.849999999999994</v>
      </c>
      <c r="Y370">
        <v>0.36199999999999999</v>
      </c>
    </row>
    <row r="371" spans="1:25" x14ac:dyDescent="0.35">
      <c r="A371" t="s">
        <v>395</v>
      </c>
      <c r="B371" t="s">
        <v>390</v>
      </c>
      <c r="C371" t="s">
        <v>587</v>
      </c>
      <c r="D371">
        <v>10.66</v>
      </c>
      <c r="E371">
        <v>10.3</v>
      </c>
      <c r="F371">
        <v>10.37</v>
      </c>
      <c r="G371">
        <v>13.57</v>
      </c>
      <c r="H371">
        <v>14.77</v>
      </c>
      <c r="I371">
        <v>14.22</v>
      </c>
      <c r="J371">
        <v>5.37</v>
      </c>
      <c r="K371">
        <v>4.59</v>
      </c>
      <c r="L371">
        <v>5.1100000000000003</v>
      </c>
      <c r="M371">
        <v>81.88</v>
      </c>
      <c r="N371">
        <v>44</v>
      </c>
      <c r="O371">
        <v>62.94</v>
      </c>
      <c r="P371">
        <v>73.59</v>
      </c>
      <c r="Q371">
        <v>76.83</v>
      </c>
      <c r="R371">
        <v>74.27</v>
      </c>
      <c r="S371">
        <v>20</v>
      </c>
      <c r="T371">
        <v>25.59</v>
      </c>
      <c r="U371">
        <v>81.87</v>
      </c>
      <c r="V371">
        <v>75.97</v>
      </c>
      <c r="W371">
        <v>77.959999999999994</v>
      </c>
      <c r="X371">
        <v>68.540000000000006</v>
      </c>
      <c r="Y371">
        <v>0.35199999999999998</v>
      </c>
    </row>
    <row r="372" spans="1:25" x14ac:dyDescent="0.35">
      <c r="A372" t="s">
        <v>397</v>
      </c>
      <c r="B372" t="s">
        <v>396</v>
      </c>
      <c r="C372" t="s">
        <v>588</v>
      </c>
      <c r="D372">
        <v>8.3000000000000007</v>
      </c>
      <c r="E372">
        <v>8.4600000000000009</v>
      </c>
      <c r="F372">
        <v>8.3800000000000008</v>
      </c>
      <c r="G372">
        <v>11.47</v>
      </c>
      <c r="H372">
        <v>12.36</v>
      </c>
      <c r="I372">
        <v>11.65</v>
      </c>
      <c r="J372">
        <v>4.08</v>
      </c>
      <c r="K372">
        <v>5.28</v>
      </c>
      <c r="L372">
        <v>4.4800000000000004</v>
      </c>
      <c r="M372">
        <v>86.06</v>
      </c>
      <c r="N372">
        <v>48.52</v>
      </c>
      <c r="O372">
        <v>67.290000000000006</v>
      </c>
      <c r="P372">
        <v>70.209999999999994</v>
      </c>
      <c r="Q372">
        <v>74.209999999999994</v>
      </c>
      <c r="R372">
        <v>72.16</v>
      </c>
      <c r="S372">
        <v>30</v>
      </c>
      <c r="T372">
        <v>28.57</v>
      </c>
      <c r="U372">
        <v>73.8</v>
      </c>
      <c r="V372">
        <v>65.77</v>
      </c>
      <c r="W372">
        <v>70.290000000000006</v>
      </c>
      <c r="X372">
        <v>77.290000000000006</v>
      </c>
      <c r="Y372">
        <v>0.50800000000000001</v>
      </c>
    </row>
    <row r="373" spans="1:25" x14ac:dyDescent="0.35">
      <c r="A373" t="s">
        <v>398</v>
      </c>
      <c r="B373" t="s">
        <v>396</v>
      </c>
      <c r="C373" t="s">
        <v>588</v>
      </c>
      <c r="D373">
        <v>10.06</v>
      </c>
      <c r="E373">
        <v>10.41</v>
      </c>
      <c r="F373">
        <v>10.23</v>
      </c>
      <c r="G373">
        <v>14.18</v>
      </c>
      <c r="H373">
        <v>14.55</v>
      </c>
      <c r="I373">
        <v>14.19</v>
      </c>
      <c r="J373">
        <v>6.86</v>
      </c>
      <c r="K373">
        <v>7.81</v>
      </c>
      <c r="L373">
        <v>7.22</v>
      </c>
      <c r="M373">
        <v>79.84</v>
      </c>
      <c r="N373">
        <v>49.54</v>
      </c>
      <c r="O373">
        <v>64.69</v>
      </c>
      <c r="P373">
        <v>72.53</v>
      </c>
      <c r="Q373">
        <v>78.040000000000006</v>
      </c>
      <c r="R373">
        <v>75.22</v>
      </c>
      <c r="S373">
        <v>45.71</v>
      </c>
      <c r="T373">
        <v>40.229999999999997</v>
      </c>
      <c r="U373">
        <v>79.849999999999994</v>
      </c>
      <c r="V373">
        <v>77.36</v>
      </c>
      <c r="W373">
        <v>77.739999999999995</v>
      </c>
      <c r="X373">
        <v>87.27</v>
      </c>
      <c r="Y373">
        <v>0.315</v>
      </c>
    </row>
    <row r="374" spans="1:25" x14ac:dyDescent="0.35">
      <c r="A374" t="s">
        <v>399</v>
      </c>
      <c r="B374" t="s">
        <v>396</v>
      </c>
      <c r="C374" t="s">
        <v>588</v>
      </c>
      <c r="D374">
        <v>8.44</v>
      </c>
      <c r="E374">
        <v>8.8800000000000008</v>
      </c>
      <c r="F374">
        <v>8.65</v>
      </c>
      <c r="G374">
        <v>12.2</v>
      </c>
      <c r="H374">
        <v>13.29</v>
      </c>
      <c r="I374">
        <v>12.61</v>
      </c>
      <c r="J374">
        <v>2.52</v>
      </c>
      <c r="K374">
        <v>2.4700000000000002</v>
      </c>
      <c r="L374">
        <v>2.5</v>
      </c>
      <c r="M374">
        <v>80.64</v>
      </c>
      <c r="N374">
        <v>45.18</v>
      </c>
      <c r="O374">
        <v>62.91</v>
      </c>
      <c r="P374">
        <v>72.11</v>
      </c>
      <c r="Q374">
        <v>77.42</v>
      </c>
      <c r="R374">
        <v>74.7</v>
      </c>
      <c r="S374">
        <v>12</v>
      </c>
      <c r="T374">
        <v>29.94</v>
      </c>
      <c r="U374">
        <v>74.7</v>
      </c>
      <c r="V374">
        <v>71.58</v>
      </c>
      <c r="W374">
        <v>72.709999999999994</v>
      </c>
      <c r="X374">
        <v>63.73</v>
      </c>
      <c r="Y374">
        <v>0.47599999999999998</v>
      </c>
    </row>
    <row r="375" spans="1:25" x14ac:dyDescent="0.35">
      <c r="A375" t="s">
        <v>400</v>
      </c>
      <c r="B375" t="s">
        <v>396</v>
      </c>
      <c r="C375" t="s">
        <v>588</v>
      </c>
      <c r="D375">
        <v>10.08</v>
      </c>
      <c r="E375">
        <v>9.94</v>
      </c>
      <c r="F375">
        <v>9.9600000000000009</v>
      </c>
      <c r="G375">
        <v>12.49</v>
      </c>
      <c r="H375">
        <v>13.25</v>
      </c>
      <c r="I375">
        <v>12.67</v>
      </c>
      <c r="J375">
        <v>3.06</v>
      </c>
      <c r="K375">
        <v>3.07</v>
      </c>
      <c r="L375">
        <v>3.06</v>
      </c>
      <c r="M375">
        <v>80.400000000000006</v>
      </c>
      <c r="N375">
        <v>57.74</v>
      </c>
      <c r="O375">
        <v>69.070000000000007</v>
      </c>
      <c r="P375">
        <v>71.34</v>
      </c>
      <c r="Q375">
        <v>75.739999999999995</v>
      </c>
      <c r="R375">
        <v>73.510000000000005</v>
      </c>
      <c r="S375">
        <v>16</v>
      </c>
      <c r="T375">
        <v>28.01</v>
      </c>
      <c r="U375">
        <v>72.75</v>
      </c>
      <c r="V375">
        <v>71.44</v>
      </c>
      <c r="W375">
        <v>71.77</v>
      </c>
      <c r="X375">
        <v>65.89</v>
      </c>
      <c r="Y375">
        <v>0.48399999999999999</v>
      </c>
    </row>
    <row r="376" spans="1:25" x14ac:dyDescent="0.35">
      <c r="A376" t="s">
        <v>401</v>
      </c>
      <c r="B376" t="s">
        <v>396</v>
      </c>
      <c r="C376" t="s">
        <v>588</v>
      </c>
      <c r="D376">
        <v>9.41</v>
      </c>
      <c r="E376">
        <v>9.66</v>
      </c>
      <c r="F376">
        <v>9.43</v>
      </c>
      <c r="G376">
        <v>12.74</v>
      </c>
      <c r="H376">
        <v>13.41</v>
      </c>
      <c r="I376">
        <v>13.02</v>
      </c>
      <c r="J376">
        <v>3.02</v>
      </c>
      <c r="K376">
        <v>8.0500000000000007</v>
      </c>
      <c r="L376">
        <v>4.79</v>
      </c>
      <c r="M376">
        <v>84</v>
      </c>
      <c r="N376">
        <v>48.62</v>
      </c>
      <c r="O376">
        <v>66.31</v>
      </c>
      <c r="P376">
        <v>71.88</v>
      </c>
      <c r="Q376">
        <v>76.84</v>
      </c>
      <c r="R376">
        <v>74.349999999999994</v>
      </c>
      <c r="S376">
        <v>33.33</v>
      </c>
      <c r="T376">
        <v>31.56</v>
      </c>
      <c r="U376">
        <v>77.63</v>
      </c>
      <c r="V376">
        <v>69.680000000000007</v>
      </c>
      <c r="W376">
        <v>74.17</v>
      </c>
      <c r="X376">
        <v>77.91</v>
      </c>
      <c r="Y376">
        <v>0.40600000000000003</v>
      </c>
    </row>
    <row r="377" spans="1:25" x14ac:dyDescent="0.35">
      <c r="A377" t="s">
        <v>402</v>
      </c>
      <c r="B377" t="s">
        <v>396</v>
      </c>
      <c r="C377" t="s">
        <v>588</v>
      </c>
      <c r="D377">
        <v>10.38</v>
      </c>
      <c r="E377">
        <v>10.33</v>
      </c>
      <c r="F377">
        <v>10.35</v>
      </c>
      <c r="G377">
        <v>12.64</v>
      </c>
      <c r="H377">
        <v>13.57</v>
      </c>
      <c r="I377">
        <v>13.08</v>
      </c>
      <c r="J377">
        <v>6.62</v>
      </c>
      <c r="K377">
        <v>6.96</v>
      </c>
      <c r="L377">
        <v>6.73</v>
      </c>
      <c r="M377">
        <v>82.7</v>
      </c>
      <c r="N377">
        <v>43.66</v>
      </c>
      <c r="O377">
        <v>63.18</v>
      </c>
      <c r="P377">
        <v>72.11</v>
      </c>
      <c r="Q377">
        <v>77.430000000000007</v>
      </c>
      <c r="R377">
        <v>74.7</v>
      </c>
      <c r="S377">
        <v>23.33</v>
      </c>
      <c r="T377">
        <v>32.67</v>
      </c>
      <c r="U377">
        <v>78.05</v>
      </c>
      <c r="V377">
        <v>75.41</v>
      </c>
      <c r="W377">
        <v>75.89</v>
      </c>
      <c r="X377">
        <v>75.55</v>
      </c>
      <c r="Y377">
        <v>0.36299999999999999</v>
      </c>
    </row>
    <row r="378" spans="1:25" x14ac:dyDescent="0.35">
      <c r="A378" t="s">
        <v>403</v>
      </c>
      <c r="B378" t="s">
        <v>396</v>
      </c>
      <c r="C378" t="s">
        <v>588</v>
      </c>
      <c r="D378">
        <v>8.32</v>
      </c>
      <c r="E378">
        <v>8.7100000000000009</v>
      </c>
      <c r="F378">
        <v>8.61</v>
      </c>
      <c r="G378">
        <v>12.14</v>
      </c>
      <c r="H378">
        <v>13.03</v>
      </c>
      <c r="I378">
        <v>12.39</v>
      </c>
      <c r="J378">
        <v>4.17</v>
      </c>
      <c r="K378">
        <v>3.97</v>
      </c>
      <c r="L378">
        <v>4.0999999999999996</v>
      </c>
      <c r="M378">
        <v>84.19</v>
      </c>
      <c r="N378">
        <v>49.42</v>
      </c>
      <c r="O378">
        <v>66.805000000000007</v>
      </c>
      <c r="P378">
        <v>71.41</v>
      </c>
      <c r="Q378">
        <v>75.95</v>
      </c>
      <c r="R378">
        <v>73.63</v>
      </c>
      <c r="S378">
        <v>15</v>
      </c>
      <c r="T378">
        <v>28.74</v>
      </c>
      <c r="U378">
        <v>73.73</v>
      </c>
      <c r="V378">
        <v>64.78</v>
      </c>
      <c r="W378">
        <v>69.319999999999993</v>
      </c>
      <c r="X378">
        <v>63.81</v>
      </c>
      <c r="Y378">
        <v>0.41199999999999998</v>
      </c>
    </row>
    <row r="379" spans="1:25" x14ac:dyDescent="0.35">
      <c r="A379" t="s">
        <v>404</v>
      </c>
      <c r="B379" t="s">
        <v>396</v>
      </c>
      <c r="C379" t="s">
        <v>588</v>
      </c>
      <c r="D379">
        <v>9.34</v>
      </c>
      <c r="E379">
        <v>9.64</v>
      </c>
      <c r="F379">
        <v>9.43</v>
      </c>
      <c r="G379">
        <v>11.71</v>
      </c>
      <c r="H379">
        <v>12.45</v>
      </c>
      <c r="I379">
        <v>12.04</v>
      </c>
      <c r="J379">
        <v>1.49</v>
      </c>
      <c r="K379">
        <v>2.63</v>
      </c>
      <c r="L379">
        <v>1.94</v>
      </c>
      <c r="M379">
        <v>83.78</v>
      </c>
      <c r="N379">
        <v>55.19</v>
      </c>
      <c r="O379">
        <v>69.484999999999999</v>
      </c>
      <c r="P379">
        <v>72.09</v>
      </c>
      <c r="Q379">
        <v>77.31</v>
      </c>
      <c r="R379">
        <v>74.67</v>
      </c>
      <c r="S379">
        <v>47.37</v>
      </c>
      <c r="T379">
        <v>34.729999999999997</v>
      </c>
      <c r="U379">
        <v>74.349999999999994</v>
      </c>
      <c r="V379">
        <v>66.5</v>
      </c>
      <c r="W379">
        <v>70.31</v>
      </c>
      <c r="X379">
        <v>83.36</v>
      </c>
      <c r="Y379">
        <v>0.33200000000000002</v>
      </c>
    </row>
    <row r="380" spans="1:25" x14ac:dyDescent="0.35">
      <c r="A380" t="s">
        <v>405</v>
      </c>
      <c r="B380" t="s">
        <v>396</v>
      </c>
      <c r="C380" t="s">
        <v>588</v>
      </c>
      <c r="D380">
        <v>8.91</v>
      </c>
      <c r="E380">
        <v>9.2899999999999991</v>
      </c>
      <c r="F380">
        <v>9.14</v>
      </c>
      <c r="G380">
        <v>12.44</v>
      </c>
      <c r="H380">
        <v>12.99</v>
      </c>
      <c r="I380">
        <v>12.6</v>
      </c>
      <c r="J380">
        <v>2.16</v>
      </c>
      <c r="K380">
        <v>3.73</v>
      </c>
      <c r="L380">
        <v>2.76</v>
      </c>
      <c r="M380">
        <v>87.19</v>
      </c>
      <c r="N380">
        <v>57.93</v>
      </c>
      <c r="O380">
        <v>72.56</v>
      </c>
      <c r="P380">
        <v>71.239999999999995</v>
      </c>
      <c r="Q380">
        <v>75.59</v>
      </c>
      <c r="R380">
        <v>73.36</v>
      </c>
      <c r="S380">
        <v>40</v>
      </c>
      <c r="T380">
        <v>34.78</v>
      </c>
      <c r="U380">
        <v>75.930000000000007</v>
      </c>
      <c r="V380">
        <v>70.489999999999995</v>
      </c>
      <c r="W380">
        <v>72.66</v>
      </c>
      <c r="X380">
        <v>84.47</v>
      </c>
      <c r="Y380">
        <v>0.35499999999999998</v>
      </c>
    </row>
    <row r="381" spans="1:25" x14ac:dyDescent="0.35">
      <c r="A381" t="s">
        <v>406</v>
      </c>
      <c r="B381" t="s">
        <v>396</v>
      </c>
      <c r="C381" t="s">
        <v>588</v>
      </c>
      <c r="D381">
        <v>8.2899999999999991</v>
      </c>
      <c r="E381">
        <v>8.2799999999999994</v>
      </c>
      <c r="F381">
        <v>8.2799999999999994</v>
      </c>
      <c r="G381">
        <v>12.24</v>
      </c>
      <c r="H381">
        <v>12.47</v>
      </c>
      <c r="I381">
        <v>12.34</v>
      </c>
      <c r="J381">
        <v>0.99</v>
      </c>
      <c r="K381">
        <v>5.75</v>
      </c>
      <c r="L381">
        <v>2.5099999999999998</v>
      </c>
      <c r="M381">
        <v>87.3</v>
      </c>
      <c r="N381">
        <v>44.36</v>
      </c>
      <c r="O381">
        <v>65.83</v>
      </c>
      <c r="P381">
        <v>69.010000000000005</v>
      </c>
      <c r="Q381">
        <v>72.959999999999994</v>
      </c>
      <c r="R381">
        <v>70.94</v>
      </c>
      <c r="S381">
        <v>20</v>
      </c>
      <c r="T381">
        <v>28.16</v>
      </c>
      <c r="U381">
        <v>71.760000000000005</v>
      </c>
      <c r="V381">
        <v>58.55</v>
      </c>
      <c r="W381">
        <v>67.14</v>
      </c>
      <c r="X381">
        <v>67.22</v>
      </c>
      <c r="Y381">
        <v>0.5</v>
      </c>
    </row>
    <row r="382" spans="1:25" x14ac:dyDescent="0.35">
      <c r="A382" t="s">
        <v>407</v>
      </c>
      <c r="B382" t="s">
        <v>396</v>
      </c>
      <c r="C382" t="s">
        <v>588</v>
      </c>
      <c r="D382">
        <v>8.26</v>
      </c>
      <c r="E382">
        <v>8.41</v>
      </c>
      <c r="F382">
        <v>8.2899999999999991</v>
      </c>
      <c r="G382">
        <v>11.9</v>
      </c>
      <c r="H382">
        <v>12.4</v>
      </c>
      <c r="I382">
        <v>11.91</v>
      </c>
      <c r="J382">
        <v>3.22</v>
      </c>
      <c r="K382">
        <v>10.56</v>
      </c>
      <c r="L382">
        <v>5.35</v>
      </c>
      <c r="M382">
        <v>85.46</v>
      </c>
      <c r="N382">
        <v>37.76</v>
      </c>
      <c r="O382">
        <v>61.61</v>
      </c>
      <c r="P382">
        <v>71.3</v>
      </c>
      <c r="Q382">
        <v>75.709999999999994</v>
      </c>
      <c r="R382">
        <v>73.45</v>
      </c>
      <c r="S382">
        <v>30</v>
      </c>
      <c r="T382">
        <v>24.68</v>
      </c>
      <c r="U382">
        <v>72.17</v>
      </c>
      <c r="V382">
        <v>66.22</v>
      </c>
      <c r="W382">
        <v>68.53</v>
      </c>
      <c r="X382">
        <v>73.900000000000006</v>
      </c>
      <c r="Y382">
        <v>0.48199999999999998</v>
      </c>
    </row>
    <row r="383" spans="1:25" x14ac:dyDescent="0.35">
      <c r="A383" t="s">
        <v>408</v>
      </c>
      <c r="B383" t="s">
        <v>396</v>
      </c>
      <c r="C383" t="s">
        <v>588</v>
      </c>
      <c r="D383">
        <v>11.66</v>
      </c>
      <c r="E383">
        <v>11.39</v>
      </c>
      <c r="F383">
        <v>11.46</v>
      </c>
      <c r="G383">
        <v>14.13</v>
      </c>
      <c r="H383">
        <v>14.85</v>
      </c>
      <c r="I383">
        <v>14.2</v>
      </c>
      <c r="J383">
        <v>7.89</v>
      </c>
      <c r="K383">
        <v>10</v>
      </c>
      <c r="L383">
        <v>8.73</v>
      </c>
      <c r="M383">
        <v>76.34</v>
      </c>
      <c r="N383">
        <v>50.09</v>
      </c>
      <c r="O383">
        <v>63.215000000000003</v>
      </c>
      <c r="P383">
        <v>72.55</v>
      </c>
      <c r="Q383">
        <v>78.069999999999993</v>
      </c>
      <c r="R383">
        <v>75.239999999999995</v>
      </c>
      <c r="S383">
        <v>55</v>
      </c>
      <c r="T383">
        <v>34.380000000000003</v>
      </c>
      <c r="U383">
        <v>82.71</v>
      </c>
      <c r="V383">
        <v>80.11</v>
      </c>
      <c r="W383">
        <v>80.63</v>
      </c>
      <c r="X383">
        <v>85.66</v>
      </c>
      <c r="Y383">
        <v>0.14799999999999999</v>
      </c>
    </row>
    <row r="384" spans="1:25" x14ac:dyDescent="0.35">
      <c r="A384" t="s">
        <v>409</v>
      </c>
      <c r="B384" t="s">
        <v>396</v>
      </c>
      <c r="C384" t="s">
        <v>588</v>
      </c>
      <c r="D384">
        <v>9.99</v>
      </c>
      <c r="E384">
        <v>9.94</v>
      </c>
      <c r="F384">
        <v>9.9600000000000009</v>
      </c>
      <c r="G384">
        <v>12.2</v>
      </c>
      <c r="H384">
        <v>13.11</v>
      </c>
      <c r="I384">
        <v>12.67</v>
      </c>
      <c r="J384">
        <v>8.14</v>
      </c>
      <c r="K384">
        <v>6.47</v>
      </c>
      <c r="L384">
        <v>7.51</v>
      </c>
      <c r="M384">
        <v>82.61</v>
      </c>
      <c r="N384">
        <v>52.39</v>
      </c>
      <c r="O384">
        <v>67.5</v>
      </c>
      <c r="P384">
        <v>71.94</v>
      </c>
      <c r="Q384">
        <v>77.05</v>
      </c>
      <c r="R384">
        <v>74.430000000000007</v>
      </c>
      <c r="S384">
        <v>19.23</v>
      </c>
      <c r="T384">
        <v>27.09</v>
      </c>
      <c r="U384">
        <v>78.3</v>
      </c>
      <c r="V384">
        <v>74.239999999999995</v>
      </c>
      <c r="W384">
        <v>75.709999999999994</v>
      </c>
      <c r="X384">
        <v>67.94</v>
      </c>
      <c r="Y384">
        <v>0.39400000000000002</v>
      </c>
    </row>
    <row r="385" spans="1:25" x14ac:dyDescent="0.35">
      <c r="A385" t="s">
        <v>410</v>
      </c>
      <c r="B385" t="s">
        <v>396</v>
      </c>
      <c r="C385" t="s">
        <v>588</v>
      </c>
      <c r="D385">
        <v>10.91</v>
      </c>
      <c r="E385">
        <v>11.21</v>
      </c>
      <c r="F385">
        <v>11.03</v>
      </c>
      <c r="G385">
        <v>13.75</v>
      </c>
      <c r="H385">
        <v>14.76</v>
      </c>
      <c r="I385">
        <v>14.38</v>
      </c>
      <c r="J385">
        <v>7.58</v>
      </c>
      <c r="K385">
        <v>8.11</v>
      </c>
      <c r="L385">
        <v>7.79</v>
      </c>
      <c r="M385">
        <v>76.36</v>
      </c>
      <c r="N385">
        <v>50.92</v>
      </c>
      <c r="O385">
        <v>63.64</v>
      </c>
      <c r="P385">
        <v>72.81</v>
      </c>
      <c r="Q385">
        <v>78.38</v>
      </c>
      <c r="R385">
        <v>75.569999999999993</v>
      </c>
      <c r="S385">
        <v>25</v>
      </c>
      <c r="T385">
        <v>34.14</v>
      </c>
      <c r="U385">
        <v>79.22</v>
      </c>
      <c r="V385">
        <v>78.87</v>
      </c>
      <c r="W385">
        <v>78.89</v>
      </c>
      <c r="X385">
        <v>77.11</v>
      </c>
      <c r="Y385">
        <v>0.17</v>
      </c>
    </row>
    <row r="386" spans="1:25" x14ac:dyDescent="0.35">
      <c r="A386" t="s">
        <v>411</v>
      </c>
      <c r="B386" t="s">
        <v>396</v>
      </c>
      <c r="C386" t="s">
        <v>588</v>
      </c>
      <c r="D386">
        <v>10.36</v>
      </c>
      <c r="E386">
        <v>10.29</v>
      </c>
      <c r="F386">
        <v>10.35</v>
      </c>
      <c r="G386">
        <v>12.75</v>
      </c>
      <c r="H386">
        <v>13.76</v>
      </c>
      <c r="I386">
        <v>13.05</v>
      </c>
      <c r="J386">
        <v>5.29</v>
      </c>
      <c r="K386">
        <v>6.42</v>
      </c>
      <c r="L386">
        <v>5.72</v>
      </c>
      <c r="M386">
        <v>86.25</v>
      </c>
      <c r="N386">
        <v>55.52</v>
      </c>
      <c r="O386">
        <v>70.885000000000005</v>
      </c>
      <c r="P386">
        <v>72.33</v>
      </c>
      <c r="Q386">
        <v>77.75</v>
      </c>
      <c r="R386">
        <v>74.97</v>
      </c>
      <c r="S386">
        <v>16.670000000000002</v>
      </c>
      <c r="T386">
        <v>25.96</v>
      </c>
      <c r="U386">
        <v>78.16</v>
      </c>
      <c r="V386">
        <v>74.75</v>
      </c>
      <c r="W386">
        <v>75.27</v>
      </c>
      <c r="X386">
        <v>63.38</v>
      </c>
      <c r="Y386">
        <v>0.38300000000000001</v>
      </c>
    </row>
    <row r="387" spans="1:25" x14ac:dyDescent="0.35">
      <c r="A387" t="s">
        <v>413</v>
      </c>
      <c r="B387" t="s">
        <v>412</v>
      </c>
      <c r="C387" t="s">
        <v>588</v>
      </c>
      <c r="D387">
        <v>9.02</v>
      </c>
      <c r="E387">
        <v>8.68</v>
      </c>
      <c r="F387">
        <v>8.6999999999999993</v>
      </c>
      <c r="G387">
        <v>13.12</v>
      </c>
      <c r="H387">
        <v>12.95</v>
      </c>
      <c r="I387">
        <v>13.11</v>
      </c>
      <c r="J387">
        <v>1.76</v>
      </c>
      <c r="K387">
        <v>1.26</v>
      </c>
      <c r="L387">
        <v>1.55</v>
      </c>
      <c r="M387">
        <v>84.89</v>
      </c>
      <c r="N387">
        <v>61.84</v>
      </c>
      <c r="O387">
        <v>73.365000000000009</v>
      </c>
      <c r="P387">
        <v>65.599999999999994</v>
      </c>
      <c r="Q387">
        <v>69.569999999999993</v>
      </c>
      <c r="R387">
        <v>67.540000000000006</v>
      </c>
      <c r="S387">
        <v>20</v>
      </c>
      <c r="T387">
        <v>42.56</v>
      </c>
      <c r="U387">
        <v>71.86</v>
      </c>
      <c r="V387">
        <v>66.73</v>
      </c>
      <c r="W387">
        <v>67.430000000000007</v>
      </c>
      <c r="X387">
        <v>75.88</v>
      </c>
      <c r="Y387">
        <v>0.52500000000000002</v>
      </c>
    </row>
    <row r="388" spans="1:25" x14ac:dyDescent="0.35">
      <c r="A388" t="s">
        <v>414</v>
      </c>
      <c r="B388" t="s">
        <v>412</v>
      </c>
      <c r="C388" t="s">
        <v>588</v>
      </c>
      <c r="D388">
        <v>8.9600000000000009</v>
      </c>
      <c r="E388">
        <v>8.69</v>
      </c>
      <c r="F388">
        <v>8.81</v>
      </c>
      <c r="G388">
        <v>13.04</v>
      </c>
      <c r="H388">
        <v>13.62</v>
      </c>
      <c r="I388">
        <v>13.35</v>
      </c>
      <c r="J388">
        <v>3.64</v>
      </c>
      <c r="K388">
        <v>2.27</v>
      </c>
      <c r="L388">
        <v>3.11</v>
      </c>
      <c r="M388">
        <v>86.46</v>
      </c>
      <c r="N388">
        <v>56.41</v>
      </c>
      <c r="O388">
        <v>71.435000000000002</v>
      </c>
      <c r="P388">
        <v>70.31</v>
      </c>
      <c r="Q388">
        <v>74.319999999999993</v>
      </c>
      <c r="R388">
        <v>72.260000000000005</v>
      </c>
      <c r="S388">
        <v>34.29</v>
      </c>
      <c r="T388">
        <v>28.47</v>
      </c>
      <c r="U388">
        <v>76.180000000000007</v>
      </c>
      <c r="V388">
        <v>69.88</v>
      </c>
      <c r="W388">
        <v>72.319999999999993</v>
      </c>
      <c r="X388">
        <v>76.959999999999994</v>
      </c>
      <c r="Y388">
        <v>0.45</v>
      </c>
    </row>
    <row r="389" spans="1:25" x14ac:dyDescent="0.35">
      <c r="A389" t="s">
        <v>415</v>
      </c>
      <c r="B389" t="s">
        <v>412</v>
      </c>
      <c r="C389" t="s">
        <v>588</v>
      </c>
      <c r="D389">
        <v>9.75</v>
      </c>
      <c r="E389">
        <v>9.26</v>
      </c>
      <c r="F389">
        <v>9.3800000000000008</v>
      </c>
      <c r="G389">
        <v>13.64</v>
      </c>
      <c r="H389">
        <v>13.37</v>
      </c>
      <c r="I389">
        <v>13.39</v>
      </c>
      <c r="J389">
        <v>1.76</v>
      </c>
      <c r="K389">
        <v>6.68</v>
      </c>
      <c r="L389">
        <v>2.84</v>
      </c>
      <c r="M389">
        <v>85.2</v>
      </c>
      <c r="N389">
        <v>30.82</v>
      </c>
      <c r="O389">
        <v>58.010000000000005</v>
      </c>
      <c r="P389">
        <v>69.16</v>
      </c>
      <c r="Q389">
        <v>73.12</v>
      </c>
      <c r="R389">
        <v>71.09</v>
      </c>
      <c r="S389">
        <v>12</v>
      </c>
      <c r="T389">
        <v>31.01</v>
      </c>
      <c r="U389">
        <v>78.58</v>
      </c>
      <c r="V389">
        <v>67.12</v>
      </c>
      <c r="W389">
        <v>73.540000000000006</v>
      </c>
      <c r="X389">
        <v>64.5</v>
      </c>
      <c r="Y389">
        <v>0.47599999999999998</v>
      </c>
    </row>
    <row r="390" spans="1:25" x14ac:dyDescent="0.35">
      <c r="A390" t="s">
        <v>416</v>
      </c>
      <c r="B390" t="s">
        <v>412</v>
      </c>
      <c r="C390" t="s">
        <v>588</v>
      </c>
      <c r="D390">
        <v>9.61</v>
      </c>
      <c r="E390">
        <v>9.5399999999999991</v>
      </c>
      <c r="F390">
        <v>9.5399999999999991</v>
      </c>
      <c r="G390">
        <v>13.51</v>
      </c>
      <c r="H390">
        <v>14.33</v>
      </c>
      <c r="I390">
        <v>13.75</v>
      </c>
      <c r="J390">
        <v>1.3</v>
      </c>
      <c r="K390">
        <v>2.5299999999999998</v>
      </c>
      <c r="L390">
        <v>1.77</v>
      </c>
      <c r="M390">
        <v>82.17</v>
      </c>
      <c r="N390">
        <v>54.34</v>
      </c>
      <c r="O390">
        <v>68.254999999999995</v>
      </c>
      <c r="P390">
        <v>71.02</v>
      </c>
      <c r="Q390">
        <v>75.13</v>
      </c>
      <c r="R390">
        <v>73.02</v>
      </c>
      <c r="S390">
        <v>33.33</v>
      </c>
      <c r="T390">
        <v>33</v>
      </c>
      <c r="U390">
        <v>74.41</v>
      </c>
      <c r="V390">
        <v>72.349999999999994</v>
      </c>
      <c r="W390">
        <v>72.87</v>
      </c>
      <c r="X390">
        <v>81.430000000000007</v>
      </c>
      <c r="Y390">
        <v>0.33600000000000002</v>
      </c>
    </row>
    <row r="391" spans="1:25" x14ac:dyDescent="0.35">
      <c r="A391" t="s">
        <v>417</v>
      </c>
      <c r="B391" t="s">
        <v>412</v>
      </c>
      <c r="C391" t="s">
        <v>588</v>
      </c>
      <c r="D391">
        <v>8.52</v>
      </c>
      <c r="E391">
        <v>7.86</v>
      </c>
      <c r="F391">
        <v>8</v>
      </c>
      <c r="G391">
        <v>12.31</v>
      </c>
      <c r="H391">
        <v>13.04</v>
      </c>
      <c r="I391">
        <v>12.62</v>
      </c>
      <c r="J391">
        <v>1.88</v>
      </c>
      <c r="K391">
        <v>4.4000000000000004</v>
      </c>
      <c r="L391">
        <v>2.79</v>
      </c>
      <c r="M391">
        <v>85.01</v>
      </c>
      <c r="N391">
        <v>50.77</v>
      </c>
      <c r="O391">
        <v>67.89</v>
      </c>
      <c r="P391">
        <v>68.819999999999993</v>
      </c>
      <c r="Q391">
        <v>72.760000000000005</v>
      </c>
      <c r="R391">
        <v>70.739999999999995</v>
      </c>
      <c r="S391">
        <v>20</v>
      </c>
      <c r="T391">
        <v>31.08</v>
      </c>
      <c r="U391">
        <v>71.36</v>
      </c>
      <c r="V391">
        <v>63.87</v>
      </c>
      <c r="W391">
        <v>67.45</v>
      </c>
      <c r="X391">
        <v>71.290000000000006</v>
      </c>
      <c r="Y391">
        <v>0.53</v>
      </c>
    </row>
    <row r="392" spans="1:25" x14ac:dyDescent="0.35">
      <c r="A392" t="s">
        <v>418</v>
      </c>
      <c r="B392" t="s">
        <v>412</v>
      </c>
      <c r="C392" t="s">
        <v>588</v>
      </c>
      <c r="D392">
        <v>9.0500000000000007</v>
      </c>
      <c r="E392">
        <v>8.6999999999999993</v>
      </c>
      <c r="F392">
        <v>8.91</v>
      </c>
      <c r="G392">
        <v>13.15</v>
      </c>
      <c r="H392">
        <v>13.55</v>
      </c>
      <c r="I392">
        <v>13.17</v>
      </c>
      <c r="J392">
        <v>2.86</v>
      </c>
      <c r="K392">
        <v>3.57</v>
      </c>
      <c r="L392">
        <v>3.11</v>
      </c>
      <c r="M392">
        <v>87.54</v>
      </c>
      <c r="N392">
        <v>49.58</v>
      </c>
      <c r="O392">
        <v>68.56</v>
      </c>
      <c r="P392">
        <v>69.38</v>
      </c>
      <c r="Q392">
        <v>73.34</v>
      </c>
      <c r="R392">
        <v>71.31</v>
      </c>
      <c r="S392">
        <v>23.33</v>
      </c>
      <c r="T392">
        <v>26.01</v>
      </c>
      <c r="U392">
        <v>72.22</v>
      </c>
      <c r="V392">
        <v>65.430000000000007</v>
      </c>
      <c r="W392">
        <v>68.37</v>
      </c>
      <c r="X392">
        <v>69.05</v>
      </c>
      <c r="Y392">
        <v>0.36499999999999999</v>
      </c>
    </row>
    <row r="393" spans="1:25" x14ac:dyDescent="0.35">
      <c r="A393" t="s">
        <v>419</v>
      </c>
      <c r="B393" t="s">
        <v>412</v>
      </c>
      <c r="C393" t="s">
        <v>588</v>
      </c>
      <c r="D393">
        <v>9.24</v>
      </c>
      <c r="E393">
        <v>9.1999999999999993</v>
      </c>
      <c r="F393">
        <v>9.1999999999999993</v>
      </c>
      <c r="G393">
        <v>13.16</v>
      </c>
      <c r="H393">
        <v>14.5</v>
      </c>
      <c r="I393">
        <v>13.18</v>
      </c>
      <c r="J393">
        <v>2.1</v>
      </c>
      <c r="K393">
        <v>4.8499999999999996</v>
      </c>
      <c r="L393">
        <v>3.13</v>
      </c>
      <c r="M393">
        <v>85.95</v>
      </c>
      <c r="N393">
        <v>54.36</v>
      </c>
      <c r="O393">
        <v>70.155000000000001</v>
      </c>
      <c r="P393">
        <v>69.36</v>
      </c>
      <c r="Q393">
        <v>73.33</v>
      </c>
      <c r="R393">
        <v>71.3</v>
      </c>
      <c r="S393">
        <v>36</v>
      </c>
      <c r="T393">
        <v>27.07</v>
      </c>
      <c r="U393">
        <v>74.47</v>
      </c>
      <c r="V393">
        <v>67.19</v>
      </c>
      <c r="W393">
        <v>70.28</v>
      </c>
      <c r="X393">
        <v>76.349999999999994</v>
      </c>
      <c r="Y393">
        <v>0.34899999999999998</v>
      </c>
    </row>
    <row r="394" spans="1:25" x14ac:dyDescent="0.35">
      <c r="A394" t="s">
        <v>420</v>
      </c>
      <c r="B394" t="s">
        <v>412</v>
      </c>
      <c r="C394" t="s">
        <v>588</v>
      </c>
      <c r="D394">
        <v>8.3000000000000007</v>
      </c>
      <c r="E394">
        <v>7.96</v>
      </c>
      <c r="F394">
        <v>8.0500000000000007</v>
      </c>
      <c r="G394">
        <v>12.08</v>
      </c>
      <c r="H394">
        <v>13.03</v>
      </c>
      <c r="I394">
        <v>12.52</v>
      </c>
      <c r="J394">
        <v>1.82</v>
      </c>
      <c r="K394">
        <v>2.5499999999999998</v>
      </c>
      <c r="L394">
        <v>2.1</v>
      </c>
      <c r="M394">
        <v>88.91</v>
      </c>
      <c r="N394">
        <v>59.79</v>
      </c>
      <c r="O394">
        <v>74.349999999999994</v>
      </c>
      <c r="P394">
        <v>66.78</v>
      </c>
      <c r="Q394">
        <v>70.75</v>
      </c>
      <c r="R394">
        <v>68.72</v>
      </c>
      <c r="S394">
        <v>17.5</v>
      </c>
      <c r="T394">
        <v>24.36</v>
      </c>
      <c r="U394">
        <v>70.17</v>
      </c>
      <c r="V394">
        <v>65.02</v>
      </c>
      <c r="W394">
        <v>67.489999999999995</v>
      </c>
      <c r="X394">
        <v>60.52</v>
      </c>
      <c r="Y394">
        <v>0.51</v>
      </c>
    </row>
    <row r="395" spans="1:25" x14ac:dyDescent="0.35">
      <c r="A395" t="s">
        <v>421</v>
      </c>
      <c r="B395" t="s">
        <v>412</v>
      </c>
      <c r="C395" t="s">
        <v>588</v>
      </c>
      <c r="D395">
        <v>8.5299999999999994</v>
      </c>
      <c r="E395">
        <v>8.59</v>
      </c>
      <c r="F395">
        <v>8.56</v>
      </c>
      <c r="G395">
        <v>12.38</v>
      </c>
      <c r="H395">
        <v>12.93</v>
      </c>
      <c r="I395">
        <v>12.43</v>
      </c>
      <c r="J395">
        <v>1.91</v>
      </c>
      <c r="K395">
        <v>3.34</v>
      </c>
      <c r="L395">
        <v>2.4700000000000002</v>
      </c>
      <c r="M395">
        <v>88.83</v>
      </c>
      <c r="N395">
        <v>60.41</v>
      </c>
      <c r="O395">
        <v>74.62</v>
      </c>
      <c r="P395">
        <v>69.12</v>
      </c>
      <c r="Q395">
        <v>73.08</v>
      </c>
      <c r="R395">
        <v>71.05</v>
      </c>
      <c r="S395">
        <v>12</v>
      </c>
      <c r="T395">
        <v>31.96</v>
      </c>
      <c r="U395">
        <v>71.069999999999993</v>
      </c>
      <c r="V395">
        <v>65.400000000000006</v>
      </c>
      <c r="W395">
        <v>66.97</v>
      </c>
      <c r="X395">
        <v>64.62</v>
      </c>
      <c r="Y395">
        <v>0.49099999999999999</v>
      </c>
    </row>
    <row r="396" spans="1:25" x14ac:dyDescent="0.35">
      <c r="A396" t="s">
        <v>422</v>
      </c>
      <c r="B396" t="s">
        <v>412</v>
      </c>
      <c r="C396" t="s">
        <v>588</v>
      </c>
      <c r="D396">
        <v>9.0399999999999991</v>
      </c>
      <c r="E396">
        <v>9.09</v>
      </c>
      <c r="F396">
        <v>9.0399999999999991</v>
      </c>
      <c r="G396">
        <v>13.03</v>
      </c>
      <c r="H396">
        <v>13.31</v>
      </c>
      <c r="I396">
        <v>13.13</v>
      </c>
      <c r="J396">
        <v>2.19</v>
      </c>
      <c r="K396">
        <v>3.05</v>
      </c>
      <c r="L396">
        <v>2.5499999999999998</v>
      </c>
      <c r="M396">
        <v>86.93</v>
      </c>
      <c r="N396">
        <v>64.430000000000007</v>
      </c>
      <c r="O396">
        <v>75.680000000000007</v>
      </c>
      <c r="P396">
        <v>69.39</v>
      </c>
      <c r="Q396">
        <v>73.36</v>
      </c>
      <c r="R396">
        <v>71.33</v>
      </c>
      <c r="S396">
        <v>33.33</v>
      </c>
      <c r="T396">
        <v>32.97</v>
      </c>
      <c r="U396">
        <v>73.69</v>
      </c>
      <c r="V396">
        <v>69.540000000000006</v>
      </c>
      <c r="W396">
        <v>70.510000000000005</v>
      </c>
      <c r="X396">
        <v>79.239999999999995</v>
      </c>
      <c r="Y396">
        <v>0.44400000000000001</v>
      </c>
    </row>
    <row r="397" spans="1:25" x14ac:dyDescent="0.35">
      <c r="A397" t="s">
        <v>423</v>
      </c>
      <c r="B397" t="s">
        <v>412</v>
      </c>
      <c r="C397" t="s">
        <v>588</v>
      </c>
      <c r="D397">
        <v>9.17</v>
      </c>
      <c r="E397">
        <v>8.35</v>
      </c>
      <c r="F397">
        <v>8.65</v>
      </c>
      <c r="G397">
        <v>13.07</v>
      </c>
      <c r="H397">
        <v>13.04</v>
      </c>
      <c r="I397">
        <v>13.04</v>
      </c>
      <c r="J397">
        <v>0.98</v>
      </c>
      <c r="K397">
        <v>7.92</v>
      </c>
      <c r="L397">
        <v>3.6</v>
      </c>
      <c r="M397">
        <v>85.2</v>
      </c>
      <c r="N397">
        <v>52.51</v>
      </c>
      <c r="O397">
        <v>68.855000000000004</v>
      </c>
      <c r="P397">
        <v>69.11</v>
      </c>
      <c r="Q397">
        <v>73.069999999999993</v>
      </c>
      <c r="R397">
        <v>71.040000000000006</v>
      </c>
      <c r="S397">
        <v>20</v>
      </c>
      <c r="T397">
        <v>33.979999999999997</v>
      </c>
      <c r="U397">
        <v>71.569999999999993</v>
      </c>
      <c r="V397">
        <v>66.37</v>
      </c>
      <c r="W397">
        <v>67.430000000000007</v>
      </c>
      <c r="X397">
        <v>71.48</v>
      </c>
      <c r="Y397">
        <v>0.54200000000000004</v>
      </c>
    </row>
    <row r="398" spans="1:25" x14ac:dyDescent="0.35">
      <c r="A398" t="s">
        <v>424</v>
      </c>
      <c r="B398" t="s">
        <v>412</v>
      </c>
      <c r="C398" t="s">
        <v>588</v>
      </c>
      <c r="D398">
        <v>9.3800000000000008</v>
      </c>
      <c r="E398">
        <v>9.08</v>
      </c>
      <c r="F398">
        <v>9.1300000000000008</v>
      </c>
      <c r="G398">
        <v>12.16</v>
      </c>
      <c r="H398">
        <v>12.99</v>
      </c>
      <c r="I398">
        <v>12.44</v>
      </c>
      <c r="J398">
        <v>2.33</v>
      </c>
      <c r="K398">
        <v>2.4500000000000002</v>
      </c>
      <c r="L398">
        <v>2.38</v>
      </c>
      <c r="M398">
        <v>84.72</v>
      </c>
      <c r="N398">
        <v>54.5</v>
      </c>
      <c r="O398">
        <v>69.61</v>
      </c>
      <c r="P398">
        <v>70.39</v>
      </c>
      <c r="Q398">
        <v>74.400000000000006</v>
      </c>
      <c r="R398">
        <v>72.349999999999994</v>
      </c>
      <c r="S398">
        <v>28</v>
      </c>
      <c r="T398">
        <v>19.89</v>
      </c>
      <c r="U398">
        <v>72.569999999999993</v>
      </c>
      <c r="V398">
        <v>70.44</v>
      </c>
      <c r="W398">
        <v>70.58</v>
      </c>
      <c r="X398">
        <v>65.680000000000007</v>
      </c>
      <c r="Y398">
        <v>0.435</v>
      </c>
    </row>
    <row r="399" spans="1:25" x14ac:dyDescent="0.35">
      <c r="A399" t="s">
        <v>425</v>
      </c>
      <c r="B399" t="s">
        <v>412</v>
      </c>
      <c r="C399" t="s">
        <v>588</v>
      </c>
      <c r="D399">
        <v>12.11</v>
      </c>
      <c r="E399">
        <v>11.39</v>
      </c>
      <c r="F399">
        <v>11.75</v>
      </c>
      <c r="G399">
        <v>16.09</v>
      </c>
      <c r="H399">
        <v>16.97</v>
      </c>
      <c r="I399">
        <v>16.52</v>
      </c>
      <c r="J399">
        <v>5.76</v>
      </c>
      <c r="K399">
        <v>5.43</v>
      </c>
      <c r="L399">
        <v>5.63</v>
      </c>
      <c r="M399">
        <v>83.4</v>
      </c>
      <c r="N399">
        <v>57.72</v>
      </c>
      <c r="O399">
        <v>70.56</v>
      </c>
      <c r="P399">
        <v>71.599999999999994</v>
      </c>
      <c r="Q399">
        <v>76.34</v>
      </c>
      <c r="R399">
        <v>73.91</v>
      </c>
      <c r="S399">
        <v>14.29</v>
      </c>
      <c r="T399">
        <v>34.1</v>
      </c>
      <c r="U399">
        <v>83.68</v>
      </c>
      <c r="V399">
        <v>82.48</v>
      </c>
      <c r="W399">
        <v>82.88</v>
      </c>
      <c r="X399">
        <v>67.83</v>
      </c>
      <c r="Y399">
        <v>0.3</v>
      </c>
    </row>
    <row r="400" spans="1:25" x14ac:dyDescent="0.35">
      <c r="A400" t="s">
        <v>427</v>
      </c>
      <c r="B400" t="s">
        <v>426</v>
      </c>
      <c r="C400" t="s">
        <v>588</v>
      </c>
      <c r="D400">
        <v>8.84</v>
      </c>
      <c r="E400">
        <v>8.36</v>
      </c>
      <c r="F400">
        <v>8.49</v>
      </c>
      <c r="G400">
        <v>12.63</v>
      </c>
      <c r="H400">
        <v>13.77</v>
      </c>
      <c r="I400">
        <v>12.84</v>
      </c>
      <c r="J400">
        <v>1.91</v>
      </c>
      <c r="K400">
        <v>2.25</v>
      </c>
      <c r="L400">
        <v>2.0499999999999998</v>
      </c>
      <c r="M400">
        <v>79.84</v>
      </c>
      <c r="N400">
        <v>55.25</v>
      </c>
      <c r="O400">
        <v>67.545000000000002</v>
      </c>
      <c r="P400">
        <v>71.31</v>
      </c>
      <c r="Q400">
        <v>75.75</v>
      </c>
      <c r="R400">
        <v>73.48</v>
      </c>
      <c r="S400">
        <v>20</v>
      </c>
      <c r="T400">
        <v>33.159999999999997</v>
      </c>
      <c r="U400">
        <v>74.87</v>
      </c>
      <c r="V400">
        <v>69.17</v>
      </c>
      <c r="W400">
        <v>70.03</v>
      </c>
      <c r="X400">
        <v>69.069999999999993</v>
      </c>
      <c r="Y400">
        <v>0.379</v>
      </c>
    </row>
    <row r="401" spans="1:25" x14ac:dyDescent="0.35">
      <c r="A401" t="s">
        <v>428</v>
      </c>
      <c r="B401" t="s">
        <v>426</v>
      </c>
      <c r="C401" t="s">
        <v>588</v>
      </c>
      <c r="D401">
        <v>8.67</v>
      </c>
      <c r="E401">
        <v>8.4499999999999993</v>
      </c>
      <c r="F401">
        <v>8.52</v>
      </c>
      <c r="G401">
        <v>13.22</v>
      </c>
      <c r="H401">
        <v>13.63</v>
      </c>
      <c r="I401">
        <v>13.45</v>
      </c>
      <c r="J401">
        <v>2.64</v>
      </c>
      <c r="K401">
        <v>1.68</v>
      </c>
      <c r="L401">
        <v>2.23</v>
      </c>
      <c r="M401">
        <v>84.85</v>
      </c>
      <c r="N401">
        <v>60.79</v>
      </c>
      <c r="O401">
        <v>72.819999999999993</v>
      </c>
      <c r="P401">
        <v>71.77</v>
      </c>
      <c r="Q401">
        <v>76.709999999999994</v>
      </c>
      <c r="R401">
        <v>74.180000000000007</v>
      </c>
      <c r="S401">
        <v>22.5</v>
      </c>
      <c r="T401">
        <v>35.340000000000003</v>
      </c>
      <c r="U401">
        <v>74.58</v>
      </c>
      <c r="V401">
        <v>71.599999999999994</v>
      </c>
      <c r="W401">
        <v>71.97</v>
      </c>
      <c r="X401">
        <v>74.290000000000006</v>
      </c>
      <c r="Y401">
        <v>0.35599999999999998</v>
      </c>
    </row>
    <row r="402" spans="1:25" x14ac:dyDescent="0.35">
      <c r="A402" t="s">
        <v>429</v>
      </c>
      <c r="B402" t="s">
        <v>426</v>
      </c>
      <c r="C402" t="s">
        <v>588</v>
      </c>
      <c r="D402">
        <v>7.62</v>
      </c>
      <c r="E402">
        <v>7.26</v>
      </c>
      <c r="F402">
        <v>7.26</v>
      </c>
      <c r="G402">
        <v>12.74</v>
      </c>
      <c r="H402">
        <v>12.79</v>
      </c>
      <c r="I402">
        <v>12.79</v>
      </c>
      <c r="J402">
        <v>2.41</v>
      </c>
      <c r="K402">
        <v>2.76</v>
      </c>
      <c r="L402">
        <v>2.57</v>
      </c>
      <c r="M402">
        <v>88.05</v>
      </c>
      <c r="N402">
        <v>69.11</v>
      </c>
      <c r="O402">
        <v>78.58</v>
      </c>
      <c r="P402">
        <v>70.88</v>
      </c>
      <c r="Q402">
        <v>74.91</v>
      </c>
      <c r="R402">
        <v>72.849999999999994</v>
      </c>
      <c r="S402">
        <v>28.57</v>
      </c>
      <c r="T402">
        <v>37.24</v>
      </c>
      <c r="U402">
        <v>72.53</v>
      </c>
      <c r="V402">
        <v>69.14</v>
      </c>
      <c r="W402">
        <v>71.48</v>
      </c>
      <c r="X402">
        <v>78.790000000000006</v>
      </c>
      <c r="Y402">
        <v>0.41599999999999998</v>
      </c>
    </row>
    <row r="403" spans="1:25" x14ac:dyDescent="0.35">
      <c r="A403" t="s">
        <v>430</v>
      </c>
      <c r="B403" t="s">
        <v>426</v>
      </c>
      <c r="C403" t="s">
        <v>588</v>
      </c>
      <c r="D403">
        <v>6.98</v>
      </c>
      <c r="E403">
        <v>7.01</v>
      </c>
      <c r="F403">
        <v>7.01</v>
      </c>
      <c r="G403">
        <v>12.16</v>
      </c>
      <c r="H403">
        <v>12.14</v>
      </c>
      <c r="I403">
        <v>12.14</v>
      </c>
      <c r="J403">
        <v>2.91</v>
      </c>
      <c r="K403">
        <v>1.75</v>
      </c>
      <c r="L403">
        <v>2.4700000000000002</v>
      </c>
      <c r="M403">
        <v>85.1</v>
      </c>
      <c r="N403">
        <v>50.51</v>
      </c>
      <c r="O403">
        <v>67.804999999999993</v>
      </c>
      <c r="P403">
        <v>71.650000000000006</v>
      </c>
      <c r="Q403">
        <v>76.459999999999994</v>
      </c>
      <c r="R403">
        <v>74</v>
      </c>
      <c r="S403">
        <v>27.5</v>
      </c>
      <c r="T403">
        <v>33.17</v>
      </c>
      <c r="U403">
        <v>70.47</v>
      </c>
      <c r="V403">
        <v>65.11</v>
      </c>
      <c r="W403">
        <v>66.38</v>
      </c>
      <c r="X403">
        <v>76.180000000000007</v>
      </c>
      <c r="Y403">
        <v>0.217</v>
      </c>
    </row>
    <row r="404" spans="1:25" x14ac:dyDescent="0.35">
      <c r="A404" t="s">
        <v>431</v>
      </c>
      <c r="B404" t="s">
        <v>426</v>
      </c>
      <c r="C404" t="s">
        <v>588</v>
      </c>
      <c r="D404">
        <v>7.98</v>
      </c>
      <c r="E404">
        <v>7.54</v>
      </c>
      <c r="F404">
        <v>7.73</v>
      </c>
      <c r="G404">
        <v>12.37</v>
      </c>
      <c r="H404">
        <v>12.87</v>
      </c>
      <c r="I404">
        <v>12.5</v>
      </c>
      <c r="J404">
        <v>3.87</v>
      </c>
      <c r="K404">
        <v>3.8</v>
      </c>
      <c r="L404">
        <v>3.84</v>
      </c>
      <c r="M404">
        <v>85.3</v>
      </c>
      <c r="N404">
        <v>44.93</v>
      </c>
      <c r="O404">
        <v>65.114999999999995</v>
      </c>
      <c r="P404">
        <v>71.45</v>
      </c>
      <c r="Q404">
        <v>76.040000000000006</v>
      </c>
      <c r="R404">
        <v>73.69</v>
      </c>
      <c r="S404">
        <v>31.43</v>
      </c>
      <c r="T404">
        <v>27.88</v>
      </c>
      <c r="U404">
        <v>73.8</v>
      </c>
      <c r="V404">
        <v>65.12</v>
      </c>
      <c r="W404">
        <v>69.47</v>
      </c>
      <c r="X404">
        <v>73.63</v>
      </c>
      <c r="Y404">
        <v>0.32900000000000001</v>
      </c>
    </row>
    <row r="405" spans="1:25" x14ac:dyDescent="0.35">
      <c r="A405" t="s">
        <v>432</v>
      </c>
      <c r="B405" t="s">
        <v>426</v>
      </c>
      <c r="C405" t="s">
        <v>588</v>
      </c>
      <c r="D405">
        <v>8.6199999999999992</v>
      </c>
      <c r="E405">
        <v>8.44</v>
      </c>
      <c r="F405">
        <v>8.5299999999999994</v>
      </c>
      <c r="G405">
        <v>13.5</v>
      </c>
      <c r="H405">
        <v>14.12</v>
      </c>
      <c r="I405">
        <v>13.71</v>
      </c>
      <c r="J405">
        <v>4.24</v>
      </c>
      <c r="K405">
        <v>3.44</v>
      </c>
      <c r="L405">
        <v>3.91</v>
      </c>
      <c r="M405">
        <v>86.57</v>
      </c>
      <c r="N405">
        <v>59.5</v>
      </c>
      <c r="O405">
        <v>73.034999999999997</v>
      </c>
      <c r="P405">
        <v>71.78</v>
      </c>
      <c r="Q405">
        <v>76.72</v>
      </c>
      <c r="R405">
        <v>74.19</v>
      </c>
      <c r="S405">
        <v>31.11</v>
      </c>
      <c r="T405">
        <v>35.4</v>
      </c>
      <c r="U405">
        <v>76.58</v>
      </c>
      <c r="V405">
        <v>68.09</v>
      </c>
      <c r="W405">
        <v>72.260000000000005</v>
      </c>
      <c r="X405">
        <v>81.66</v>
      </c>
      <c r="Y405">
        <v>0.308</v>
      </c>
    </row>
    <row r="406" spans="1:25" x14ac:dyDescent="0.35">
      <c r="A406" t="s">
        <v>433</v>
      </c>
      <c r="B406" t="s">
        <v>426</v>
      </c>
      <c r="C406" t="s">
        <v>588</v>
      </c>
      <c r="D406">
        <v>7.99</v>
      </c>
      <c r="E406">
        <v>7.81</v>
      </c>
      <c r="F406">
        <v>7.82</v>
      </c>
      <c r="G406">
        <v>13.09</v>
      </c>
      <c r="H406">
        <v>13.87</v>
      </c>
      <c r="I406">
        <v>13.27</v>
      </c>
      <c r="J406">
        <v>1.52</v>
      </c>
      <c r="K406">
        <v>1.53</v>
      </c>
      <c r="L406">
        <v>1.52</v>
      </c>
      <c r="M406">
        <v>84.36</v>
      </c>
      <c r="N406">
        <v>61.79</v>
      </c>
      <c r="O406">
        <v>73.075000000000003</v>
      </c>
      <c r="P406">
        <v>71.03</v>
      </c>
      <c r="Q406">
        <v>75.150000000000006</v>
      </c>
      <c r="R406">
        <v>73.040000000000006</v>
      </c>
      <c r="S406">
        <v>16.670000000000002</v>
      </c>
      <c r="T406">
        <v>34.06</v>
      </c>
      <c r="U406">
        <v>70.569999999999993</v>
      </c>
      <c r="V406">
        <v>69.37</v>
      </c>
      <c r="W406">
        <v>69.52</v>
      </c>
      <c r="X406">
        <v>67.08</v>
      </c>
      <c r="Y406">
        <v>0.38200000000000001</v>
      </c>
    </row>
    <row r="407" spans="1:25" x14ac:dyDescent="0.35">
      <c r="A407" t="s">
        <v>434</v>
      </c>
      <c r="B407" t="s">
        <v>426</v>
      </c>
      <c r="C407" t="s">
        <v>588</v>
      </c>
      <c r="D407">
        <v>8.58</v>
      </c>
      <c r="E407">
        <v>7.84</v>
      </c>
      <c r="F407">
        <v>8.0500000000000007</v>
      </c>
      <c r="G407">
        <v>13.43</v>
      </c>
      <c r="H407">
        <v>13.64</v>
      </c>
      <c r="I407">
        <v>13.51</v>
      </c>
      <c r="J407">
        <v>4.43</v>
      </c>
      <c r="K407">
        <v>4.1900000000000004</v>
      </c>
      <c r="L407">
        <v>4.34</v>
      </c>
      <c r="M407">
        <v>79.400000000000006</v>
      </c>
      <c r="N407">
        <v>43.88</v>
      </c>
      <c r="O407">
        <v>61.64</v>
      </c>
      <c r="P407">
        <v>71.510000000000005</v>
      </c>
      <c r="Q407">
        <v>76.150000000000006</v>
      </c>
      <c r="R407">
        <v>73.77</v>
      </c>
      <c r="S407">
        <v>25.71</v>
      </c>
      <c r="T407">
        <v>27.58</v>
      </c>
      <c r="U407">
        <v>76.88</v>
      </c>
      <c r="V407">
        <v>68.89</v>
      </c>
      <c r="W407">
        <v>72.11</v>
      </c>
      <c r="X407">
        <v>71.86</v>
      </c>
      <c r="Y407">
        <v>0.23599999999999999</v>
      </c>
    </row>
    <row r="408" spans="1:25" x14ac:dyDescent="0.35">
      <c r="A408" t="s">
        <v>435</v>
      </c>
      <c r="B408" t="s">
        <v>426</v>
      </c>
      <c r="C408" t="s">
        <v>588</v>
      </c>
      <c r="D408">
        <v>8.74</v>
      </c>
      <c r="E408">
        <v>8.39</v>
      </c>
      <c r="F408">
        <v>8.4700000000000006</v>
      </c>
      <c r="G408">
        <v>12.69</v>
      </c>
      <c r="H408">
        <v>13.1</v>
      </c>
      <c r="I408">
        <v>12.81</v>
      </c>
      <c r="J408">
        <v>4.88</v>
      </c>
      <c r="K408">
        <v>2.77</v>
      </c>
      <c r="L408">
        <v>3.99</v>
      </c>
      <c r="M408">
        <v>84.96</v>
      </c>
      <c r="N408">
        <v>58.16</v>
      </c>
      <c r="O408">
        <v>71.56</v>
      </c>
      <c r="P408">
        <v>71.08</v>
      </c>
      <c r="Q408">
        <v>75.25</v>
      </c>
      <c r="R408">
        <v>73.11</v>
      </c>
      <c r="S408">
        <v>8.57</v>
      </c>
      <c r="T408">
        <v>32.409999999999997</v>
      </c>
      <c r="U408">
        <v>75.75</v>
      </c>
      <c r="V408">
        <v>69.2</v>
      </c>
      <c r="W408">
        <v>71.22</v>
      </c>
      <c r="X408">
        <v>58.4</v>
      </c>
      <c r="Y408">
        <v>0.42399999999999999</v>
      </c>
    </row>
    <row r="409" spans="1:25" x14ac:dyDescent="0.35">
      <c r="A409" t="s">
        <v>436</v>
      </c>
      <c r="B409" t="s">
        <v>426</v>
      </c>
      <c r="C409" t="s">
        <v>588</v>
      </c>
      <c r="D409">
        <v>8.9600000000000009</v>
      </c>
      <c r="E409">
        <v>8.7200000000000006</v>
      </c>
      <c r="F409">
        <v>8.8000000000000007</v>
      </c>
      <c r="G409">
        <v>13.54</v>
      </c>
      <c r="H409">
        <v>13.87</v>
      </c>
      <c r="I409">
        <v>13.63</v>
      </c>
      <c r="J409">
        <v>6.48</v>
      </c>
      <c r="K409">
        <v>6.29</v>
      </c>
      <c r="L409">
        <v>6.42</v>
      </c>
      <c r="M409">
        <v>78.569999999999993</v>
      </c>
      <c r="N409">
        <v>41.26</v>
      </c>
      <c r="O409">
        <v>59.914999999999992</v>
      </c>
      <c r="P409">
        <v>70.78</v>
      </c>
      <c r="Q409">
        <v>74.81</v>
      </c>
      <c r="R409">
        <v>72.75</v>
      </c>
      <c r="S409">
        <v>20</v>
      </c>
      <c r="T409">
        <v>26.4</v>
      </c>
      <c r="U409">
        <v>75.87</v>
      </c>
      <c r="V409">
        <v>72.64</v>
      </c>
      <c r="W409">
        <v>73.06</v>
      </c>
      <c r="X409">
        <v>65.09</v>
      </c>
      <c r="Y409">
        <v>0.33</v>
      </c>
    </row>
    <row r="410" spans="1:25" x14ac:dyDescent="0.35">
      <c r="A410" t="s">
        <v>437</v>
      </c>
      <c r="B410" t="s">
        <v>426</v>
      </c>
      <c r="C410" t="s">
        <v>588</v>
      </c>
      <c r="D410">
        <v>7.81</v>
      </c>
      <c r="E410">
        <v>7.55</v>
      </c>
      <c r="F410">
        <v>7.55</v>
      </c>
      <c r="G410">
        <v>12.56</v>
      </c>
      <c r="H410">
        <v>13.62</v>
      </c>
      <c r="I410">
        <v>13.02</v>
      </c>
      <c r="J410">
        <v>1.66</v>
      </c>
      <c r="K410">
        <v>3.3</v>
      </c>
      <c r="L410">
        <v>2.2799999999999998</v>
      </c>
      <c r="M410">
        <v>82.44</v>
      </c>
      <c r="N410">
        <v>47.12</v>
      </c>
      <c r="O410">
        <v>64.78</v>
      </c>
      <c r="P410">
        <v>71.3</v>
      </c>
      <c r="Q410">
        <v>75.72</v>
      </c>
      <c r="R410">
        <v>73.459999999999994</v>
      </c>
      <c r="S410">
        <v>11.11</v>
      </c>
      <c r="T410">
        <v>33.04</v>
      </c>
      <c r="U410">
        <v>71.88</v>
      </c>
      <c r="V410">
        <v>67.3</v>
      </c>
      <c r="W410">
        <v>68.36</v>
      </c>
      <c r="X410">
        <v>63.08</v>
      </c>
      <c r="Y410">
        <v>0.501</v>
      </c>
    </row>
    <row r="411" spans="1:25" x14ac:dyDescent="0.35">
      <c r="A411" t="s">
        <v>438</v>
      </c>
      <c r="B411" t="s">
        <v>426</v>
      </c>
      <c r="C411" t="s">
        <v>588</v>
      </c>
      <c r="D411">
        <v>8.4499999999999993</v>
      </c>
      <c r="E411">
        <v>8.52</v>
      </c>
      <c r="F411">
        <v>8.4499999999999993</v>
      </c>
      <c r="G411">
        <v>13.12</v>
      </c>
      <c r="H411">
        <v>13.45</v>
      </c>
      <c r="I411">
        <v>13.22</v>
      </c>
      <c r="J411">
        <v>2.96</v>
      </c>
      <c r="K411">
        <v>3.93</v>
      </c>
      <c r="L411">
        <v>3.33</v>
      </c>
      <c r="M411">
        <v>81.41</v>
      </c>
      <c r="N411">
        <v>45.23</v>
      </c>
      <c r="O411">
        <v>63.319999999999993</v>
      </c>
      <c r="P411">
        <v>71.5</v>
      </c>
      <c r="Q411">
        <v>76.14</v>
      </c>
      <c r="R411">
        <v>73.77</v>
      </c>
      <c r="S411">
        <v>20</v>
      </c>
      <c r="T411">
        <v>34.4</v>
      </c>
      <c r="U411">
        <v>72.900000000000006</v>
      </c>
      <c r="V411">
        <v>70.959999999999994</v>
      </c>
      <c r="W411">
        <v>71.39</v>
      </c>
      <c r="X411">
        <v>69.91</v>
      </c>
      <c r="Y411">
        <v>0.26500000000000001</v>
      </c>
    </row>
    <row r="412" spans="1:25" x14ac:dyDescent="0.35">
      <c r="A412" t="s">
        <v>439</v>
      </c>
      <c r="B412" t="s">
        <v>426</v>
      </c>
      <c r="C412" t="s">
        <v>588</v>
      </c>
      <c r="D412">
        <v>7.54</v>
      </c>
      <c r="E412">
        <v>7.14</v>
      </c>
      <c r="F412">
        <v>7.46</v>
      </c>
      <c r="G412">
        <v>13.26</v>
      </c>
      <c r="H412">
        <v>13.7</v>
      </c>
      <c r="I412">
        <v>13.32</v>
      </c>
      <c r="J412">
        <v>1.23</v>
      </c>
      <c r="K412">
        <v>3.95</v>
      </c>
      <c r="L412">
        <v>2.31</v>
      </c>
      <c r="M412">
        <v>84.58</v>
      </c>
      <c r="N412">
        <v>52.19</v>
      </c>
      <c r="O412">
        <v>68.384999999999991</v>
      </c>
      <c r="P412">
        <v>71.31</v>
      </c>
      <c r="Q412">
        <v>75.73</v>
      </c>
      <c r="R412">
        <v>73.47</v>
      </c>
      <c r="S412">
        <v>10</v>
      </c>
      <c r="T412">
        <v>28.85</v>
      </c>
      <c r="U412">
        <v>75.959999999999994</v>
      </c>
      <c r="V412">
        <v>68.86</v>
      </c>
      <c r="W412">
        <v>71.52</v>
      </c>
      <c r="X412">
        <v>57.91</v>
      </c>
      <c r="Y412">
        <v>0.41899999999999998</v>
      </c>
    </row>
    <row r="413" spans="1:25" x14ac:dyDescent="0.35">
      <c r="A413" t="s">
        <v>440</v>
      </c>
      <c r="B413" t="s">
        <v>426</v>
      </c>
      <c r="C413" t="s">
        <v>588</v>
      </c>
      <c r="D413">
        <v>8.34</v>
      </c>
      <c r="E413">
        <v>8.17</v>
      </c>
      <c r="F413">
        <v>8.2100000000000009</v>
      </c>
      <c r="G413">
        <v>12.74</v>
      </c>
      <c r="H413">
        <v>13.34</v>
      </c>
      <c r="I413">
        <v>13.03</v>
      </c>
      <c r="J413">
        <v>2.0699999999999998</v>
      </c>
      <c r="K413">
        <v>5</v>
      </c>
      <c r="L413">
        <v>3.02</v>
      </c>
      <c r="M413">
        <v>83.97</v>
      </c>
      <c r="N413">
        <v>39.21</v>
      </c>
      <c r="O413">
        <v>61.59</v>
      </c>
      <c r="P413">
        <v>71.95</v>
      </c>
      <c r="Q413">
        <v>77.08</v>
      </c>
      <c r="R413">
        <v>74.45</v>
      </c>
      <c r="S413">
        <v>8.57</v>
      </c>
      <c r="T413">
        <v>30</v>
      </c>
      <c r="U413">
        <v>77.180000000000007</v>
      </c>
      <c r="V413">
        <v>71.47</v>
      </c>
      <c r="W413">
        <v>73.209999999999994</v>
      </c>
      <c r="X413">
        <v>57.11</v>
      </c>
      <c r="Y413">
        <v>0.39700000000000002</v>
      </c>
    </row>
    <row r="414" spans="1:25" x14ac:dyDescent="0.35">
      <c r="A414" t="s">
        <v>441</v>
      </c>
      <c r="B414" t="s">
        <v>426</v>
      </c>
      <c r="C414" t="s">
        <v>588</v>
      </c>
      <c r="D414">
        <v>8.68</v>
      </c>
      <c r="E414">
        <v>8.34</v>
      </c>
      <c r="F414">
        <v>8.5299999999999994</v>
      </c>
      <c r="G414">
        <v>12.6</v>
      </c>
      <c r="H414">
        <v>14.06</v>
      </c>
      <c r="I414">
        <v>13.28</v>
      </c>
      <c r="J414">
        <v>1.91</v>
      </c>
      <c r="K414">
        <v>5.17</v>
      </c>
      <c r="L414">
        <v>3.12</v>
      </c>
      <c r="M414">
        <v>82.58</v>
      </c>
      <c r="N414">
        <v>46.53</v>
      </c>
      <c r="O414">
        <v>64.555000000000007</v>
      </c>
      <c r="P414">
        <v>72.069999999999993</v>
      </c>
      <c r="Q414">
        <v>77.33</v>
      </c>
      <c r="R414">
        <v>74.63</v>
      </c>
      <c r="S414">
        <v>10</v>
      </c>
      <c r="T414">
        <v>35.14</v>
      </c>
      <c r="U414">
        <v>75.78</v>
      </c>
      <c r="V414">
        <v>72.64</v>
      </c>
      <c r="W414">
        <v>73.55</v>
      </c>
      <c r="X414">
        <v>63.06</v>
      </c>
      <c r="Y414">
        <v>0.28000000000000003</v>
      </c>
    </row>
    <row r="415" spans="1:25" x14ac:dyDescent="0.35">
      <c r="A415" t="s">
        <v>442</v>
      </c>
      <c r="B415" t="s">
        <v>426</v>
      </c>
      <c r="C415" t="s">
        <v>588</v>
      </c>
      <c r="D415">
        <v>9.31</v>
      </c>
      <c r="E415">
        <v>8.8699999999999992</v>
      </c>
      <c r="F415">
        <v>9.11</v>
      </c>
      <c r="G415">
        <v>13.88</v>
      </c>
      <c r="H415">
        <v>14.41</v>
      </c>
      <c r="I415">
        <v>13.88</v>
      </c>
      <c r="J415">
        <v>1.21</v>
      </c>
      <c r="K415">
        <v>1.9</v>
      </c>
      <c r="L415">
        <v>1.51</v>
      </c>
      <c r="M415">
        <v>85.25</v>
      </c>
      <c r="N415">
        <v>65.17</v>
      </c>
      <c r="O415">
        <v>75.210000000000008</v>
      </c>
      <c r="P415">
        <v>71.7</v>
      </c>
      <c r="Q415">
        <v>76.56</v>
      </c>
      <c r="R415">
        <v>74.069999999999993</v>
      </c>
      <c r="S415">
        <v>16.670000000000002</v>
      </c>
      <c r="T415">
        <v>38.08</v>
      </c>
      <c r="U415">
        <v>75.430000000000007</v>
      </c>
      <c r="V415">
        <v>74.03</v>
      </c>
      <c r="W415">
        <v>74.61</v>
      </c>
      <c r="X415">
        <v>71.41</v>
      </c>
      <c r="Y415">
        <v>0.318</v>
      </c>
    </row>
    <row r="416" spans="1:25" x14ac:dyDescent="0.35">
      <c r="A416" t="s">
        <v>443</v>
      </c>
      <c r="B416" t="s">
        <v>426</v>
      </c>
      <c r="C416" t="s">
        <v>588</v>
      </c>
      <c r="D416">
        <v>9</v>
      </c>
      <c r="E416">
        <v>8.68</v>
      </c>
      <c r="F416">
        <v>8.81</v>
      </c>
      <c r="G416">
        <v>13.08</v>
      </c>
      <c r="H416">
        <v>13.81</v>
      </c>
      <c r="I416">
        <v>13.43</v>
      </c>
      <c r="J416">
        <v>3.68</v>
      </c>
      <c r="K416">
        <v>4.84</v>
      </c>
      <c r="L416">
        <v>4.1399999999999997</v>
      </c>
      <c r="M416">
        <v>81.73</v>
      </c>
      <c r="N416">
        <v>54.78</v>
      </c>
      <c r="O416">
        <v>68.254999999999995</v>
      </c>
      <c r="P416">
        <v>71.34</v>
      </c>
      <c r="Q416">
        <v>75.8</v>
      </c>
      <c r="R416">
        <v>73.52</v>
      </c>
      <c r="S416">
        <v>11.43</v>
      </c>
      <c r="T416">
        <v>36.799999999999997</v>
      </c>
      <c r="U416">
        <v>76.28</v>
      </c>
      <c r="V416">
        <v>70.81</v>
      </c>
      <c r="W416">
        <v>72.790000000000006</v>
      </c>
      <c r="X416">
        <v>65.77</v>
      </c>
      <c r="Y416">
        <v>0.39300000000000002</v>
      </c>
    </row>
    <row r="417" spans="1:25" x14ac:dyDescent="0.35">
      <c r="A417" t="s">
        <v>444</v>
      </c>
      <c r="B417" t="s">
        <v>426</v>
      </c>
      <c r="C417" t="s">
        <v>588</v>
      </c>
      <c r="D417">
        <v>9.06</v>
      </c>
      <c r="E417">
        <v>8.52</v>
      </c>
      <c r="F417">
        <v>8.77</v>
      </c>
      <c r="G417">
        <v>14.1</v>
      </c>
      <c r="H417">
        <v>14.37</v>
      </c>
      <c r="I417">
        <v>14.1</v>
      </c>
      <c r="J417">
        <v>5.3</v>
      </c>
      <c r="K417">
        <v>2.36</v>
      </c>
      <c r="L417">
        <v>3.98</v>
      </c>
      <c r="M417">
        <v>80.709999999999994</v>
      </c>
      <c r="N417">
        <v>71.72</v>
      </c>
      <c r="O417">
        <v>76.215000000000003</v>
      </c>
      <c r="P417">
        <v>72.94</v>
      </c>
      <c r="Q417">
        <v>77.61</v>
      </c>
      <c r="R417">
        <v>74.849999999999994</v>
      </c>
      <c r="S417">
        <v>6.67</v>
      </c>
      <c r="T417">
        <v>44.78</v>
      </c>
      <c r="U417">
        <v>76.19</v>
      </c>
      <c r="V417">
        <v>67.849999999999994</v>
      </c>
      <c r="W417">
        <v>71.67</v>
      </c>
      <c r="X417">
        <v>61.66</v>
      </c>
      <c r="Y417">
        <v>0.52300000000000002</v>
      </c>
    </row>
    <row r="418" spans="1:25" x14ac:dyDescent="0.35">
      <c r="A418" t="s">
        <v>445</v>
      </c>
      <c r="B418" t="s">
        <v>426</v>
      </c>
      <c r="C418" t="s">
        <v>588</v>
      </c>
      <c r="D418">
        <v>8.52</v>
      </c>
      <c r="E418">
        <v>8.1999999999999993</v>
      </c>
      <c r="F418">
        <v>8.3699999999999992</v>
      </c>
      <c r="G418">
        <v>12.6</v>
      </c>
      <c r="H418">
        <v>12.61</v>
      </c>
      <c r="I418">
        <v>12.61</v>
      </c>
      <c r="J418">
        <v>1.67</v>
      </c>
      <c r="K418">
        <v>3.54</v>
      </c>
      <c r="L418">
        <v>2.39</v>
      </c>
      <c r="M418">
        <v>84.96</v>
      </c>
      <c r="N418">
        <v>53.34</v>
      </c>
      <c r="O418">
        <v>69.150000000000006</v>
      </c>
      <c r="P418">
        <v>71.569999999999993</v>
      </c>
      <c r="Q418">
        <v>76.28</v>
      </c>
      <c r="R418">
        <v>73.87</v>
      </c>
      <c r="S418">
        <v>14.29</v>
      </c>
      <c r="T418">
        <v>21</v>
      </c>
      <c r="U418">
        <v>75.53</v>
      </c>
      <c r="V418">
        <v>68.23</v>
      </c>
      <c r="W418">
        <v>72.069999999999993</v>
      </c>
      <c r="X418">
        <v>54.02</v>
      </c>
      <c r="Y418">
        <v>0.443</v>
      </c>
    </row>
    <row r="419" spans="1:25" x14ac:dyDescent="0.35">
      <c r="A419" t="s">
        <v>446</v>
      </c>
      <c r="B419" t="s">
        <v>426</v>
      </c>
      <c r="C419" t="s">
        <v>588</v>
      </c>
      <c r="D419">
        <v>9.16</v>
      </c>
      <c r="E419">
        <v>8.7899999999999991</v>
      </c>
      <c r="F419">
        <v>8.94</v>
      </c>
      <c r="G419">
        <v>13</v>
      </c>
      <c r="H419">
        <v>13.43</v>
      </c>
      <c r="I419">
        <v>13.18</v>
      </c>
      <c r="J419">
        <v>4.33</v>
      </c>
      <c r="K419">
        <v>5</v>
      </c>
      <c r="L419">
        <v>4.58</v>
      </c>
      <c r="M419">
        <v>86.06</v>
      </c>
      <c r="N419">
        <v>53.55</v>
      </c>
      <c r="O419">
        <v>69.805000000000007</v>
      </c>
      <c r="P419">
        <v>72.010000000000005</v>
      </c>
      <c r="Q419">
        <v>77.209999999999994</v>
      </c>
      <c r="R419">
        <v>74.55</v>
      </c>
      <c r="S419">
        <v>11.43</v>
      </c>
      <c r="T419">
        <v>23.67</v>
      </c>
      <c r="U419">
        <v>79.11</v>
      </c>
      <c r="V419">
        <v>71.55</v>
      </c>
      <c r="W419">
        <v>74.95</v>
      </c>
      <c r="X419">
        <v>56.12</v>
      </c>
      <c r="Y419">
        <v>0.46500000000000002</v>
      </c>
    </row>
    <row r="420" spans="1:25" x14ac:dyDescent="0.35">
      <c r="A420" t="s">
        <v>447</v>
      </c>
      <c r="B420" t="s">
        <v>426</v>
      </c>
      <c r="C420" t="s">
        <v>588</v>
      </c>
      <c r="D420">
        <v>8.76</v>
      </c>
      <c r="E420">
        <v>8.5399999999999991</v>
      </c>
      <c r="F420">
        <v>8.5399999999999991</v>
      </c>
      <c r="G420">
        <v>13.11</v>
      </c>
      <c r="H420">
        <v>13.77</v>
      </c>
      <c r="I420">
        <v>13.43</v>
      </c>
      <c r="J420">
        <v>2.7</v>
      </c>
      <c r="K420">
        <v>2.11</v>
      </c>
      <c r="L420">
        <v>2.44</v>
      </c>
      <c r="M420">
        <v>78.75</v>
      </c>
      <c r="N420">
        <v>66.069999999999993</v>
      </c>
      <c r="O420">
        <v>72.41</v>
      </c>
      <c r="P420">
        <v>72.37</v>
      </c>
      <c r="Q420">
        <v>77.819999999999993</v>
      </c>
      <c r="R420">
        <v>75.03</v>
      </c>
      <c r="S420">
        <v>13.33</v>
      </c>
      <c r="T420">
        <v>36.340000000000003</v>
      </c>
      <c r="U420">
        <v>75.77</v>
      </c>
      <c r="V420">
        <v>67</v>
      </c>
      <c r="W420">
        <v>71.849999999999994</v>
      </c>
      <c r="X420">
        <v>66.569999999999993</v>
      </c>
      <c r="Y420">
        <v>0.22500000000000001</v>
      </c>
    </row>
    <row r="421" spans="1:25" x14ac:dyDescent="0.35">
      <c r="A421" t="s">
        <v>572</v>
      </c>
      <c r="B421" t="s">
        <v>426</v>
      </c>
      <c r="C421" t="s">
        <v>588</v>
      </c>
      <c r="D421">
        <v>11.78</v>
      </c>
      <c r="E421">
        <v>11.53</v>
      </c>
      <c r="F421">
        <v>11.57</v>
      </c>
      <c r="G421">
        <v>15.57</v>
      </c>
      <c r="H421">
        <v>16.12</v>
      </c>
      <c r="I421">
        <v>15.62</v>
      </c>
      <c r="J421">
        <v>7.24</v>
      </c>
      <c r="K421">
        <v>13.67</v>
      </c>
      <c r="L421">
        <v>9.7100000000000009</v>
      </c>
      <c r="M421">
        <v>77.44</v>
      </c>
      <c r="N421">
        <v>47.06</v>
      </c>
      <c r="O421">
        <v>62.25</v>
      </c>
      <c r="P421">
        <v>72.62</v>
      </c>
      <c r="Q421">
        <v>78.180000000000007</v>
      </c>
      <c r="R421">
        <v>75.33</v>
      </c>
      <c r="S421">
        <v>16</v>
      </c>
      <c r="T421">
        <v>35.03</v>
      </c>
      <c r="U421">
        <v>86.16</v>
      </c>
      <c r="V421">
        <v>81.84</v>
      </c>
      <c r="W421">
        <v>83.9</v>
      </c>
      <c r="X421">
        <v>71.040000000000006</v>
      </c>
      <c r="Y421">
        <v>0.35599999999999998</v>
      </c>
    </row>
    <row r="422" spans="1:25" x14ac:dyDescent="0.35">
      <c r="A422" t="s">
        <v>449</v>
      </c>
      <c r="B422" t="s">
        <v>426</v>
      </c>
      <c r="C422" t="s">
        <v>588</v>
      </c>
      <c r="D422">
        <v>11.19</v>
      </c>
      <c r="E422">
        <v>10.78</v>
      </c>
      <c r="F422">
        <v>10.88</v>
      </c>
      <c r="G422">
        <v>14.18</v>
      </c>
      <c r="H422">
        <v>14.72</v>
      </c>
      <c r="I422">
        <v>14.55</v>
      </c>
      <c r="J422">
        <v>5.88</v>
      </c>
      <c r="K422">
        <v>4.34</v>
      </c>
      <c r="L422">
        <v>5.23</v>
      </c>
      <c r="M422">
        <v>81.42</v>
      </c>
      <c r="N422">
        <v>58.3</v>
      </c>
      <c r="O422">
        <v>69.86</v>
      </c>
      <c r="P422">
        <v>72.06</v>
      </c>
      <c r="Q422">
        <v>77.319999999999993</v>
      </c>
      <c r="R422">
        <v>74.63</v>
      </c>
      <c r="S422">
        <v>24</v>
      </c>
      <c r="T422">
        <v>32.69</v>
      </c>
      <c r="U422">
        <v>81.42</v>
      </c>
      <c r="V422">
        <v>79.17</v>
      </c>
      <c r="W422">
        <v>79.64</v>
      </c>
      <c r="X422">
        <v>75.17</v>
      </c>
      <c r="Y422">
        <v>0.16600000000000001</v>
      </c>
    </row>
    <row r="423" spans="1:25" x14ac:dyDescent="0.35">
      <c r="A423" t="s">
        <v>450</v>
      </c>
      <c r="B423" t="s">
        <v>426</v>
      </c>
      <c r="C423" t="s">
        <v>588</v>
      </c>
      <c r="D423">
        <v>11.3</v>
      </c>
      <c r="E423">
        <v>11.02</v>
      </c>
      <c r="F423">
        <v>11.16</v>
      </c>
      <c r="G423">
        <v>14.17</v>
      </c>
      <c r="H423">
        <v>15.85</v>
      </c>
      <c r="I423">
        <v>15.13</v>
      </c>
      <c r="J423">
        <v>7.05</v>
      </c>
      <c r="K423">
        <v>8.5500000000000007</v>
      </c>
      <c r="L423">
        <v>7.64</v>
      </c>
      <c r="M423">
        <v>80.45</v>
      </c>
      <c r="N423">
        <v>52.02</v>
      </c>
      <c r="O423">
        <v>66.234999999999999</v>
      </c>
      <c r="P423">
        <v>71.78</v>
      </c>
      <c r="Q423">
        <v>76.72</v>
      </c>
      <c r="R423">
        <v>74.19</v>
      </c>
      <c r="S423">
        <v>20</v>
      </c>
      <c r="T423">
        <v>34.909999999999997</v>
      </c>
      <c r="U423">
        <v>81.34</v>
      </c>
      <c r="V423">
        <v>79.37</v>
      </c>
      <c r="W423">
        <v>79.94</v>
      </c>
      <c r="X423">
        <v>73.739999999999995</v>
      </c>
      <c r="Y423">
        <v>0.20399999999999999</v>
      </c>
    </row>
    <row r="424" spans="1:25" x14ac:dyDescent="0.35">
      <c r="A424" t="s">
        <v>452</v>
      </c>
      <c r="B424" t="s">
        <v>451</v>
      </c>
      <c r="C424" t="s">
        <v>588</v>
      </c>
      <c r="D424">
        <v>9.58</v>
      </c>
      <c r="E424">
        <v>7.94</v>
      </c>
      <c r="F424">
        <v>8.6300000000000008</v>
      </c>
      <c r="G424">
        <v>14.37</v>
      </c>
      <c r="H424">
        <v>13.88</v>
      </c>
      <c r="I424">
        <v>13.89</v>
      </c>
      <c r="J424">
        <v>3.88</v>
      </c>
      <c r="K424">
        <v>1.61</v>
      </c>
      <c r="L424">
        <v>2.95</v>
      </c>
      <c r="M424">
        <v>81.17</v>
      </c>
      <c r="N424">
        <v>57.19</v>
      </c>
      <c r="O424">
        <v>69.180000000000007</v>
      </c>
      <c r="P424">
        <v>68.55</v>
      </c>
      <c r="Q424">
        <v>72.48</v>
      </c>
      <c r="R424">
        <v>70.47</v>
      </c>
      <c r="S424">
        <v>24</v>
      </c>
      <c r="T424">
        <v>35.67</v>
      </c>
      <c r="U424">
        <v>75.83</v>
      </c>
      <c r="V424">
        <v>62.23</v>
      </c>
      <c r="W424">
        <v>68.88</v>
      </c>
      <c r="X424">
        <v>76.77</v>
      </c>
      <c r="Y424">
        <v>0.51800000000000002</v>
      </c>
    </row>
    <row r="425" spans="1:25" x14ac:dyDescent="0.35">
      <c r="A425" t="s">
        <v>453</v>
      </c>
      <c r="B425" t="s">
        <v>451</v>
      </c>
      <c r="C425" t="s">
        <v>588</v>
      </c>
      <c r="D425">
        <v>9.44</v>
      </c>
      <c r="E425">
        <v>8.31</v>
      </c>
      <c r="F425">
        <v>8.7100000000000009</v>
      </c>
      <c r="G425">
        <v>14.17</v>
      </c>
      <c r="H425">
        <v>14.3</v>
      </c>
      <c r="I425">
        <v>14.17</v>
      </c>
      <c r="J425">
        <v>3.42</v>
      </c>
      <c r="K425">
        <v>4.2</v>
      </c>
      <c r="L425">
        <v>3.78</v>
      </c>
      <c r="M425">
        <v>78.23</v>
      </c>
      <c r="N425">
        <v>62.68</v>
      </c>
      <c r="O425">
        <v>70.454999999999998</v>
      </c>
      <c r="P425">
        <v>69.69</v>
      </c>
      <c r="Q425">
        <v>73.680000000000007</v>
      </c>
      <c r="R425">
        <v>71.64</v>
      </c>
      <c r="S425">
        <v>10</v>
      </c>
      <c r="T425">
        <v>36.49</v>
      </c>
      <c r="U425">
        <v>76.16</v>
      </c>
      <c r="V425">
        <v>67.3</v>
      </c>
      <c r="W425">
        <v>71.05</v>
      </c>
      <c r="X425">
        <v>62.24</v>
      </c>
      <c r="Y425">
        <v>0.55100000000000005</v>
      </c>
    </row>
    <row r="426" spans="1:25" x14ac:dyDescent="0.35">
      <c r="A426" t="s">
        <v>454</v>
      </c>
      <c r="B426" t="s">
        <v>451</v>
      </c>
      <c r="C426" t="s">
        <v>588</v>
      </c>
      <c r="D426">
        <v>9.99</v>
      </c>
      <c r="E426">
        <v>9.43</v>
      </c>
      <c r="F426">
        <v>9.69</v>
      </c>
      <c r="G426">
        <v>12.7</v>
      </c>
      <c r="H426">
        <v>13.39</v>
      </c>
      <c r="I426">
        <v>13.05</v>
      </c>
      <c r="J426">
        <v>2.42</v>
      </c>
      <c r="K426">
        <v>3.91</v>
      </c>
      <c r="L426">
        <v>2.95</v>
      </c>
      <c r="M426">
        <v>84.67</v>
      </c>
      <c r="N426">
        <v>50.13</v>
      </c>
      <c r="O426">
        <v>67.400000000000006</v>
      </c>
      <c r="P426">
        <v>70.89</v>
      </c>
      <c r="Q426">
        <v>74.92</v>
      </c>
      <c r="R426">
        <v>72.849999999999994</v>
      </c>
      <c r="S426">
        <v>13.33</v>
      </c>
      <c r="T426">
        <v>36.57</v>
      </c>
      <c r="U426">
        <v>77.16</v>
      </c>
      <c r="V426">
        <v>72.38</v>
      </c>
      <c r="W426">
        <v>73.39</v>
      </c>
      <c r="X426">
        <v>68.819999999999993</v>
      </c>
      <c r="Y426">
        <v>0.55100000000000005</v>
      </c>
    </row>
    <row r="427" spans="1:25" x14ac:dyDescent="0.35">
      <c r="A427" t="s">
        <v>455</v>
      </c>
      <c r="B427" t="s">
        <v>451</v>
      </c>
      <c r="C427" t="s">
        <v>588</v>
      </c>
      <c r="D427">
        <v>9.59</v>
      </c>
      <c r="E427">
        <v>9.33</v>
      </c>
      <c r="F427">
        <v>9.3800000000000008</v>
      </c>
      <c r="G427">
        <v>12.98</v>
      </c>
      <c r="H427">
        <v>13.65</v>
      </c>
      <c r="I427">
        <v>13.04</v>
      </c>
      <c r="J427">
        <v>0.64</v>
      </c>
      <c r="K427">
        <v>5.07</v>
      </c>
      <c r="L427">
        <v>2.59</v>
      </c>
      <c r="M427">
        <v>91.12</v>
      </c>
      <c r="N427">
        <v>74.58</v>
      </c>
      <c r="O427">
        <v>82.85</v>
      </c>
      <c r="P427">
        <v>71.45</v>
      </c>
      <c r="Q427">
        <v>76.02</v>
      </c>
      <c r="R427">
        <v>73.680000000000007</v>
      </c>
      <c r="S427">
        <v>30</v>
      </c>
      <c r="T427">
        <v>26.9</v>
      </c>
      <c r="U427">
        <v>79.040000000000006</v>
      </c>
      <c r="V427">
        <v>71.47</v>
      </c>
      <c r="W427">
        <v>75.180000000000007</v>
      </c>
      <c r="X427">
        <v>74.819999999999993</v>
      </c>
      <c r="Y427">
        <v>0.38300000000000001</v>
      </c>
    </row>
    <row r="428" spans="1:25" x14ac:dyDescent="0.35">
      <c r="A428" t="s">
        <v>456</v>
      </c>
      <c r="B428" t="s">
        <v>451</v>
      </c>
      <c r="C428" t="s">
        <v>588</v>
      </c>
      <c r="D428">
        <v>9.19</v>
      </c>
      <c r="E428">
        <v>8.33</v>
      </c>
      <c r="F428">
        <v>8.76</v>
      </c>
      <c r="G428">
        <v>12.53</v>
      </c>
      <c r="H428">
        <v>13.23</v>
      </c>
      <c r="I428">
        <v>12.79</v>
      </c>
      <c r="J428">
        <v>2.21</v>
      </c>
      <c r="K428">
        <v>3.75</v>
      </c>
      <c r="L428">
        <v>2.76</v>
      </c>
      <c r="M428">
        <v>88.63</v>
      </c>
      <c r="N428">
        <v>51.12</v>
      </c>
      <c r="O428">
        <v>69.875</v>
      </c>
      <c r="P428">
        <v>69.849999999999994</v>
      </c>
      <c r="Q428">
        <v>73.84</v>
      </c>
      <c r="R428">
        <v>71.8</v>
      </c>
      <c r="S428">
        <v>20</v>
      </c>
      <c r="T428">
        <v>31.24</v>
      </c>
      <c r="U428">
        <v>75.45</v>
      </c>
      <c r="V428">
        <v>66.86</v>
      </c>
      <c r="W428">
        <v>71.19</v>
      </c>
      <c r="X428">
        <v>71.06</v>
      </c>
      <c r="Y428">
        <v>0.44900000000000001</v>
      </c>
    </row>
    <row r="429" spans="1:25" x14ac:dyDescent="0.35">
      <c r="A429" t="s">
        <v>457</v>
      </c>
      <c r="B429" t="s">
        <v>451</v>
      </c>
      <c r="C429" t="s">
        <v>588</v>
      </c>
      <c r="D429">
        <v>8.49</v>
      </c>
      <c r="E429">
        <v>8.0299999999999994</v>
      </c>
      <c r="F429">
        <v>8.1</v>
      </c>
      <c r="G429">
        <v>11.84</v>
      </c>
      <c r="H429">
        <v>12.41</v>
      </c>
      <c r="I429">
        <v>11.91</v>
      </c>
      <c r="J429">
        <v>1.1599999999999999</v>
      </c>
      <c r="K429">
        <v>1.85</v>
      </c>
      <c r="L429">
        <v>1.43</v>
      </c>
      <c r="M429">
        <v>87.13</v>
      </c>
      <c r="N429">
        <v>56.64</v>
      </c>
      <c r="O429">
        <v>71.884999999999991</v>
      </c>
      <c r="P429">
        <v>69.11</v>
      </c>
      <c r="Q429">
        <v>73.06</v>
      </c>
      <c r="R429">
        <v>71.03</v>
      </c>
      <c r="S429">
        <v>8</v>
      </c>
      <c r="T429">
        <v>27.3</v>
      </c>
      <c r="U429">
        <v>72.69</v>
      </c>
      <c r="V429">
        <v>62.57</v>
      </c>
      <c r="W429">
        <v>68.150000000000006</v>
      </c>
      <c r="X429">
        <v>54.84</v>
      </c>
      <c r="Y429">
        <v>0.52400000000000002</v>
      </c>
    </row>
    <row r="430" spans="1:25" x14ac:dyDescent="0.35">
      <c r="A430" t="s">
        <v>458</v>
      </c>
      <c r="B430" t="s">
        <v>451</v>
      </c>
      <c r="C430" t="s">
        <v>588</v>
      </c>
      <c r="D430">
        <v>9.08</v>
      </c>
      <c r="E430">
        <v>8.35</v>
      </c>
      <c r="F430">
        <v>8.5299999999999994</v>
      </c>
      <c r="G430">
        <v>13.69</v>
      </c>
      <c r="H430">
        <v>13.48</v>
      </c>
      <c r="I430">
        <v>13.53</v>
      </c>
      <c r="J430">
        <v>2.91</v>
      </c>
      <c r="K430">
        <v>3.16</v>
      </c>
      <c r="L430">
        <v>3.02</v>
      </c>
      <c r="M430">
        <v>83.86</v>
      </c>
      <c r="N430">
        <v>61.69</v>
      </c>
      <c r="O430">
        <v>72.775000000000006</v>
      </c>
      <c r="P430">
        <v>68.959999999999994</v>
      </c>
      <c r="Q430">
        <v>72.91</v>
      </c>
      <c r="R430">
        <v>70.88</v>
      </c>
      <c r="S430">
        <v>28</v>
      </c>
      <c r="T430">
        <v>42.9</v>
      </c>
      <c r="U430">
        <v>76.67</v>
      </c>
      <c r="V430">
        <v>68.680000000000007</v>
      </c>
      <c r="W430">
        <v>72.02</v>
      </c>
      <c r="X430">
        <v>80.23</v>
      </c>
      <c r="Y430">
        <v>0.43</v>
      </c>
    </row>
    <row r="431" spans="1:25" x14ac:dyDescent="0.35">
      <c r="A431" t="s">
        <v>459</v>
      </c>
      <c r="B431" t="s">
        <v>451</v>
      </c>
      <c r="C431" t="s">
        <v>588</v>
      </c>
      <c r="D431">
        <v>8.81</v>
      </c>
      <c r="E431">
        <v>8.9499999999999993</v>
      </c>
      <c r="F431">
        <v>8.82</v>
      </c>
      <c r="G431">
        <v>12.19</v>
      </c>
      <c r="H431">
        <v>12.54</v>
      </c>
      <c r="I431">
        <v>12.22</v>
      </c>
      <c r="J431">
        <v>0.56000000000000005</v>
      </c>
      <c r="K431">
        <v>3.08</v>
      </c>
      <c r="L431">
        <v>1.64</v>
      </c>
      <c r="M431">
        <v>91.64</v>
      </c>
      <c r="N431">
        <v>71.069999999999993</v>
      </c>
      <c r="O431">
        <v>81.35499999999999</v>
      </c>
      <c r="P431">
        <v>68.75</v>
      </c>
      <c r="Q431">
        <v>72.69</v>
      </c>
      <c r="R431">
        <v>70.67</v>
      </c>
      <c r="S431">
        <v>16</v>
      </c>
      <c r="T431">
        <v>28.53</v>
      </c>
      <c r="U431">
        <v>72.53</v>
      </c>
      <c r="V431">
        <v>71.599999999999994</v>
      </c>
      <c r="W431">
        <v>71.7</v>
      </c>
      <c r="X431">
        <v>63.37</v>
      </c>
      <c r="Y431">
        <v>0.40699999999999997</v>
      </c>
    </row>
    <row r="432" spans="1:25" x14ac:dyDescent="0.35">
      <c r="A432" t="s">
        <v>460</v>
      </c>
      <c r="B432" t="s">
        <v>451</v>
      </c>
      <c r="C432" t="s">
        <v>588</v>
      </c>
      <c r="D432">
        <v>9.8000000000000007</v>
      </c>
      <c r="E432">
        <v>8.73</v>
      </c>
      <c r="F432">
        <v>9.24</v>
      </c>
      <c r="G432">
        <v>13.41</v>
      </c>
      <c r="H432">
        <v>13.3</v>
      </c>
      <c r="I432">
        <v>13.32</v>
      </c>
      <c r="J432">
        <v>2.17</v>
      </c>
      <c r="K432">
        <v>2.0699999999999998</v>
      </c>
      <c r="L432">
        <v>2.13</v>
      </c>
      <c r="M432">
        <v>87.13</v>
      </c>
      <c r="N432">
        <v>76.31</v>
      </c>
      <c r="O432">
        <v>81.72</v>
      </c>
      <c r="P432">
        <v>69.459999999999994</v>
      </c>
      <c r="Q432">
        <v>73.430000000000007</v>
      </c>
      <c r="R432">
        <v>71.400000000000006</v>
      </c>
      <c r="S432">
        <v>25</v>
      </c>
      <c r="T432">
        <v>39.08</v>
      </c>
      <c r="U432">
        <v>74.55</v>
      </c>
      <c r="V432">
        <v>68.98</v>
      </c>
      <c r="W432">
        <v>70.599999999999994</v>
      </c>
      <c r="X432">
        <v>77.55</v>
      </c>
      <c r="Y432">
        <v>0.45200000000000001</v>
      </c>
    </row>
    <row r="433" spans="1:25" x14ac:dyDescent="0.35">
      <c r="A433" t="s">
        <v>461</v>
      </c>
      <c r="B433" t="s">
        <v>451</v>
      </c>
      <c r="C433" t="s">
        <v>588</v>
      </c>
      <c r="D433">
        <v>10.039999999999999</v>
      </c>
      <c r="E433">
        <v>9.18</v>
      </c>
      <c r="F433">
        <v>9.61</v>
      </c>
      <c r="G433">
        <v>12.9</v>
      </c>
      <c r="H433">
        <v>13.37</v>
      </c>
      <c r="I433">
        <v>13.13</v>
      </c>
      <c r="J433">
        <v>1.22</v>
      </c>
      <c r="K433">
        <v>4.03</v>
      </c>
      <c r="L433">
        <v>2.4</v>
      </c>
      <c r="M433">
        <v>87.92</v>
      </c>
      <c r="N433">
        <v>67.75</v>
      </c>
      <c r="O433">
        <v>77.835000000000008</v>
      </c>
      <c r="P433">
        <v>68.680000000000007</v>
      </c>
      <c r="Q433">
        <v>72.62</v>
      </c>
      <c r="R433">
        <v>70.599999999999994</v>
      </c>
      <c r="S433">
        <v>15</v>
      </c>
      <c r="T433">
        <v>37.479999999999997</v>
      </c>
      <c r="U433">
        <v>76.61</v>
      </c>
      <c r="V433">
        <v>66.94</v>
      </c>
      <c r="W433">
        <v>72.319999999999993</v>
      </c>
      <c r="X433">
        <v>70.989999999999995</v>
      </c>
      <c r="Y433">
        <v>0.52400000000000002</v>
      </c>
    </row>
    <row r="434" spans="1:25" x14ac:dyDescent="0.35">
      <c r="A434" t="s">
        <v>462</v>
      </c>
      <c r="B434" t="s">
        <v>451</v>
      </c>
      <c r="C434" t="s">
        <v>588</v>
      </c>
      <c r="D434">
        <v>8.4700000000000006</v>
      </c>
      <c r="E434">
        <v>8.0399999999999991</v>
      </c>
      <c r="F434">
        <v>8.43</v>
      </c>
      <c r="G434">
        <v>12.71</v>
      </c>
      <c r="H434">
        <v>12.69</v>
      </c>
      <c r="I434">
        <v>12.71</v>
      </c>
      <c r="J434">
        <v>1.54</v>
      </c>
      <c r="K434">
        <v>3.14</v>
      </c>
      <c r="L434">
        <v>2.15</v>
      </c>
      <c r="M434">
        <v>86.19</v>
      </c>
      <c r="N434">
        <v>57.02</v>
      </c>
      <c r="O434">
        <v>71.605000000000004</v>
      </c>
      <c r="P434">
        <v>71.150000000000006</v>
      </c>
      <c r="Q434">
        <v>75.41</v>
      </c>
      <c r="R434">
        <v>73.23</v>
      </c>
      <c r="S434">
        <v>20</v>
      </c>
      <c r="T434">
        <v>32.21</v>
      </c>
      <c r="U434">
        <v>70.52</v>
      </c>
      <c r="V434">
        <v>70</v>
      </c>
      <c r="W434">
        <v>70.27</v>
      </c>
      <c r="X434">
        <v>71.36</v>
      </c>
      <c r="Y434">
        <v>0.498</v>
      </c>
    </row>
    <row r="435" spans="1:25" x14ac:dyDescent="0.35">
      <c r="A435" t="s">
        <v>463</v>
      </c>
      <c r="B435" t="s">
        <v>451</v>
      </c>
      <c r="C435" t="s">
        <v>588</v>
      </c>
      <c r="D435">
        <v>10.039999999999999</v>
      </c>
      <c r="E435">
        <v>8.9600000000000009</v>
      </c>
      <c r="F435">
        <v>9.4600000000000009</v>
      </c>
      <c r="G435">
        <v>12.3</v>
      </c>
      <c r="H435">
        <v>13.05</v>
      </c>
      <c r="I435">
        <v>12.55</v>
      </c>
      <c r="J435">
        <v>0.24</v>
      </c>
      <c r="K435">
        <v>3.13</v>
      </c>
      <c r="L435">
        <v>1.51</v>
      </c>
      <c r="M435">
        <v>89.62</v>
      </c>
      <c r="N435">
        <v>72.73</v>
      </c>
      <c r="O435">
        <v>81.175000000000011</v>
      </c>
      <c r="P435">
        <v>68.37</v>
      </c>
      <c r="Q435">
        <v>72.31</v>
      </c>
      <c r="R435">
        <v>70.290000000000006</v>
      </c>
      <c r="S435">
        <v>15</v>
      </c>
      <c r="T435">
        <v>76.540000000000006</v>
      </c>
      <c r="U435">
        <v>73.180000000000007</v>
      </c>
      <c r="V435">
        <v>63.25</v>
      </c>
      <c r="W435">
        <v>67.989999999999995</v>
      </c>
      <c r="X435">
        <v>59.35</v>
      </c>
      <c r="Y435">
        <v>0.505</v>
      </c>
    </row>
    <row r="436" spans="1:25" x14ac:dyDescent="0.35">
      <c r="A436" t="s">
        <v>464</v>
      </c>
      <c r="B436" t="s">
        <v>451</v>
      </c>
      <c r="C436" t="s">
        <v>588</v>
      </c>
      <c r="D436">
        <v>8.66</v>
      </c>
      <c r="E436">
        <v>7.55</v>
      </c>
      <c r="F436">
        <v>8.09</v>
      </c>
      <c r="G436">
        <v>12.71</v>
      </c>
      <c r="H436">
        <v>12.76</v>
      </c>
      <c r="I436">
        <v>12.74</v>
      </c>
      <c r="J436">
        <v>0.89</v>
      </c>
      <c r="K436">
        <v>3.57</v>
      </c>
      <c r="L436">
        <v>2.06</v>
      </c>
      <c r="M436">
        <v>84.53</v>
      </c>
      <c r="N436">
        <v>63.43</v>
      </c>
      <c r="O436">
        <v>73.98</v>
      </c>
      <c r="P436">
        <v>69.290000000000006</v>
      </c>
      <c r="Q436">
        <v>73.260000000000005</v>
      </c>
      <c r="R436">
        <v>71.23</v>
      </c>
      <c r="S436">
        <v>10</v>
      </c>
      <c r="T436">
        <v>20.36</v>
      </c>
      <c r="U436">
        <v>72.290000000000006</v>
      </c>
      <c r="V436">
        <v>64.849999999999994</v>
      </c>
      <c r="W436">
        <v>68.06</v>
      </c>
      <c r="X436">
        <v>47.37</v>
      </c>
      <c r="Y436">
        <v>0.51300000000000001</v>
      </c>
    </row>
    <row r="437" spans="1:25" x14ac:dyDescent="0.35">
      <c r="A437" t="s">
        <v>465</v>
      </c>
      <c r="B437" t="s">
        <v>451</v>
      </c>
      <c r="C437" t="s">
        <v>588</v>
      </c>
      <c r="D437">
        <v>7.74</v>
      </c>
      <c r="E437">
        <v>6.37</v>
      </c>
      <c r="F437">
        <v>7.35</v>
      </c>
      <c r="G437">
        <v>13.19</v>
      </c>
      <c r="H437">
        <v>13.8</v>
      </c>
      <c r="I437">
        <v>13.22</v>
      </c>
      <c r="J437">
        <v>4.1399999999999997</v>
      </c>
      <c r="K437">
        <v>1</v>
      </c>
      <c r="L437">
        <v>2.84</v>
      </c>
      <c r="M437">
        <v>79.349999999999994</v>
      </c>
      <c r="N437">
        <v>56.57</v>
      </c>
      <c r="O437">
        <v>67.959999999999994</v>
      </c>
      <c r="P437">
        <v>68.55</v>
      </c>
      <c r="Q437">
        <v>72.48</v>
      </c>
      <c r="R437">
        <v>70.47</v>
      </c>
      <c r="S437">
        <v>12</v>
      </c>
      <c r="T437">
        <v>50.06</v>
      </c>
      <c r="U437">
        <v>71.760000000000005</v>
      </c>
      <c r="V437">
        <v>60.13</v>
      </c>
      <c r="W437">
        <v>66.47</v>
      </c>
      <c r="X437">
        <v>72.31</v>
      </c>
      <c r="Y437">
        <v>0.52800000000000002</v>
      </c>
    </row>
    <row r="438" spans="1:25" x14ac:dyDescent="0.35">
      <c r="A438" t="s">
        <v>466</v>
      </c>
      <c r="B438" t="s">
        <v>451</v>
      </c>
      <c r="C438" t="s">
        <v>588</v>
      </c>
      <c r="D438">
        <v>8.27</v>
      </c>
      <c r="E438">
        <v>7.31</v>
      </c>
      <c r="F438">
        <v>7.75</v>
      </c>
      <c r="G438">
        <v>13.39</v>
      </c>
      <c r="H438">
        <v>13.36</v>
      </c>
      <c r="I438">
        <v>13.36</v>
      </c>
      <c r="J438">
        <v>3.12</v>
      </c>
      <c r="K438">
        <v>3.9</v>
      </c>
      <c r="L438">
        <v>3.48</v>
      </c>
      <c r="M438">
        <v>87.79</v>
      </c>
      <c r="N438">
        <v>75.989999999999995</v>
      </c>
      <c r="O438">
        <v>81.89</v>
      </c>
      <c r="P438">
        <v>68.3</v>
      </c>
      <c r="Q438">
        <v>72.239999999999995</v>
      </c>
      <c r="R438">
        <v>70.22</v>
      </c>
      <c r="S438">
        <v>8</v>
      </c>
      <c r="T438">
        <v>41.14</v>
      </c>
      <c r="U438">
        <v>73.760000000000005</v>
      </c>
      <c r="V438">
        <v>54.96</v>
      </c>
      <c r="W438">
        <v>67</v>
      </c>
      <c r="X438">
        <v>66.540000000000006</v>
      </c>
      <c r="Y438">
        <v>0.55900000000000005</v>
      </c>
    </row>
    <row r="439" spans="1:25" x14ac:dyDescent="0.35">
      <c r="A439" t="s">
        <v>467</v>
      </c>
      <c r="B439" t="s">
        <v>451</v>
      </c>
      <c r="C439" t="s">
        <v>588</v>
      </c>
      <c r="D439">
        <v>12.93</v>
      </c>
      <c r="E439">
        <v>12.13</v>
      </c>
      <c r="F439">
        <v>12.55</v>
      </c>
      <c r="G439">
        <v>16.95</v>
      </c>
      <c r="H439">
        <v>16.920000000000002</v>
      </c>
      <c r="I439">
        <v>16.920000000000002</v>
      </c>
      <c r="J439">
        <v>5.04</v>
      </c>
      <c r="K439">
        <v>6.61</v>
      </c>
      <c r="L439">
        <v>5.67</v>
      </c>
      <c r="M439">
        <v>81.25</v>
      </c>
      <c r="N439">
        <v>55.49</v>
      </c>
      <c r="O439">
        <v>68.37</v>
      </c>
      <c r="P439">
        <v>72.73</v>
      </c>
      <c r="Q439">
        <v>78.34</v>
      </c>
      <c r="R439">
        <v>75.47</v>
      </c>
      <c r="S439">
        <v>20.59</v>
      </c>
      <c r="T439">
        <v>39.67</v>
      </c>
      <c r="U439">
        <v>87.88</v>
      </c>
      <c r="V439">
        <v>83.61</v>
      </c>
      <c r="W439">
        <v>85.33</v>
      </c>
      <c r="X439">
        <v>77.12</v>
      </c>
      <c r="Y439">
        <v>0.39400000000000002</v>
      </c>
    </row>
    <row r="440" spans="1:25" x14ac:dyDescent="0.35">
      <c r="A440" t="s">
        <v>468</v>
      </c>
      <c r="B440" t="s">
        <v>451</v>
      </c>
      <c r="C440" t="s">
        <v>588</v>
      </c>
      <c r="D440">
        <v>11.33</v>
      </c>
      <c r="E440">
        <v>10.88</v>
      </c>
      <c r="F440">
        <v>11.03</v>
      </c>
      <c r="G440">
        <v>15.36</v>
      </c>
      <c r="H440">
        <v>15.7</v>
      </c>
      <c r="I440">
        <v>15.53</v>
      </c>
      <c r="J440">
        <v>3.58</v>
      </c>
      <c r="K440">
        <v>4.5599999999999996</v>
      </c>
      <c r="L440">
        <v>3.99</v>
      </c>
      <c r="M440">
        <v>80.510000000000005</v>
      </c>
      <c r="N440">
        <v>58.12</v>
      </c>
      <c r="O440">
        <v>69.314999999999998</v>
      </c>
      <c r="P440">
        <v>72.09</v>
      </c>
      <c r="Q440">
        <v>77.38</v>
      </c>
      <c r="R440">
        <v>74.67</v>
      </c>
      <c r="S440">
        <v>20</v>
      </c>
      <c r="T440">
        <v>31.29</v>
      </c>
      <c r="U440">
        <v>82.3</v>
      </c>
      <c r="V440">
        <v>75.180000000000007</v>
      </c>
      <c r="W440">
        <v>78.13</v>
      </c>
      <c r="X440">
        <v>69.59</v>
      </c>
      <c r="Y440">
        <v>0.38700000000000001</v>
      </c>
    </row>
    <row r="441" spans="1:25" x14ac:dyDescent="0.35">
      <c r="A441" t="s">
        <v>470</v>
      </c>
      <c r="B441" t="s">
        <v>469</v>
      </c>
      <c r="C441" t="s">
        <v>588</v>
      </c>
      <c r="D441">
        <v>6.72</v>
      </c>
      <c r="E441">
        <v>7.67</v>
      </c>
      <c r="F441">
        <v>7.31</v>
      </c>
      <c r="G441">
        <v>11.93</v>
      </c>
      <c r="H441">
        <v>13.07</v>
      </c>
      <c r="I441">
        <v>12.49</v>
      </c>
      <c r="J441">
        <v>2.5099999999999998</v>
      </c>
      <c r="K441">
        <v>3.96</v>
      </c>
      <c r="L441">
        <v>3.06</v>
      </c>
      <c r="M441">
        <v>84.4</v>
      </c>
      <c r="N441">
        <v>54.18</v>
      </c>
      <c r="O441">
        <v>69.290000000000006</v>
      </c>
      <c r="P441">
        <v>69.489999999999995</v>
      </c>
      <c r="Q441">
        <v>73.47</v>
      </c>
      <c r="R441">
        <v>71.430000000000007</v>
      </c>
      <c r="S441">
        <v>28</v>
      </c>
      <c r="T441">
        <v>29.69</v>
      </c>
      <c r="U441">
        <v>71.34</v>
      </c>
      <c r="V441">
        <v>59.65</v>
      </c>
      <c r="W441">
        <v>68.739999999999995</v>
      </c>
      <c r="X441">
        <v>74.760000000000005</v>
      </c>
      <c r="Y441">
        <v>0.31900000000000001</v>
      </c>
    </row>
    <row r="442" spans="1:25" x14ac:dyDescent="0.35">
      <c r="A442" t="s">
        <v>471</v>
      </c>
      <c r="B442" t="s">
        <v>469</v>
      </c>
      <c r="C442" t="s">
        <v>588</v>
      </c>
      <c r="D442">
        <v>7.88</v>
      </c>
      <c r="E442">
        <v>8.6999999999999993</v>
      </c>
      <c r="F442">
        <v>7.95</v>
      </c>
      <c r="G442">
        <v>12.87</v>
      </c>
      <c r="H442">
        <v>13.85</v>
      </c>
      <c r="I442">
        <v>13.22</v>
      </c>
      <c r="J442">
        <v>2.19</v>
      </c>
      <c r="K442">
        <v>3.34</v>
      </c>
      <c r="L442">
        <v>2.64</v>
      </c>
      <c r="M442">
        <v>86.05</v>
      </c>
      <c r="N442">
        <v>56.83</v>
      </c>
      <c r="O442">
        <v>71.44</v>
      </c>
      <c r="P442">
        <v>68.8</v>
      </c>
      <c r="Q442">
        <v>72.739999999999995</v>
      </c>
      <c r="R442">
        <v>70.989999999999995</v>
      </c>
      <c r="S442">
        <v>24.44</v>
      </c>
      <c r="T442">
        <v>27.36</v>
      </c>
      <c r="U442">
        <v>73.62</v>
      </c>
      <c r="V442">
        <v>65.260000000000005</v>
      </c>
      <c r="W442">
        <v>69.66</v>
      </c>
      <c r="X442">
        <v>70.45</v>
      </c>
      <c r="Y442">
        <v>0.24199999999999999</v>
      </c>
    </row>
    <row r="443" spans="1:25" x14ac:dyDescent="0.35">
      <c r="A443" t="s">
        <v>472</v>
      </c>
      <c r="B443" t="s">
        <v>469</v>
      </c>
      <c r="C443" t="s">
        <v>588</v>
      </c>
      <c r="D443">
        <v>7.51</v>
      </c>
      <c r="E443">
        <v>8.0500000000000007</v>
      </c>
      <c r="F443">
        <v>7.78</v>
      </c>
      <c r="G443">
        <v>12.26</v>
      </c>
      <c r="H443">
        <v>13.11</v>
      </c>
      <c r="I443">
        <v>12.48</v>
      </c>
      <c r="J443">
        <v>1.52</v>
      </c>
      <c r="K443">
        <v>5.66</v>
      </c>
      <c r="L443">
        <v>3.12</v>
      </c>
      <c r="M443">
        <v>87.31</v>
      </c>
      <c r="N443">
        <v>56.23</v>
      </c>
      <c r="O443">
        <v>71.77</v>
      </c>
      <c r="P443">
        <v>67.709999999999994</v>
      </c>
      <c r="Q443">
        <v>71.66</v>
      </c>
      <c r="R443">
        <v>69.63</v>
      </c>
      <c r="S443">
        <v>20</v>
      </c>
      <c r="T443">
        <v>37.29</v>
      </c>
      <c r="U443">
        <v>69.930000000000007</v>
      </c>
      <c r="V443">
        <v>64.61</v>
      </c>
      <c r="W443">
        <v>68.02</v>
      </c>
      <c r="X443">
        <v>72.47</v>
      </c>
      <c r="Y443">
        <v>0.48099999999999998</v>
      </c>
    </row>
    <row r="444" spans="1:25" x14ac:dyDescent="0.35">
      <c r="A444" t="s">
        <v>473</v>
      </c>
      <c r="B444" t="s">
        <v>469</v>
      </c>
      <c r="C444" t="s">
        <v>588</v>
      </c>
      <c r="D444">
        <v>8.02</v>
      </c>
      <c r="E444">
        <v>9</v>
      </c>
      <c r="F444">
        <v>8.52</v>
      </c>
      <c r="G444">
        <v>13.27</v>
      </c>
      <c r="H444">
        <v>14.59</v>
      </c>
      <c r="I444">
        <v>13.69</v>
      </c>
      <c r="J444">
        <v>2.96</v>
      </c>
      <c r="K444">
        <v>5.05</v>
      </c>
      <c r="L444">
        <v>3.76</v>
      </c>
      <c r="M444">
        <v>85.14</v>
      </c>
      <c r="N444">
        <v>52.56</v>
      </c>
      <c r="O444">
        <v>68.849999999999994</v>
      </c>
      <c r="P444">
        <v>68.48</v>
      </c>
      <c r="Q444">
        <v>72.42</v>
      </c>
      <c r="R444">
        <v>70.400000000000006</v>
      </c>
      <c r="S444">
        <v>12</v>
      </c>
      <c r="T444">
        <v>30.46</v>
      </c>
      <c r="U444">
        <v>74.67</v>
      </c>
      <c r="V444">
        <v>66.650000000000006</v>
      </c>
      <c r="W444">
        <v>72.38</v>
      </c>
      <c r="X444">
        <v>62.66</v>
      </c>
      <c r="Y444">
        <v>0.41699999999999998</v>
      </c>
    </row>
    <row r="445" spans="1:25" x14ac:dyDescent="0.35">
      <c r="A445" t="s">
        <v>474</v>
      </c>
      <c r="B445" t="s">
        <v>469</v>
      </c>
      <c r="C445" t="s">
        <v>588</v>
      </c>
      <c r="D445">
        <v>7.19</v>
      </c>
      <c r="E445">
        <v>7.7</v>
      </c>
      <c r="F445">
        <v>7.4</v>
      </c>
      <c r="G445">
        <v>12.22</v>
      </c>
      <c r="H445">
        <v>13.13</v>
      </c>
      <c r="I445">
        <v>12.5</v>
      </c>
      <c r="J445">
        <v>2.68</v>
      </c>
      <c r="K445">
        <v>2.97</v>
      </c>
      <c r="L445">
        <v>2.79</v>
      </c>
      <c r="M445">
        <v>83.16</v>
      </c>
      <c r="N445">
        <v>56.14</v>
      </c>
      <c r="O445">
        <v>69.650000000000006</v>
      </c>
      <c r="P445">
        <v>67.95</v>
      </c>
      <c r="Q445">
        <v>71.900000000000006</v>
      </c>
      <c r="R445">
        <v>69.88</v>
      </c>
      <c r="S445">
        <v>36</v>
      </c>
      <c r="T445">
        <v>28.27</v>
      </c>
      <c r="U445">
        <v>70.75</v>
      </c>
      <c r="V445">
        <v>58.58</v>
      </c>
      <c r="W445">
        <v>67.459999999999994</v>
      </c>
      <c r="X445">
        <v>76.92</v>
      </c>
      <c r="Y445">
        <v>0.17799999999999999</v>
      </c>
    </row>
    <row r="446" spans="1:25" x14ac:dyDescent="0.35">
      <c r="A446" t="s">
        <v>475</v>
      </c>
      <c r="B446" t="s">
        <v>469</v>
      </c>
      <c r="C446" t="s">
        <v>588</v>
      </c>
      <c r="D446">
        <v>10.36</v>
      </c>
      <c r="E446">
        <v>10.84</v>
      </c>
      <c r="F446">
        <v>10.41</v>
      </c>
      <c r="G446">
        <v>14.22</v>
      </c>
      <c r="H446">
        <v>15.1</v>
      </c>
      <c r="I446">
        <v>14.59</v>
      </c>
      <c r="J446">
        <v>4.24</v>
      </c>
      <c r="K446">
        <v>3.38</v>
      </c>
      <c r="L446">
        <v>3.89</v>
      </c>
      <c r="M446">
        <v>79.75</v>
      </c>
      <c r="N446">
        <v>53.75</v>
      </c>
      <c r="O446">
        <v>66.75</v>
      </c>
      <c r="P446">
        <v>71.36</v>
      </c>
      <c r="Q446">
        <v>75.849999999999994</v>
      </c>
      <c r="R446">
        <v>73.55</v>
      </c>
      <c r="S446">
        <v>16.670000000000002</v>
      </c>
      <c r="T446">
        <v>31.03</v>
      </c>
      <c r="U446">
        <v>82.36</v>
      </c>
      <c r="V446">
        <v>72.86</v>
      </c>
      <c r="W446">
        <v>79.180000000000007</v>
      </c>
      <c r="X446">
        <v>66.489999999999995</v>
      </c>
      <c r="Y446">
        <v>0.35899999999999999</v>
      </c>
    </row>
    <row r="447" spans="1:25" x14ac:dyDescent="0.35">
      <c r="A447" t="s">
        <v>477</v>
      </c>
      <c r="B447" t="s">
        <v>476</v>
      </c>
      <c r="C447" t="s">
        <v>588</v>
      </c>
      <c r="D447">
        <v>9.59</v>
      </c>
      <c r="E447">
        <v>9.31</v>
      </c>
      <c r="F447">
        <v>9.4600000000000009</v>
      </c>
      <c r="G447">
        <v>13.55</v>
      </c>
      <c r="H447">
        <v>14.14</v>
      </c>
      <c r="I447">
        <v>13.72</v>
      </c>
      <c r="J447">
        <v>3.33</v>
      </c>
      <c r="K447">
        <v>5.63</v>
      </c>
      <c r="L447">
        <v>4.1900000000000004</v>
      </c>
      <c r="M447">
        <v>80.13</v>
      </c>
      <c r="N447">
        <v>47.42</v>
      </c>
      <c r="O447">
        <v>63.774999999999999</v>
      </c>
      <c r="P447">
        <v>68.47</v>
      </c>
      <c r="Q447">
        <v>72.41</v>
      </c>
      <c r="R447">
        <v>70.39</v>
      </c>
      <c r="S447">
        <v>20</v>
      </c>
      <c r="T447">
        <v>42.13</v>
      </c>
      <c r="U447">
        <v>71.72</v>
      </c>
      <c r="V447">
        <v>68.25</v>
      </c>
      <c r="W447">
        <v>69.42</v>
      </c>
      <c r="X447">
        <v>76.959999999999994</v>
      </c>
      <c r="Y447">
        <v>0.42399999999999999</v>
      </c>
    </row>
    <row r="448" spans="1:25" x14ac:dyDescent="0.35">
      <c r="A448" t="s">
        <v>478</v>
      </c>
      <c r="B448" t="s">
        <v>476</v>
      </c>
      <c r="C448" t="s">
        <v>588</v>
      </c>
      <c r="D448">
        <v>8.06</v>
      </c>
      <c r="E448">
        <v>7.41</v>
      </c>
      <c r="F448">
        <v>7.72</v>
      </c>
      <c r="G448">
        <v>13.24</v>
      </c>
      <c r="H448">
        <v>13.89</v>
      </c>
      <c r="I448">
        <v>13.5</v>
      </c>
      <c r="J448">
        <v>2.85</v>
      </c>
      <c r="K448">
        <v>3.45</v>
      </c>
      <c r="L448">
        <v>3.1</v>
      </c>
      <c r="M448">
        <v>83.99</v>
      </c>
      <c r="N448">
        <v>57.47</v>
      </c>
      <c r="O448">
        <v>70.72999999999999</v>
      </c>
      <c r="P448">
        <v>69.150000000000006</v>
      </c>
      <c r="Q448">
        <v>73.099999999999994</v>
      </c>
      <c r="R448">
        <v>71.08</v>
      </c>
      <c r="S448">
        <v>20</v>
      </c>
      <c r="T448">
        <v>38.75</v>
      </c>
      <c r="U448">
        <v>69.72</v>
      </c>
      <c r="V448">
        <v>64.319999999999993</v>
      </c>
      <c r="W448">
        <v>66.22</v>
      </c>
      <c r="X448">
        <v>75.38</v>
      </c>
      <c r="Y448">
        <v>0.46700000000000003</v>
      </c>
    </row>
    <row r="449" spans="1:25" x14ac:dyDescent="0.35">
      <c r="A449" t="s">
        <v>479</v>
      </c>
      <c r="B449" t="s">
        <v>476</v>
      </c>
      <c r="C449" t="s">
        <v>588</v>
      </c>
      <c r="D449">
        <v>8.3699999999999992</v>
      </c>
      <c r="E449">
        <v>8.1300000000000008</v>
      </c>
      <c r="F449">
        <v>8.1300000000000008</v>
      </c>
      <c r="G449">
        <v>12.18</v>
      </c>
      <c r="H449">
        <v>13.16</v>
      </c>
      <c r="I449">
        <v>12.6</v>
      </c>
      <c r="J449">
        <v>2.0499999999999998</v>
      </c>
      <c r="K449">
        <v>3.15</v>
      </c>
      <c r="L449">
        <v>2.5</v>
      </c>
      <c r="M449">
        <v>86.93</v>
      </c>
      <c r="N449">
        <v>63.75</v>
      </c>
      <c r="O449">
        <v>75.34</v>
      </c>
      <c r="P449">
        <v>70.31</v>
      </c>
      <c r="Q449">
        <v>74.319999999999993</v>
      </c>
      <c r="R449">
        <v>72.27</v>
      </c>
      <c r="S449">
        <v>13.33</v>
      </c>
      <c r="T449">
        <v>26.38</v>
      </c>
      <c r="U449">
        <v>69.47</v>
      </c>
      <c r="V449">
        <v>68.34</v>
      </c>
      <c r="W449">
        <v>68.37</v>
      </c>
      <c r="X449">
        <v>61.09</v>
      </c>
      <c r="Y449">
        <v>0.48</v>
      </c>
    </row>
    <row r="450" spans="1:25" x14ac:dyDescent="0.35">
      <c r="A450" t="s">
        <v>480</v>
      </c>
      <c r="B450" t="s">
        <v>476</v>
      </c>
      <c r="C450" t="s">
        <v>588</v>
      </c>
      <c r="D450">
        <v>8.73</v>
      </c>
      <c r="E450">
        <v>8.11</v>
      </c>
      <c r="F450">
        <v>8.35</v>
      </c>
      <c r="G450">
        <v>12.65</v>
      </c>
      <c r="H450">
        <v>13.78</v>
      </c>
      <c r="I450">
        <v>13.29</v>
      </c>
      <c r="J450">
        <v>1.7</v>
      </c>
      <c r="K450">
        <v>4.3600000000000003</v>
      </c>
      <c r="L450">
        <v>2.77</v>
      </c>
      <c r="M450">
        <v>88.45</v>
      </c>
      <c r="N450">
        <v>61.92</v>
      </c>
      <c r="O450">
        <v>75.185000000000002</v>
      </c>
      <c r="P450">
        <v>70.180000000000007</v>
      </c>
      <c r="Q450">
        <v>74.180000000000007</v>
      </c>
      <c r="R450">
        <v>72.13</v>
      </c>
      <c r="S450">
        <v>10</v>
      </c>
      <c r="T450">
        <v>29.51</v>
      </c>
      <c r="U450">
        <v>73.16</v>
      </c>
      <c r="V450">
        <v>66.52</v>
      </c>
      <c r="W450">
        <v>70.400000000000006</v>
      </c>
      <c r="X450">
        <v>60.61</v>
      </c>
      <c r="Y450">
        <v>0.501</v>
      </c>
    </row>
    <row r="451" spans="1:25" x14ac:dyDescent="0.35">
      <c r="A451" t="s">
        <v>573</v>
      </c>
      <c r="B451" t="s">
        <v>476</v>
      </c>
      <c r="C451" t="s">
        <v>588</v>
      </c>
      <c r="D451">
        <v>8.39</v>
      </c>
      <c r="E451">
        <v>8.1300000000000008</v>
      </c>
      <c r="F451">
        <v>8.1300000000000008</v>
      </c>
      <c r="G451">
        <v>12.08</v>
      </c>
      <c r="H451">
        <v>12.28</v>
      </c>
      <c r="I451">
        <v>12.09</v>
      </c>
      <c r="J451">
        <v>1.01</v>
      </c>
      <c r="K451">
        <v>1.53</v>
      </c>
      <c r="L451">
        <v>1.2</v>
      </c>
      <c r="M451">
        <v>88.81</v>
      </c>
      <c r="N451">
        <v>54.11</v>
      </c>
      <c r="O451">
        <v>71.460000000000008</v>
      </c>
      <c r="P451">
        <v>68.489999999999995</v>
      </c>
      <c r="Q451">
        <v>72.42</v>
      </c>
      <c r="R451">
        <v>70.41</v>
      </c>
      <c r="S451">
        <v>16.670000000000002</v>
      </c>
      <c r="T451">
        <v>19.670000000000002</v>
      </c>
      <c r="U451">
        <v>74.11</v>
      </c>
      <c r="V451">
        <v>63.84</v>
      </c>
      <c r="W451">
        <v>69.73</v>
      </c>
      <c r="X451">
        <v>56.06</v>
      </c>
      <c r="Y451">
        <v>0.46100000000000002</v>
      </c>
    </row>
    <row r="452" spans="1:25" x14ac:dyDescent="0.35">
      <c r="A452" t="s">
        <v>482</v>
      </c>
      <c r="B452" t="s">
        <v>476</v>
      </c>
      <c r="C452" t="s">
        <v>588</v>
      </c>
      <c r="D452">
        <v>8.16</v>
      </c>
      <c r="E452">
        <v>7.84</v>
      </c>
      <c r="F452">
        <v>7.94</v>
      </c>
      <c r="G452">
        <v>12.64</v>
      </c>
      <c r="H452">
        <v>13.21</v>
      </c>
      <c r="I452">
        <v>12.68</v>
      </c>
      <c r="J452">
        <v>0.18</v>
      </c>
      <c r="K452">
        <v>4.75</v>
      </c>
      <c r="L452">
        <v>1.7</v>
      </c>
      <c r="M452">
        <v>89.21</v>
      </c>
      <c r="N452">
        <v>47.53</v>
      </c>
      <c r="O452">
        <v>68.37</v>
      </c>
      <c r="P452">
        <v>68.12</v>
      </c>
      <c r="Q452">
        <v>72.06</v>
      </c>
      <c r="R452">
        <v>70.05</v>
      </c>
      <c r="S452">
        <v>12</v>
      </c>
      <c r="T452">
        <v>23.32</v>
      </c>
      <c r="U452">
        <v>72.92</v>
      </c>
      <c r="V452">
        <v>63.25</v>
      </c>
      <c r="W452">
        <v>68.36</v>
      </c>
      <c r="X452">
        <v>55.84</v>
      </c>
      <c r="Y452">
        <v>0.48899999999999999</v>
      </c>
    </row>
    <row r="453" spans="1:25" x14ac:dyDescent="0.35">
      <c r="A453" t="s">
        <v>574</v>
      </c>
      <c r="B453" t="s">
        <v>483</v>
      </c>
      <c r="C453" t="s">
        <v>589</v>
      </c>
      <c r="D453">
        <v>10.06</v>
      </c>
      <c r="E453">
        <v>9.92</v>
      </c>
      <c r="F453">
        <v>9.92</v>
      </c>
      <c r="G453">
        <v>12.17</v>
      </c>
      <c r="H453">
        <v>12.91</v>
      </c>
      <c r="I453">
        <v>12.34</v>
      </c>
      <c r="J453">
        <v>4.5999999999999996</v>
      </c>
      <c r="K453">
        <v>3.72</v>
      </c>
      <c r="L453">
        <v>4.24</v>
      </c>
      <c r="M453">
        <v>73.88</v>
      </c>
      <c r="N453">
        <v>51.95</v>
      </c>
      <c r="O453">
        <v>62.914999999999999</v>
      </c>
      <c r="P453">
        <v>68.28</v>
      </c>
      <c r="Q453">
        <v>72.22</v>
      </c>
      <c r="R453">
        <v>70.2</v>
      </c>
      <c r="S453">
        <v>20</v>
      </c>
      <c r="T453">
        <v>43.7</v>
      </c>
      <c r="U453">
        <v>68.040000000000006</v>
      </c>
      <c r="V453">
        <v>59.57</v>
      </c>
      <c r="W453">
        <v>64.83</v>
      </c>
      <c r="X453">
        <v>75.650000000000006</v>
      </c>
      <c r="Y453">
        <v>0.52700000000000002</v>
      </c>
    </row>
    <row r="454" spans="1:25" x14ac:dyDescent="0.35">
      <c r="A454" t="s">
        <v>485</v>
      </c>
      <c r="B454" t="s">
        <v>483</v>
      </c>
      <c r="C454" t="s">
        <v>589</v>
      </c>
      <c r="D454">
        <v>10.18</v>
      </c>
      <c r="E454">
        <v>9.84</v>
      </c>
      <c r="F454">
        <v>9.84</v>
      </c>
      <c r="G454">
        <v>12.6</v>
      </c>
      <c r="H454">
        <v>13.35</v>
      </c>
      <c r="I454">
        <v>12.91</v>
      </c>
      <c r="J454">
        <v>5.8</v>
      </c>
      <c r="K454">
        <v>5.54</v>
      </c>
      <c r="L454">
        <v>5.68</v>
      </c>
      <c r="M454">
        <v>72.290000000000006</v>
      </c>
      <c r="N454">
        <v>62.98</v>
      </c>
      <c r="O454">
        <v>67.635000000000005</v>
      </c>
      <c r="P454">
        <v>69.010000000000005</v>
      </c>
      <c r="Q454">
        <v>72.959999999999994</v>
      </c>
      <c r="R454">
        <v>70.930000000000007</v>
      </c>
      <c r="S454">
        <v>12</v>
      </c>
      <c r="T454">
        <v>36.909999999999997</v>
      </c>
      <c r="U454">
        <v>69.97</v>
      </c>
      <c r="V454">
        <v>67.72</v>
      </c>
      <c r="W454">
        <v>68.239999999999995</v>
      </c>
      <c r="X454">
        <v>65.89</v>
      </c>
      <c r="Y454">
        <v>0.52200000000000002</v>
      </c>
    </row>
    <row r="455" spans="1:25" x14ac:dyDescent="0.35">
      <c r="A455" t="s">
        <v>486</v>
      </c>
      <c r="B455" t="s">
        <v>483</v>
      </c>
      <c r="C455" t="s">
        <v>589</v>
      </c>
      <c r="D455">
        <v>10.130000000000001</v>
      </c>
      <c r="E455">
        <v>9.76</v>
      </c>
      <c r="F455">
        <v>9.7899999999999991</v>
      </c>
      <c r="G455">
        <v>14.05</v>
      </c>
      <c r="H455">
        <v>15.32</v>
      </c>
      <c r="I455">
        <v>14.67</v>
      </c>
      <c r="J455">
        <v>7.39</v>
      </c>
      <c r="K455">
        <v>5.32</v>
      </c>
      <c r="L455">
        <v>6.5</v>
      </c>
      <c r="M455">
        <v>74.52</v>
      </c>
      <c r="N455">
        <v>57.48</v>
      </c>
      <c r="O455">
        <v>66</v>
      </c>
      <c r="P455">
        <v>69.08</v>
      </c>
      <c r="Q455">
        <v>73.03</v>
      </c>
      <c r="R455">
        <v>71.010000000000005</v>
      </c>
      <c r="S455">
        <v>17.5</v>
      </c>
      <c r="T455">
        <v>35</v>
      </c>
      <c r="U455">
        <v>74.33</v>
      </c>
      <c r="V455">
        <v>73.09</v>
      </c>
      <c r="W455">
        <v>73.209999999999994</v>
      </c>
      <c r="X455">
        <v>69.489999999999995</v>
      </c>
      <c r="Y455">
        <v>0.52200000000000002</v>
      </c>
    </row>
    <row r="456" spans="1:25" x14ac:dyDescent="0.35">
      <c r="A456" t="s">
        <v>487</v>
      </c>
      <c r="B456" t="s">
        <v>483</v>
      </c>
      <c r="C456" t="s">
        <v>589</v>
      </c>
      <c r="D456">
        <v>9.25</v>
      </c>
      <c r="E456">
        <v>8.91</v>
      </c>
      <c r="F456">
        <v>9.02</v>
      </c>
      <c r="G456">
        <v>13.06</v>
      </c>
      <c r="H456">
        <v>13.95</v>
      </c>
      <c r="I456">
        <v>13.24</v>
      </c>
      <c r="J456">
        <v>4.72</v>
      </c>
      <c r="K456">
        <v>4.55</v>
      </c>
      <c r="L456">
        <v>4.66</v>
      </c>
      <c r="M456">
        <v>86.05</v>
      </c>
      <c r="N456">
        <v>58.34</v>
      </c>
      <c r="O456">
        <v>72.194999999999993</v>
      </c>
      <c r="P456">
        <v>68.42</v>
      </c>
      <c r="Q456">
        <v>72.349999999999994</v>
      </c>
      <c r="R456">
        <v>70.34</v>
      </c>
      <c r="S456">
        <v>16</v>
      </c>
      <c r="T456">
        <v>28.79</v>
      </c>
      <c r="U456">
        <v>75.53</v>
      </c>
      <c r="V456">
        <v>69.349999999999994</v>
      </c>
      <c r="W456">
        <v>71.010000000000005</v>
      </c>
      <c r="X456">
        <v>63.96</v>
      </c>
      <c r="Y456">
        <v>0.53500000000000003</v>
      </c>
    </row>
    <row r="457" spans="1:25" x14ac:dyDescent="0.35">
      <c r="A457" t="s">
        <v>488</v>
      </c>
      <c r="B457" t="s">
        <v>483</v>
      </c>
      <c r="C457" t="s">
        <v>589</v>
      </c>
      <c r="D457">
        <v>9.24</v>
      </c>
      <c r="E457">
        <v>9.1199999999999992</v>
      </c>
      <c r="F457">
        <v>9.2100000000000009</v>
      </c>
      <c r="G457">
        <v>12.26</v>
      </c>
      <c r="H457">
        <v>12.91</v>
      </c>
      <c r="I457">
        <v>12.37</v>
      </c>
      <c r="J457">
        <v>0.94</v>
      </c>
      <c r="K457">
        <v>3.73</v>
      </c>
      <c r="L457">
        <v>1.83</v>
      </c>
      <c r="M457">
        <v>81.540000000000006</v>
      </c>
      <c r="N457">
        <v>40.89</v>
      </c>
      <c r="O457">
        <v>61.215000000000003</v>
      </c>
      <c r="P457">
        <v>68.48</v>
      </c>
      <c r="Q457">
        <v>72.41</v>
      </c>
      <c r="R457">
        <v>70.400000000000006</v>
      </c>
      <c r="S457">
        <v>12</v>
      </c>
      <c r="T457">
        <v>41.88</v>
      </c>
      <c r="U457">
        <v>69.819999999999993</v>
      </c>
      <c r="V457">
        <v>62.5</v>
      </c>
      <c r="W457">
        <v>65.83</v>
      </c>
      <c r="X457">
        <v>67.73</v>
      </c>
      <c r="Y457">
        <v>0.59199999999999997</v>
      </c>
    </row>
    <row r="458" spans="1:25" x14ac:dyDescent="0.35">
      <c r="A458" t="s">
        <v>489</v>
      </c>
      <c r="B458" t="s">
        <v>483</v>
      </c>
      <c r="C458" t="s">
        <v>589</v>
      </c>
      <c r="D458">
        <v>9.64</v>
      </c>
      <c r="E458">
        <v>9.5299999999999994</v>
      </c>
      <c r="F458">
        <v>9.59</v>
      </c>
      <c r="G458">
        <v>13.49</v>
      </c>
      <c r="H458">
        <v>13.82</v>
      </c>
      <c r="I458">
        <v>13.7</v>
      </c>
      <c r="J458">
        <v>5.87</v>
      </c>
      <c r="K458">
        <v>2.73</v>
      </c>
      <c r="L458">
        <v>4.5199999999999996</v>
      </c>
      <c r="M458">
        <v>78.11</v>
      </c>
      <c r="N458">
        <v>60.95</v>
      </c>
      <c r="O458">
        <v>69.53</v>
      </c>
      <c r="P458">
        <v>69.239999999999995</v>
      </c>
      <c r="Q458">
        <v>73.209999999999994</v>
      </c>
      <c r="R458">
        <v>71.180000000000007</v>
      </c>
      <c r="S458">
        <v>13.33</v>
      </c>
      <c r="T458">
        <v>37.17</v>
      </c>
      <c r="U458">
        <v>68.72</v>
      </c>
      <c r="V458">
        <v>67.62</v>
      </c>
      <c r="W458">
        <v>68.39</v>
      </c>
      <c r="X458">
        <v>65.989999999999995</v>
      </c>
      <c r="Y458">
        <v>0.53400000000000003</v>
      </c>
    </row>
    <row r="459" spans="1:25" x14ac:dyDescent="0.35">
      <c r="A459" t="s">
        <v>490</v>
      </c>
      <c r="B459" t="s">
        <v>483</v>
      </c>
      <c r="C459" t="s">
        <v>589</v>
      </c>
      <c r="D459">
        <v>9.42</v>
      </c>
      <c r="E459">
        <v>8.31</v>
      </c>
      <c r="F459">
        <v>9</v>
      </c>
      <c r="G459">
        <v>12.89</v>
      </c>
      <c r="H459">
        <v>13.19</v>
      </c>
      <c r="I459">
        <v>12.92</v>
      </c>
      <c r="J459">
        <v>2.2400000000000002</v>
      </c>
      <c r="K459">
        <v>4.71</v>
      </c>
      <c r="L459">
        <v>3.24</v>
      </c>
      <c r="M459">
        <v>71.34</v>
      </c>
      <c r="N459">
        <v>50.33</v>
      </c>
      <c r="O459">
        <v>60.835000000000001</v>
      </c>
      <c r="P459">
        <v>66.790000000000006</v>
      </c>
      <c r="Q459">
        <v>70.760000000000005</v>
      </c>
      <c r="R459">
        <v>68.73</v>
      </c>
      <c r="S459">
        <v>8</v>
      </c>
      <c r="T459">
        <v>32.549999999999997</v>
      </c>
      <c r="U459">
        <v>70.010000000000005</v>
      </c>
      <c r="V459">
        <v>62.19</v>
      </c>
      <c r="W459">
        <v>66.239999999999995</v>
      </c>
      <c r="X459">
        <v>58.26</v>
      </c>
      <c r="Y459">
        <v>0.61099999999999999</v>
      </c>
    </row>
    <row r="460" spans="1:25" x14ac:dyDescent="0.35">
      <c r="A460" t="s">
        <v>491</v>
      </c>
      <c r="B460" t="s">
        <v>483</v>
      </c>
      <c r="C460" t="s">
        <v>589</v>
      </c>
      <c r="D460">
        <v>9.23</v>
      </c>
      <c r="E460">
        <v>9.0299999999999994</v>
      </c>
      <c r="F460">
        <v>9.1300000000000008</v>
      </c>
      <c r="G460">
        <v>12.55</v>
      </c>
      <c r="H460">
        <v>13</v>
      </c>
      <c r="I460">
        <v>12.71</v>
      </c>
      <c r="J460">
        <v>1.71</v>
      </c>
      <c r="K460">
        <v>3.27</v>
      </c>
      <c r="L460">
        <v>2.36</v>
      </c>
      <c r="M460">
        <v>81.34</v>
      </c>
      <c r="N460">
        <v>59.96</v>
      </c>
      <c r="O460">
        <v>70.650000000000006</v>
      </c>
      <c r="P460">
        <v>67.73</v>
      </c>
      <c r="Q460">
        <v>71.680000000000007</v>
      </c>
      <c r="R460">
        <v>69.650000000000006</v>
      </c>
      <c r="S460">
        <v>15</v>
      </c>
      <c r="T460">
        <v>42.37</v>
      </c>
      <c r="U460">
        <v>68.680000000000007</v>
      </c>
      <c r="V460">
        <v>62.26</v>
      </c>
      <c r="W460">
        <v>64.86</v>
      </c>
      <c r="X460">
        <v>69.27</v>
      </c>
      <c r="Y460">
        <v>0.49299999999999999</v>
      </c>
    </row>
    <row r="461" spans="1:25" x14ac:dyDescent="0.35">
      <c r="A461" t="s">
        <v>492</v>
      </c>
      <c r="B461" t="s">
        <v>483</v>
      </c>
      <c r="C461" t="s">
        <v>589</v>
      </c>
      <c r="D461">
        <v>8.83</v>
      </c>
      <c r="E461">
        <v>8.16</v>
      </c>
      <c r="F461">
        <v>8.48</v>
      </c>
      <c r="G461">
        <v>12.85</v>
      </c>
      <c r="H461">
        <v>12.87</v>
      </c>
      <c r="I461">
        <v>12.85</v>
      </c>
      <c r="J461">
        <v>0.87</v>
      </c>
      <c r="K461">
        <v>1.94</v>
      </c>
      <c r="L461">
        <v>1.35</v>
      </c>
      <c r="M461">
        <v>77.47</v>
      </c>
      <c r="N461">
        <v>66.41</v>
      </c>
      <c r="O461">
        <v>71.94</v>
      </c>
      <c r="P461">
        <v>68.37</v>
      </c>
      <c r="Q461">
        <v>72.3</v>
      </c>
      <c r="R461">
        <v>70.28</v>
      </c>
      <c r="S461">
        <v>10</v>
      </c>
      <c r="T461">
        <v>32.159999999999997</v>
      </c>
      <c r="U461">
        <v>72.989999999999995</v>
      </c>
      <c r="V461">
        <v>63.69</v>
      </c>
      <c r="W461">
        <v>67.09</v>
      </c>
      <c r="X461">
        <v>61.8</v>
      </c>
      <c r="Y461">
        <v>0.58799999999999997</v>
      </c>
    </row>
    <row r="462" spans="1:25" x14ac:dyDescent="0.35">
      <c r="A462" t="s">
        <v>493</v>
      </c>
      <c r="B462" t="s">
        <v>483</v>
      </c>
      <c r="C462" t="s">
        <v>589</v>
      </c>
      <c r="D462">
        <v>12.26</v>
      </c>
      <c r="E462">
        <v>12.24</v>
      </c>
      <c r="F462">
        <v>12.24</v>
      </c>
      <c r="G462">
        <v>15.66</v>
      </c>
      <c r="H462">
        <v>16.7</v>
      </c>
      <c r="I462">
        <v>16.079999999999998</v>
      </c>
      <c r="J462">
        <v>9.92</v>
      </c>
      <c r="K462">
        <v>13.45</v>
      </c>
      <c r="L462">
        <v>11.44</v>
      </c>
      <c r="M462">
        <v>76.290000000000006</v>
      </c>
      <c r="N462">
        <v>56.95</v>
      </c>
      <c r="O462">
        <v>66.62</v>
      </c>
      <c r="P462">
        <v>71.09</v>
      </c>
      <c r="Q462">
        <v>75.28</v>
      </c>
      <c r="R462">
        <v>73.14</v>
      </c>
      <c r="S462">
        <v>20.59</v>
      </c>
      <c r="T462">
        <v>40.799999999999997</v>
      </c>
      <c r="U462">
        <v>84.01</v>
      </c>
      <c r="V462">
        <v>82.29</v>
      </c>
      <c r="W462">
        <v>82.56</v>
      </c>
      <c r="X462">
        <v>77.75</v>
      </c>
      <c r="Y462">
        <v>0.47599999999999998</v>
      </c>
    </row>
    <row r="463" spans="1:25" x14ac:dyDescent="0.35">
      <c r="A463" t="s">
        <v>494</v>
      </c>
      <c r="B463" t="s">
        <v>483</v>
      </c>
      <c r="C463" t="s">
        <v>589</v>
      </c>
      <c r="D463">
        <v>11.11</v>
      </c>
      <c r="E463">
        <v>10.44</v>
      </c>
      <c r="F463">
        <v>10.67</v>
      </c>
      <c r="G463">
        <v>14.01</v>
      </c>
      <c r="H463">
        <v>14.87</v>
      </c>
      <c r="I463">
        <v>14.02</v>
      </c>
      <c r="J463">
        <v>9.56</v>
      </c>
      <c r="K463">
        <v>7.17</v>
      </c>
      <c r="L463">
        <v>8.68</v>
      </c>
      <c r="M463">
        <v>77.53</v>
      </c>
      <c r="N463">
        <v>44.42</v>
      </c>
      <c r="O463">
        <v>60.975000000000001</v>
      </c>
      <c r="P463">
        <v>69.78</v>
      </c>
      <c r="Q463">
        <v>73.77</v>
      </c>
      <c r="R463">
        <v>71.72</v>
      </c>
      <c r="S463">
        <v>10</v>
      </c>
      <c r="T463">
        <v>27.01</v>
      </c>
      <c r="U463">
        <v>74.77</v>
      </c>
      <c r="V463">
        <v>66.41</v>
      </c>
      <c r="W463">
        <v>70.209999999999994</v>
      </c>
      <c r="X463">
        <v>59.16</v>
      </c>
      <c r="Y463">
        <v>0.56899999999999995</v>
      </c>
    </row>
    <row r="464" spans="1:25" x14ac:dyDescent="0.35">
      <c r="A464" t="s">
        <v>496</v>
      </c>
      <c r="B464" t="s">
        <v>495</v>
      </c>
      <c r="C464" t="s">
        <v>589</v>
      </c>
      <c r="D464">
        <v>9.1</v>
      </c>
      <c r="E464">
        <v>8.42</v>
      </c>
      <c r="F464">
        <v>8.59</v>
      </c>
      <c r="G464">
        <v>13.22</v>
      </c>
      <c r="H464">
        <v>13.32</v>
      </c>
      <c r="I464">
        <v>13.25</v>
      </c>
      <c r="J464">
        <v>2.83</v>
      </c>
      <c r="K464">
        <v>4.59</v>
      </c>
      <c r="L464">
        <v>3.53</v>
      </c>
      <c r="M464">
        <v>81.3</v>
      </c>
      <c r="N464">
        <v>56.71</v>
      </c>
      <c r="O464">
        <v>69.004999999999995</v>
      </c>
      <c r="P464">
        <v>68.8</v>
      </c>
      <c r="Q464">
        <v>72.739999999999995</v>
      </c>
      <c r="R464">
        <v>70.72</v>
      </c>
      <c r="S464">
        <v>12</v>
      </c>
      <c r="T464">
        <v>34.28</v>
      </c>
      <c r="U464">
        <v>72.06</v>
      </c>
      <c r="V464">
        <v>64.349999999999994</v>
      </c>
      <c r="W464">
        <v>67.53</v>
      </c>
      <c r="X464">
        <v>63.53</v>
      </c>
      <c r="Y464">
        <v>0.54200000000000004</v>
      </c>
    </row>
    <row r="465" spans="1:25" x14ac:dyDescent="0.35">
      <c r="A465" t="s">
        <v>497</v>
      </c>
      <c r="B465" t="s">
        <v>495</v>
      </c>
      <c r="C465" t="s">
        <v>589</v>
      </c>
      <c r="D465">
        <v>9.56</v>
      </c>
      <c r="E465">
        <v>9.0299999999999994</v>
      </c>
      <c r="F465">
        <v>9.1999999999999993</v>
      </c>
      <c r="G465">
        <v>13.46</v>
      </c>
      <c r="H465">
        <v>13.59</v>
      </c>
      <c r="I465">
        <v>13.52</v>
      </c>
      <c r="J465">
        <v>3.8</v>
      </c>
      <c r="K465">
        <v>2.68</v>
      </c>
      <c r="L465">
        <v>3.43</v>
      </c>
      <c r="M465">
        <v>89.94</v>
      </c>
      <c r="N465">
        <v>49.51</v>
      </c>
      <c r="O465">
        <v>69.724999999999994</v>
      </c>
      <c r="P465">
        <v>68.56</v>
      </c>
      <c r="Q465">
        <v>72.489999999999995</v>
      </c>
      <c r="R465">
        <v>70.48</v>
      </c>
      <c r="S465">
        <v>5</v>
      </c>
      <c r="T465">
        <v>31.85</v>
      </c>
      <c r="U465">
        <v>72.34</v>
      </c>
      <c r="V465">
        <v>65.540000000000006</v>
      </c>
      <c r="W465">
        <v>68.45</v>
      </c>
      <c r="X465">
        <v>54.58</v>
      </c>
      <c r="Y465">
        <v>0.62</v>
      </c>
    </row>
    <row r="466" spans="1:25" x14ac:dyDescent="0.35">
      <c r="A466" t="s">
        <v>498</v>
      </c>
      <c r="B466" t="s">
        <v>495</v>
      </c>
      <c r="C466" t="s">
        <v>589</v>
      </c>
      <c r="D466">
        <v>9.51</v>
      </c>
      <c r="E466">
        <v>9.16</v>
      </c>
      <c r="F466">
        <v>9.17</v>
      </c>
      <c r="G466">
        <v>13.01</v>
      </c>
      <c r="H466">
        <v>12.98</v>
      </c>
      <c r="I466">
        <v>12.98</v>
      </c>
      <c r="J466">
        <v>2.08</v>
      </c>
      <c r="K466">
        <v>3.45</v>
      </c>
      <c r="L466">
        <v>2.57</v>
      </c>
      <c r="M466">
        <v>80.38</v>
      </c>
      <c r="N466">
        <v>46.46</v>
      </c>
      <c r="O466">
        <v>63.42</v>
      </c>
      <c r="P466">
        <v>66.86</v>
      </c>
      <c r="Q466">
        <v>70.83</v>
      </c>
      <c r="R466">
        <v>68.8</v>
      </c>
      <c r="S466">
        <v>16</v>
      </c>
      <c r="T466">
        <v>27.87</v>
      </c>
      <c r="U466">
        <v>69.739999999999995</v>
      </c>
      <c r="V466">
        <v>64.989999999999995</v>
      </c>
      <c r="W466">
        <v>65.989999999999995</v>
      </c>
      <c r="X466">
        <v>62.58</v>
      </c>
      <c r="Y466">
        <v>0.58099999999999996</v>
      </c>
    </row>
    <row r="467" spans="1:25" x14ac:dyDescent="0.35">
      <c r="A467" t="s">
        <v>499</v>
      </c>
      <c r="B467" t="s">
        <v>495</v>
      </c>
      <c r="C467" t="s">
        <v>589</v>
      </c>
      <c r="D467">
        <v>8.7899999999999991</v>
      </c>
      <c r="E467">
        <v>8.08</v>
      </c>
      <c r="F467">
        <v>8.42</v>
      </c>
      <c r="G467">
        <v>13.19</v>
      </c>
      <c r="H467">
        <v>12.91</v>
      </c>
      <c r="I467">
        <v>13.04</v>
      </c>
      <c r="J467">
        <v>2.2599999999999998</v>
      </c>
      <c r="K467">
        <v>1.6</v>
      </c>
      <c r="L467">
        <v>2</v>
      </c>
      <c r="M467">
        <v>85.31</v>
      </c>
      <c r="N467">
        <v>63.33</v>
      </c>
      <c r="O467">
        <v>74.319999999999993</v>
      </c>
      <c r="P467">
        <v>68.62</v>
      </c>
      <c r="Q467">
        <v>72.56</v>
      </c>
      <c r="R467">
        <v>70.540000000000006</v>
      </c>
      <c r="S467">
        <v>13.33</v>
      </c>
      <c r="T467">
        <v>21.43</v>
      </c>
      <c r="U467">
        <v>71.64</v>
      </c>
      <c r="V467">
        <v>62.89</v>
      </c>
      <c r="W467">
        <v>66.66</v>
      </c>
      <c r="X467">
        <v>53.87</v>
      </c>
      <c r="Y467">
        <v>0.57899999999999996</v>
      </c>
    </row>
    <row r="468" spans="1:25" x14ac:dyDescent="0.35">
      <c r="A468" t="s">
        <v>500</v>
      </c>
      <c r="B468" t="s">
        <v>495</v>
      </c>
      <c r="C468" t="s">
        <v>589</v>
      </c>
      <c r="D468">
        <v>9.24</v>
      </c>
      <c r="E468">
        <v>8.36</v>
      </c>
      <c r="F468">
        <v>8.67</v>
      </c>
      <c r="G468">
        <v>13.8</v>
      </c>
      <c r="H468">
        <v>13.56</v>
      </c>
      <c r="I468">
        <v>13.69</v>
      </c>
      <c r="J468">
        <v>6.02</v>
      </c>
      <c r="K468">
        <v>6.46</v>
      </c>
      <c r="L468">
        <v>6.2</v>
      </c>
      <c r="M468">
        <v>81.739999999999995</v>
      </c>
      <c r="N468">
        <v>59.19</v>
      </c>
      <c r="O468">
        <v>70.465000000000003</v>
      </c>
      <c r="P468">
        <v>70</v>
      </c>
      <c r="Q468">
        <v>74</v>
      </c>
      <c r="R468">
        <v>71.95</v>
      </c>
      <c r="S468">
        <v>33.33</v>
      </c>
      <c r="T468">
        <v>29.55</v>
      </c>
      <c r="U468">
        <v>75.069999999999993</v>
      </c>
      <c r="V468">
        <v>67.75</v>
      </c>
      <c r="W468">
        <v>69.78</v>
      </c>
      <c r="X468">
        <v>76.989999999999995</v>
      </c>
      <c r="Y468">
        <v>0.50900000000000001</v>
      </c>
    </row>
    <row r="469" spans="1:25" x14ac:dyDescent="0.35">
      <c r="A469" t="s">
        <v>501</v>
      </c>
      <c r="B469" t="s">
        <v>495</v>
      </c>
      <c r="C469" t="s">
        <v>589</v>
      </c>
      <c r="D469">
        <v>9.34</v>
      </c>
      <c r="E469">
        <v>8.6199999999999992</v>
      </c>
      <c r="F469">
        <v>8.8800000000000008</v>
      </c>
      <c r="G469">
        <v>13.28</v>
      </c>
      <c r="H469">
        <v>12.83</v>
      </c>
      <c r="I469">
        <v>12.89</v>
      </c>
      <c r="J469">
        <v>4.3899999999999997</v>
      </c>
      <c r="K469">
        <v>4.18</v>
      </c>
      <c r="L469">
        <v>4.32</v>
      </c>
      <c r="M469">
        <v>86.74</v>
      </c>
      <c r="N469">
        <v>50.93</v>
      </c>
      <c r="O469">
        <v>68.834999999999994</v>
      </c>
      <c r="P469">
        <v>69.760000000000005</v>
      </c>
      <c r="Q469">
        <v>73.739999999999995</v>
      </c>
      <c r="R469">
        <v>71.7</v>
      </c>
      <c r="S469">
        <v>5</v>
      </c>
      <c r="T469">
        <v>25.7</v>
      </c>
      <c r="U469">
        <v>75.11</v>
      </c>
      <c r="V469">
        <v>62.11</v>
      </c>
      <c r="W469">
        <v>69.58</v>
      </c>
      <c r="X469">
        <v>50.49</v>
      </c>
      <c r="Y469">
        <v>0.60099999999999998</v>
      </c>
    </row>
    <row r="470" spans="1:25" x14ac:dyDescent="0.35">
      <c r="A470" t="s">
        <v>502</v>
      </c>
      <c r="B470" t="s">
        <v>495</v>
      </c>
      <c r="C470" t="s">
        <v>589</v>
      </c>
      <c r="D470">
        <v>8.17</v>
      </c>
      <c r="E470">
        <v>7.27</v>
      </c>
      <c r="F470">
        <v>7.73</v>
      </c>
      <c r="G470">
        <v>13.01</v>
      </c>
      <c r="H470">
        <v>13.1</v>
      </c>
      <c r="I470">
        <v>13.02</v>
      </c>
      <c r="J470">
        <v>4.63</v>
      </c>
      <c r="K470">
        <v>3.48</v>
      </c>
      <c r="L470">
        <v>4.21</v>
      </c>
      <c r="M470">
        <v>81.290000000000006</v>
      </c>
      <c r="N470">
        <v>51.33</v>
      </c>
      <c r="O470">
        <v>66.31</v>
      </c>
      <c r="P470">
        <v>69.23</v>
      </c>
      <c r="Q470">
        <v>73.19</v>
      </c>
      <c r="R470">
        <v>71.16</v>
      </c>
      <c r="S470">
        <v>15</v>
      </c>
      <c r="T470">
        <v>26.72</v>
      </c>
      <c r="U470">
        <v>71.44</v>
      </c>
      <c r="V470">
        <v>51.87</v>
      </c>
      <c r="W470">
        <v>65.680000000000007</v>
      </c>
      <c r="X470">
        <v>60.7</v>
      </c>
      <c r="Y470">
        <v>0.48</v>
      </c>
    </row>
    <row r="471" spans="1:25" x14ac:dyDescent="0.35">
      <c r="A471" t="s">
        <v>503</v>
      </c>
      <c r="B471" t="s">
        <v>495</v>
      </c>
      <c r="C471" t="s">
        <v>589</v>
      </c>
      <c r="D471">
        <v>8.34</v>
      </c>
      <c r="E471">
        <v>7.83</v>
      </c>
      <c r="F471">
        <v>7.99</v>
      </c>
      <c r="G471">
        <v>12.66</v>
      </c>
      <c r="H471">
        <v>13.11</v>
      </c>
      <c r="I471">
        <v>12.88</v>
      </c>
      <c r="J471">
        <v>2.0699999999999998</v>
      </c>
      <c r="K471">
        <v>4.33</v>
      </c>
      <c r="L471">
        <v>2.86</v>
      </c>
      <c r="M471">
        <v>81.75</v>
      </c>
      <c r="N471">
        <v>48.02</v>
      </c>
      <c r="O471">
        <v>64.885000000000005</v>
      </c>
      <c r="P471">
        <v>65.319999999999993</v>
      </c>
      <c r="Q471">
        <v>69.27</v>
      </c>
      <c r="R471">
        <v>67.25</v>
      </c>
      <c r="S471">
        <v>25</v>
      </c>
      <c r="T471">
        <v>13.66</v>
      </c>
      <c r="U471">
        <v>68.75</v>
      </c>
      <c r="V471">
        <v>58.39</v>
      </c>
      <c r="W471">
        <v>62.9</v>
      </c>
      <c r="X471">
        <v>57.46</v>
      </c>
      <c r="Y471">
        <v>0.57699999999999996</v>
      </c>
    </row>
    <row r="472" spans="1:25" x14ac:dyDescent="0.35">
      <c r="A472" t="s">
        <v>504</v>
      </c>
      <c r="B472" t="s">
        <v>495</v>
      </c>
      <c r="C472" t="s">
        <v>589</v>
      </c>
      <c r="D472">
        <v>12.35</v>
      </c>
      <c r="E472">
        <v>11.71</v>
      </c>
      <c r="F472">
        <v>12.08</v>
      </c>
      <c r="G472">
        <v>15.94</v>
      </c>
      <c r="H472">
        <v>15.92</v>
      </c>
      <c r="I472">
        <v>15.92</v>
      </c>
      <c r="J472">
        <v>6.77</v>
      </c>
      <c r="K472">
        <v>5.9</v>
      </c>
      <c r="L472">
        <v>6.42</v>
      </c>
      <c r="M472">
        <v>75.48</v>
      </c>
      <c r="N472">
        <v>51.59</v>
      </c>
      <c r="O472">
        <v>63.535000000000004</v>
      </c>
      <c r="P472">
        <v>70.900000000000006</v>
      </c>
      <c r="Q472">
        <v>74.94</v>
      </c>
      <c r="R472">
        <v>72.87</v>
      </c>
      <c r="S472">
        <v>23.33</v>
      </c>
      <c r="T472">
        <v>36.67</v>
      </c>
      <c r="U472">
        <v>85.57</v>
      </c>
      <c r="V472">
        <v>78.930000000000007</v>
      </c>
      <c r="W472">
        <v>82.12</v>
      </c>
      <c r="X472">
        <v>78.02</v>
      </c>
      <c r="Y472">
        <v>0.438</v>
      </c>
    </row>
    <row r="473" spans="1:25" x14ac:dyDescent="0.35">
      <c r="A473" t="s">
        <v>505</v>
      </c>
      <c r="B473" t="s">
        <v>495</v>
      </c>
      <c r="C473" t="s">
        <v>589</v>
      </c>
      <c r="D473">
        <v>10.5</v>
      </c>
      <c r="E473">
        <v>10.01</v>
      </c>
      <c r="F473">
        <v>10.119999999999999</v>
      </c>
      <c r="G473">
        <v>14.21</v>
      </c>
      <c r="H473">
        <v>15.18</v>
      </c>
      <c r="I473">
        <v>14.49</v>
      </c>
      <c r="J473">
        <v>2.73</v>
      </c>
      <c r="K473">
        <v>4.74</v>
      </c>
      <c r="L473">
        <v>3.49</v>
      </c>
      <c r="M473">
        <v>85.74</v>
      </c>
      <c r="N473">
        <v>53.14</v>
      </c>
      <c r="O473">
        <v>69.44</v>
      </c>
      <c r="P473">
        <v>70.56</v>
      </c>
      <c r="Q473">
        <v>74.58</v>
      </c>
      <c r="R473">
        <v>72.52</v>
      </c>
      <c r="S473">
        <v>20</v>
      </c>
      <c r="T473">
        <v>33.69</v>
      </c>
      <c r="U473">
        <v>75.180000000000007</v>
      </c>
      <c r="V473">
        <v>72.62</v>
      </c>
      <c r="W473">
        <v>72.91</v>
      </c>
      <c r="X473">
        <v>71.540000000000006</v>
      </c>
      <c r="Y473">
        <v>0.41399999999999998</v>
      </c>
    </row>
    <row r="474" spans="1:25" x14ac:dyDescent="0.35">
      <c r="A474" t="s">
        <v>507</v>
      </c>
      <c r="B474" t="s">
        <v>506</v>
      </c>
      <c r="C474" t="s">
        <v>589</v>
      </c>
      <c r="D474">
        <v>10.83</v>
      </c>
      <c r="E474">
        <v>8.91</v>
      </c>
      <c r="F474">
        <v>9.32</v>
      </c>
      <c r="G474">
        <v>14.79</v>
      </c>
      <c r="H474">
        <v>15.37</v>
      </c>
      <c r="I474">
        <v>14.79</v>
      </c>
      <c r="J474">
        <v>4.78</v>
      </c>
      <c r="K474">
        <v>8.6300000000000008</v>
      </c>
      <c r="L474">
        <v>6.28</v>
      </c>
      <c r="M474">
        <v>73.42</v>
      </c>
      <c r="N474">
        <v>49</v>
      </c>
      <c r="O474">
        <v>61.21</v>
      </c>
      <c r="P474">
        <v>69.63</v>
      </c>
      <c r="Q474">
        <v>73.61</v>
      </c>
      <c r="R474">
        <v>71.569999999999993</v>
      </c>
      <c r="S474">
        <v>30</v>
      </c>
      <c r="T474">
        <v>31.86</v>
      </c>
      <c r="U474">
        <v>76.59</v>
      </c>
      <c r="V474">
        <v>64.680000000000007</v>
      </c>
      <c r="W474">
        <v>70.39</v>
      </c>
      <c r="X474">
        <v>77.09</v>
      </c>
      <c r="Y474">
        <v>0.44800000000000001</v>
      </c>
    </row>
    <row r="475" spans="1:25" x14ac:dyDescent="0.35">
      <c r="A475" t="s">
        <v>508</v>
      </c>
      <c r="B475" t="s">
        <v>506</v>
      </c>
      <c r="C475" t="s">
        <v>589</v>
      </c>
      <c r="D475">
        <v>10.25</v>
      </c>
      <c r="E475">
        <v>8.1999999999999993</v>
      </c>
      <c r="F475">
        <v>8.9700000000000006</v>
      </c>
      <c r="G475">
        <v>12.51</v>
      </c>
      <c r="H475">
        <v>12.5</v>
      </c>
      <c r="I475">
        <v>12.51</v>
      </c>
      <c r="J475">
        <v>4.0999999999999996</v>
      </c>
      <c r="K475">
        <v>6.32</v>
      </c>
      <c r="L475">
        <v>4.96</v>
      </c>
      <c r="M475">
        <v>79.14</v>
      </c>
      <c r="N475">
        <v>53.94</v>
      </c>
      <c r="O475">
        <v>66.539999999999992</v>
      </c>
      <c r="P475">
        <v>67.27</v>
      </c>
      <c r="Q475">
        <v>71.23</v>
      </c>
      <c r="R475">
        <v>69.2</v>
      </c>
      <c r="S475">
        <v>24</v>
      </c>
      <c r="T475">
        <v>38.369999999999997</v>
      </c>
      <c r="U475">
        <v>73.040000000000006</v>
      </c>
      <c r="V475">
        <v>62</v>
      </c>
      <c r="W475">
        <v>67.599999999999994</v>
      </c>
      <c r="X475">
        <v>77.290000000000006</v>
      </c>
      <c r="Y475">
        <v>0.52400000000000002</v>
      </c>
    </row>
    <row r="476" spans="1:25" x14ac:dyDescent="0.35">
      <c r="A476" t="s">
        <v>509</v>
      </c>
      <c r="B476" t="s">
        <v>506</v>
      </c>
      <c r="C476" t="s">
        <v>589</v>
      </c>
      <c r="D476">
        <v>9.57</v>
      </c>
      <c r="E476">
        <v>7.38</v>
      </c>
      <c r="F476">
        <v>7.38</v>
      </c>
      <c r="G476">
        <v>11.91</v>
      </c>
      <c r="H476">
        <v>11.98</v>
      </c>
      <c r="I476">
        <v>11.91</v>
      </c>
      <c r="J476">
        <v>2.61</v>
      </c>
      <c r="K476">
        <v>2.0699999999999998</v>
      </c>
      <c r="L476">
        <v>2.39</v>
      </c>
      <c r="M476">
        <v>79.5</v>
      </c>
      <c r="N476">
        <v>64.84</v>
      </c>
      <c r="O476">
        <v>72.17</v>
      </c>
      <c r="P476">
        <v>63.61</v>
      </c>
      <c r="Q476">
        <v>67.47</v>
      </c>
      <c r="R476">
        <v>65.5</v>
      </c>
      <c r="S476">
        <v>28</v>
      </c>
      <c r="T476">
        <v>22.65</v>
      </c>
      <c r="U476">
        <v>69.5</v>
      </c>
      <c r="V476">
        <v>55.85</v>
      </c>
      <c r="W476">
        <v>62.36</v>
      </c>
      <c r="X476">
        <v>69.14</v>
      </c>
      <c r="Y476">
        <v>0.52900000000000003</v>
      </c>
    </row>
    <row r="477" spans="1:25" x14ac:dyDescent="0.35">
      <c r="A477" t="s">
        <v>510</v>
      </c>
      <c r="B477" t="s">
        <v>506</v>
      </c>
      <c r="C477" t="s">
        <v>589</v>
      </c>
      <c r="D477">
        <v>9.92</v>
      </c>
      <c r="E477">
        <v>8.61</v>
      </c>
      <c r="F477">
        <v>8.67</v>
      </c>
      <c r="G477">
        <v>12.87</v>
      </c>
      <c r="H477">
        <v>12.59</v>
      </c>
      <c r="I477">
        <v>12.62</v>
      </c>
      <c r="J477">
        <v>3.54</v>
      </c>
      <c r="K477">
        <v>2.31</v>
      </c>
      <c r="L477">
        <v>3.16</v>
      </c>
      <c r="M477">
        <v>81.7</v>
      </c>
      <c r="N477">
        <v>52.88</v>
      </c>
      <c r="O477">
        <v>67.290000000000006</v>
      </c>
      <c r="P477">
        <v>66.099999999999994</v>
      </c>
      <c r="Q477">
        <v>70.09</v>
      </c>
      <c r="R477">
        <v>68.05</v>
      </c>
      <c r="S477">
        <v>4.17</v>
      </c>
      <c r="T477">
        <v>25.61</v>
      </c>
      <c r="U477">
        <v>71.87</v>
      </c>
      <c r="V477">
        <v>62.26</v>
      </c>
      <c r="W477">
        <v>66.75</v>
      </c>
      <c r="X477">
        <v>49.78</v>
      </c>
      <c r="Y477">
        <v>0.59799999999999998</v>
      </c>
    </row>
    <row r="478" spans="1:25" x14ac:dyDescent="0.35">
      <c r="A478" t="s">
        <v>511</v>
      </c>
      <c r="B478" t="s">
        <v>506</v>
      </c>
      <c r="C478" t="s">
        <v>589</v>
      </c>
      <c r="D478">
        <v>11.17</v>
      </c>
      <c r="E478">
        <v>8.66</v>
      </c>
      <c r="F478">
        <v>8.67</v>
      </c>
      <c r="G478">
        <v>13.86</v>
      </c>
      <c r="H478">
        <v>13.79</v>
      </c>
      <c r="I478">
        <v>13.79</v>
      </c>
      <c r="J478">
        <v>5.61</v>
      </c>
      <c r="K478">
        <v>4.93</v>
      </c>
      <c r="L478">
        <v>5.34</v>
      </c>
      <c r="M478">
        <v>81.739999999999995</v>
      </c>
      <c r="N478">
        <v>58.51</v>
      </c>
      <c r="O478">
        <v>70.125</v>
      </c>
      <c r="P478">
        <v>70.540000000000006</v>
      </c>
      <c r="Q478">
        <v>74.56</v>
      </c>
      <c r="R478">
        <v>72.510000000000005</v>
      </c>
      <c r="S478">
        <v>15.79</v>
      </c>
      <c r="T478">
        <v>30.94</v>
      </c>
      <c r="U478">
        <v>80.650000000000006</v>
      </c>
      <c r="V478">
        <v>68.849999999999994</v>
      </c>
      <c r="W478">
        <v>73.83</v>
      </c>
      <c r="X478">
        <v>63.55</v>
      </c>
      <c r="Y478">
        <v>0.49399999999999999</v>
      </c>
    </row>
    <row r="479" spans="1:25" x14ac:dyDescent="0.35">
      <c r="A479" t="s">
        <v>512</v>
      </c>
      <c r="B479" t="s">
        <v>506</v>
      </c>
      <c r="C479" t="s">
        <v>589</v>
      </c>
      <c r="D479">
        <v>9.89</v>
      </c>
      <c r="E479">
        <v>6.59</v>
      </c>
      <c r="F479">
        <v>7.17</v>
      </c>
      <c r="G479">
        <v>12.77</v>
      </c>
      <c r="H479">
        <v>13.19</v>
      </c>
      <c r="I479">
        <v>12.78</v>
      </c>
      <c r="J479">
        <v>2.0699999999999998</v>
      </c>
      <c r="K479">
        <v>3.12</v>
      </c>
      <c r="L479">
        <v>2.54</v>
      </c>
      <c r="M479">
        <v>87.77</v>
      </c>
      <c r="N479">
        <v>74.150000000000006</v>
      </c>
      <c r="O479">
        <v>80.960000000000008</v>
      </c>
      <c r="P479">
        <v>66.319999999999993</v>
      </c>
      <c r="Q479">
        <v>70.3</v>
      </c>
      <c r="R479">
        <v>68.260000000000005</v>
      </c>
      <c r="S479">
        <v>12</v>
      </c>
      <c r="T479">
        <v>64.17</v>
      </c>
      <c r="U479">
        <v>71.540000000000006</v>
      </c>
      <c r="V479">
        <v>48.58</v>
      </c>
      <c r="W479">
        <v>62.45</v>
      </c>
      <c r="X479">
        <v>55.62</v>
      </c>
      <c r="Y479">
        <v>0.501</v>
      </c>
    </row>
    <row r="480" spans="1:25" x14ac:dyDescent="0.35">
      <c r="A480" t="s">
        <v>513</v>
      </c>
      <c r="B480" t="s">
        <v>506</v>
      </c>
      <c r="C480" t="s">
        <v>589</v>
      </c>
      <c r="D480">
        <v>9.07</v>
      </c>
      <c r="E480">
        <v>5.2</v>
      </c>
      <c r="F480">
        <v>5.72</v>
      </c>
      <c r="G480">
        <v>11.81</v>
      </c>
      <c r="H480">
        <v>9.4499999999999993</v>
      </c>
      <c r="I480">
        <v>11.8</v>
      </c>
      <c r="J480">
        <v>0.59</v>
      </c>
      <c r="K480">
        <v>0</v>
      </c>
      <c r="L480">
        <v>0.31</v>
      </c>
      <c r="M480">
        <v>94.55</v>
      </c>
      <c r="N480">
        <v>89.75</v>
      </c>
      <c r="O480">
        <v>92.15</v>
      </c>
      <c r="P480">
        <v>65.849999999999994</v>
      </c>
      <c r="Q480">
        <v>69.83</v>
      </c>
      <c r="R480">
        <v>67.790000000000006</v>
      </c>
      <c r="S480">
        <v>8</v>
      </c>
      <c r="T480">
        <v>24.47</v>
      </c>
      <c r="U480">
        <v>66.58</v>
      </c>
      <c r="V480">
        <v>53.24</v>
      </c>
      <c r="W480">
        <v>58.73</v>
      </c>
      <c r="X480">
        <v>33.54</v>
      </c>
      <c r="Y480">
        <v>0.63700000000000001</v>
      </c>
    </row>
    <row r="481" spans="1:25" x14ac:dyDescent="0.35">
      <c r="A481" t="s">
        <v>515</v>
      </c>
      <c r="B481" t="s">
        <v>514</v>
      </c>
      <c r="C481" t="s">
        <v>589</v>
      </c>
      <c r="D481">
        <v>9.39</v>
      </c>
      <c r="E481">
        <v>8.2100000000000009</v>
      </c>
      <c r="F481">
        <v>8.4</v>
      </c>
      <c r="G481">
        <v>12.29</v>
      </c>
      <c r="H481">
        <v>12.11</v>
      </c>
      <c r="I481">
        <v>12.12</v>
      </c>
      <c r="J481">
        <v>3.44</v>
      </c>
      <c r="K481">
        <v>6.28</v>
      </c>
      <c r="L481">
        <v>4.3899999999999997</v>
      </c>
      <c r="M481">
        <v>80.42</v>
      </c>
      <c r="N481">
        <v>45.15</v>
      </c>
      <c r="O481">
        <v>62.784999999999997</v>
      </c>
      <c r="P481">
        <v>65.19</v>
      </c>
      <c r="Q481">
        <v>69.14</v>
      </c>
      <c r="R481">
        <v>67.12</v>
      </c>
      <c r="S481">
        <v>15</v>
      </c>
      <c r="T481">
        <v>24.19</v>
      </c>
      <c r="U481">
        <v>71.55</v>
      </c>
      <c r="V481">
        <v>56.94</v>
      </c>
      <c r="W481">
        <v>65.86</v>
      </c>
      <c r="X481">
        <v>56.71</v>
      </c>
      <c r="Y481">
        <v>0.60099999999999998</v>
      </c>
    </row>
    <row r="482" spans="1:25" x14ac:dyDescent="0.35">
      <c r="A482" t="s">
        <v>516</v>
      </c>
      <c r="B482" t="s">
        <v>514</v>
      </c>
      <c r="C482" t="s">
        <v>589</v>
      </c>
      <c r="D482">
        <v>9.4499999999999993</v>
      </c>
      <c r="E482">
        <v>8.5299999999999994</v>
      </c>
      <c r="F482">
        <v>8.74</v>
      </c>
      <c r="G482">
        <v>14.11</v>
      </c>
      <c r="H482">
        <v>13.92</v>
      </c>
      <c r="I482">
        <v>14.08</v>
      </c>
      <c r="J482">
        <v>4.1100000000000003</v>
      </c>
      <c r="K482">
        <v>4.24</v>
      </c>
      <c r="L482">
        <v>4.1500000000000004</v>
      </c>
      <c r="M482">
        <v>84.46</v>
      </c>
      <c r="N482">
        <v>53.71</v>
      </c>
      <c r="O482">
        <v>69.084999999999994</v>
      </c>
      <c r="P482">
        <v>68.16</v>
      </c>
      <c r="Q482">
        <v>72.099999999999994</v>
      </c>
      <c r="R482">
        <v>70.08</v>
      </c>
      <c r="S482">
        <v>12</v>
      </c>
      <c r="T482">
        <v>22.87</v>
      </c>
      <c r="U482">
        <v>73.08</v>
      </c>
      <c r="V482">
        <v>63.5</v>
      </c>
      <c r="W482">
        <v>68.290000000000006</v>
      </c>
      <c r="X482">
        <v>57.01</v>
      </c>
      <c r="Y482">
        <v>0.54700000000000004</v>
      </c>
    </row>
    <row r="483" spans="1:25" x14ac:dyDescent="0.35">
      <c r="A483" t="s">
        <v>517</v>
      </c>
      <c r="B483" t="s">
        <v>514</v>
      </c>
      <c r="C483" t="s">
        <v>589</v>
      </c>
      <c r="D483">
        <v>9.7899999999999991</v>
      </c>
      <c r="E483">
        <v>7.76</v>
      </c>
      <c r="F483">
        <v>7.76</v>
      </c>
      <c r="G483">
        <v>13.87</v>
      </c>
      <c r="H483">
        <v>13.1</v>
      </c>
      <c r="I483">
        <v>13.29</v>
      </c>
      <c r="J483">
        <v>3.32</v>
      </c>
      <c r="K483">
        <v>2.08</v>
      </c>
      <c r="L483">
        <v>2.81</v>
      </c>
      <c r="M483">
        <v>78.86</v>
      </c>
      <c r="N483">
        <v>59.46</v>
      </c>
      <c r="O483">
        <v>69.16</v>
      </c>
      <c r="P483">
        <v>65.3</v>
      </c>
      <c r="Q483">
        <v>69.25</v>
      </c>
      <c r="R483">
        <v>67.23</v>
      </c>
      <c r="S483">
        <v>5</v>
      </c>
      <c r="T483">
        <v>31.68</v>
      </c>
      <c r="U483">
        <v>70.319999999999993</v>
      </c>
      <c r="V483">
        <v>59.1</v>
      </c>
      <c r="W483">
        <v>64.5</v>
      </c>
      <c r="X483">
        <v>53.55</v>
      </c>
      <c r="Y483">
        <v>0.64100000000000001</v>
      </c>
    </row>
    <row r="484" spans="1:25" x14ac:dyDescent="0.35">
      <c r="A484" t="s">
        <v>518</v>
      </c>
      <c r="B484" t="s">
        <v>514</v>
      </c>
      <c r="C484" t="s">
        <v>589</v>
      </c>
      <c r="D484">
        <v>9.5500000000000007</v>
      </c>
      <c r="E484">
        <v>7.1</v>
      </c>
      <c r="F484">
        <v>7.44</v>
      </c>
      <c r="G484">
        <v>14.52</v>
      </c>
      <c r="H484">
        <v>13.41</v>
      </c>
      <c r="I484">
        <v>13.51</v>
      </c>
      <c r="J484">
        <v>2.69</v>
      </c>
      <c r="K484">
        <v>4.5</v>
      </c>
      <c r="L484">
        <v>3.56</v>
      </c>
      <c r="M484">
        <v>83.86</v>
      </c>
      <c r="N484">
        <v>78.510000000000005</v>
      </c>
      <c r="O484">
        <v>81.185000000000002</v>
      </c>
      <c r="P484">
        <v>64.08</v>
      </c>
      <c r="Q484">
        <v>67.959999999999994</v>
      </c>
      <c r="R484">
        <v>65.97</v>
      </c>
      <c r="S484">
        <v>20</v>
      </c>
      <c r="T484">
        <v>31.2</v>
      </c>
      <c r="U484">
        <v>69.63</v>
      </c>
      <c r="V484">
        <v>55.33</v>
      </c>
      <c r="W484">
        <v>61.83</v>
      </c>
      <c r="X484">
        <v>66.84</v>
      </c>
      <c r="Y484">
        <v>0.45900000000000002</v>
      </c>
    </row>
    <row r="485" spans="1:25" x14ac:dyDescent="0.35">
      <c r="A485" t="s">
        <v>519</v>
      </c>
      <c r="B485" t="s">
        <v>514</v>
      </c>
      <c r="C485" t="s">
        <v>589</v>
      </c>
      <c r="D485">
        <v>8.06</v>
      </c>
      <c r="E485">
        <v>5.66</v>
      </c>
      <c r="F485">
        <v>5.89</v>
      </c>
      <c r="G485">
        <v>13.07</v>
      </c>
      <c r="H485">
        <v>11.78</v>
      </c>
      <c r="I485">
        <v>12.45</v>
      </c>
      <c r="J485">
        <v>1.32</v>
      </c>
      <c r="K485">
        <v>1.78</v>
      </c>
      <c r="L485">
        <v>1.52</v>
      </c>
      <c r="M485">
        <v>87.47</v>
      </c>
      <c r="N485">
        <v>71.13</v>
      </c>
      <c r="O485">
        <v>79.3</v>
      </c>
      <c r="P485">
        <v>63.99</v>
      </c>
      <c r="Q485">
        <v>67.88</v>
      </c>
      <c r="R485">
        <v>65.89</v>
      </c>
      <c r="S485">
        <v>5</v>
      </c>
      <c r="T485">
        <v>36.880000000000003</v>
      </c>
      <c r="U485">
        <v>65.150000000000006</v>
      </c>
      <c r="V485">
        <v>46.4</v>
      </c>
      <c r="W485">
        <v>56.32</v>
      </c>
      <c r="X485">
        <v>43.17</v>
      </c>
      <c r="Y485">
        <v>0.61799999999999999</v>
      </c>
    </row>
    <row r="486" spans="1:25" x14ac:dyDescent="0.35">
      <c r="A486" t="s">
        <v>520</v>
      </c>
      <c r="B486" t="s">
        <v>514</v>
      </c>
      <c r="C486" t="s">
        <v>589</v>
      </c>
      <c r="D486">
        <v>11.6</v>
      </c>
      <c r="E486">
        <v>11.54</v>
      </c>
      <c r="F486">
        <v>11.57</v>
      </c>
      <c r="G486">
        <v>14.37</v>
      </c>
      <c r="H486">
        <v>14.67</v>
      </c>
      <c r="I486">
        <v>14.43</v>
      </c>
      <c r="J486">
        <v>8.25</v>
      </c>
      <c r="K486">
        <v>12.52</v>
      </c>
      <c r="L486">
        <v>9.85</v>
      </c>
      <c r="M486">
        <v>76.23</v>
      </c>
      <c r="N486">
        <v>50.71</v>
      </c>
      <c r="O486">
        <v>63.47</v>
      </c>
      <c r="P486">
        <v>71.13</v>
      </c>
      <c r="Q486">
        <v>75.349999999999994</v>
      </c>
      <c r="R486">
        <v>73.19</v>
      </c>
      <c r="S486">
        <v>13.79</v>
      </c>
      <c r="T486">
        <v>25.66</v>
      </c>
      <c r="U486">
        <v>83.9</v>
      </c>
      <c r="V486">
        <v>77.33</v>
      </c>
      <c r="W486">
        <v>79.930000000000007</v>
      </c>
      <c r="X486">
        <v>61.15</v>
      </c>
      <c r="Y486">
        <v>0.46899999999999997</v>
      </c>
    </row>
    <row r="487" spans="1:25" x14ac:dyDescent="0.35">
      <c r="A487" t="s">
        <v>522</v>
      </c>
      <c r="B487" t="s">
        <v>521</v>
      </c>
      <c r="C487" t="s">
        <v>589</v>
      </c>
      <c r="D487">
        <v>10.85</v>
      </c>
      <c r="E487">
        <v>9.84</v>
      </c>
      <c r="F487">
        <v>10.57</v>
      </c>
      <c r="G487">
        <v>14.58</v>
      </c>
      <c r="H487">
        <v>14.59</v>
      </c>
      <c r="I487">
        <v>14.59</v>
      </c>
      <c r="J487">
        <v>6.02</v>
      </c>
      <c r="K487">
        <v>7.02</v>
      </c>
      <c r="L487">
        <v>6.39</v>
      </c>
      <c r="M487">
        <v>77</v>
      </c>
      <c r="N487">
        <v>51.68</v>
      </c>
      <c r="O487">
        <v>64.34</v>
      </c>
      <c r="P487">
        <v>68.56</v>
      </c>
      <c r="Q487">
        <v>72.489999999999995</v>
      </c>
      <c r="R487">
        <v>70.48</v>
      </c>
      <c r="S487">
        <v>16.670000000000002</v>
      </c>
      <c r="T487">
        <v>34.03</v>
      </c>
      <c r="U487">
        <v>78.290000000000006</v>
      </c>
      <c r="V487">
        <v>71.739999999999995</v>
      </c>
      <c r="W487">
        <v>74.11</v>
      </c>
      <c r="X487">
        <v>71.64</v>
      </c>
      <c r="Y487">
        <v>0.49399999999999999</v>
      </c>
    </row>
    <row r="488" spans="1:25" x14ac:dyDescent="0.35">
      <c r="A488" t="s">
        <v>523</v>
      </c>
      <c r="B488" t="s">
        <v>521</v>
      </c>
      <c r="C488" t="s">
        <v>589</v>
      </c>
      <c r="D488">
        <v>10.36</v>
      </c>
      <c r="E488">
        <v>8.86</v>
      </c>
      <c r="F488">
        <v>9.7100000000000009</v>
      </c>
      <c r="G488">
        <v>12.77</v>
      </c>
      <c r="H488">
        <v>13.28</v>
      </c>
      <c r="I488">
        <v>12.82</v>
      </c>
      <c r="J488">
        <v>3.39</v>
      </c>
      <c r="K488">
        <v>7.5</v>
      </c>
      <c r="L488">
        <v>5</v>
      </c>
      <c r="M488">
        <v>79.16</v>
      </c>
      <c r="N488">
        <v>54.83</v>
      </c>
      <c r="O488">
        <v>66.995000000000005</v>
      </c>
      <c r="P488">
        <v>68.930000000000007</v>
      </c>
      <c r="Q488">
        <v>72.87</v>
      </c>
      <c r="R488">
        <v>70.849999999999994</v>
      </c>
      <c r="S488">
        <v>4</v>
      </c>
      <c r="T488">
        <v>37.35</v>
      </c>
      <c r="U488">
        <v>74.569999999999993</v>
      </c>
      <c r="V488">
        <v>67.069999999999993</v>
      </c>
      <c r="W488">
        <v>69.650000000000006</v>
      </c>
      <c r="X488">
        <v>58.4</v>
      </c>
      <c r="Y488">
        <v>0.63</v>
      </c>
    </row>
    <row r="489" spans="1:25" x14ac:dyDescent="0.35">
      <c r="A489" t="s">
        <v>524</v>
      </c>
      <c r="B489" t="s">
        <v>521</v>
      </c>
      <c r="C489" t="s">
        <v>589</v>
      </c>
      <c r="D489">
        <v>10.83</v>
      </c>
      <c r="E489">
        <v>10.1</v>
      </c>
      <c r="F489">
        <v>10.55</v>
      </c>
      <c r="G489">
        <v>14.25</v>
      </c>
      <c r="H489">
        <v>14.22</v>
      </c>
      <c r="I489">
        <v>14.24</v>
      </c>
      <c r="J489">
        <v>7.59</v>
      </c>
      <c r="K489">
        <v>5.93</v>
      </c>
      <c r="L489">
        <v>6.86</v>
      </c>
      <c r="M489">
        <v>80.650000000000006</v>
      </c>
      <c r="N489">
        <v>67.13</v>
      </c>
      <c r="O489">
        <v>73.89</v>
      </c>
      <c r="P489">
        <v>69</v>
      </c>
      <c r="Q489">
        <v>72.95</v>
      </c>
      <c r="R489">
        <v>70.92</v>
      </c>
      <c r="S489">
        <v>16</v>
      </c>
      <c r="T489">
        <v>30.35</v>
      </c>
      <c r="U489">
        <v>78.39</v>
      </c>
      <c r="V489">
        <v>71.62</v>
      </c>
      <c r="W489">
        <v>73.98</v>
      </c>
      <c r="X489">
        <v>64.72</v>
      </c>
      <c r="Y489">
        <v>0.44800000000000001</v>
      </c>
    </row>
    <row r="490" spans="1:25" x14ac:dyDescent="0.35">
      <c r="A490" t="s">
        <v>525</v>
      </c>
      <c r="B490" t="s">
        <v>521</v>
      </c>
      <c r="C490" t="s">
        <v>589</v>
      </c>
      <c r="D490">
        <v>10</v>
      </c>
      <c r="E490">
        <v>8.99</v>
      </c>
      <c r="F490">
        <v>9.61</v>
      </c>
      <c r="G490">
        <v>13.08</v>
      </c>
      <c r="H490">
        <v>12.37</v>
      </c>
      <c r="I490">
        <v>12.38</v>
      </c>
      <c r="J490">
        <v>3.06</v>
      </c>
      <c r="K490">
        <v>4.04</v>
      </c>
      <c r="L490">
        <v>3.41</v>
      </c>
      <c r="M490">
        <v>73.69</v>
      </c>
      <c r="N490">
        <v>47.53</v>
      </c>
      <c r="O490">
        <v>60.61</v>
      </c>
      <c r="P490">
        <v>67.98</v>
      </c>
      <c r="Q490">
        <v>71.930000000000007</v>
      </c>
      <c r="R490">
        <v>69.91</v>
      </c>
      <c r="S490">
        <v>25</v>
      </c>
      <c r="T490">
        <v>36.92</v>
      </c>
      <c r="U490">
        <v>72.16</v>
      </c>
      <c r="V490">
        <v>60.82</v>
      </c>
      <c r="W490">
        <v>66.72</v>
      </c>
      <c r="X490">
        <v>74.87</v>
      </c>
      <c r="Y490">
        <v>0.36199999999999999</v>
      </c>
    </row>
    <row r="491" spans="1:25" x14ac:dyDescent="0.35">
      <c r="A491" t="s">
        <v>526</v>
      </c>
      <c r="B491" t="s">
        <v>521</v>
      </c>
      <c r="C491" t="s">
        <v>589</v>
      </c>
      <c r="D491">
        <v>9.07</v>
      </c>
      <c r="E491">
        <v>8.01</v>
      </c>
      <c r="F491">
        <v>8.58</v>
      </c>
      <c r="G491">
        <v>12.72</v>
      </c>
      <c r="H491">
        <v>12.51</v>
      </c>
      <c r="I491">
        <v>12.52</v>
      </c>
      <c r="J491">
        <v>3.46</v>
      </c>
      <c r="K491">
        <v>2.0699999999999998</v>
      </c>
      <c r="L491">
        <v>2.91</v>
      </c>
      <c r="M491">
        <v>89.21</v>
      </c>
      <c r="N491">
        <v>67.150000000000006</v>
      </c>
      <c r="O491">
        <v>78.180000000000007</v>
      </c>
      <c r="P491">
        <v>68.03</v>
      </c>
      <c r="Q491">
        <v>71.97</v>
      </c>
      <c r="R491">
        <v>69.95</v>
      </c>
      <c r="S491">
        <v>15</v>
      </c>
      <c r="T491">
        <v>35.26</v>
      </c>
      <c r="U491">
        <v>73.459999999999994</v>
      </c>
      <c r="V491">
        <v>64.739999999999995</v>
      </c>
      <c r="W491">
        <v>68.680000000000007</v>
      </c>
      <c r="X491">
        <v>68.98</v>
      </c>
      <c r="Y491">
        <v>0.498</v>
      </c>
    </row>
    <row r="492" spans="1:25" x14ac:dyDescent="0.35">
      <c r="A492" t="s">
        <v>527</v>
      </c>
      <c r="B492" t="s">
        <v>521</v>
      </c>
      <c r="C492" t="s">
        <v>589</v>
      </c>
      <c r="D492">
        <v>9.93</v>
      </c>
      <c r="E492">
        <v>8.73</v>
      </c>
      <c r="F492">
        <v>9.42</v>
      </c>
      <c r="G492">
        <v>13.03</v>
      </c>
      <c r="H492">
        <v>12.85</v>
      </c>
      <c r="I492">
        <v>12.85</v>
      </c>
      <c r="J492">
        <v>2.97</v>
      </c>
      <c r="K492">
        <v>3.54</v>
      </c>
      <c r="L492">
        <v>3.21</v>
      </c>
      <c r="M492">
        <v>85.34</v>
      </c>
      <c r="N492">
        <v>71.19</v>
      </c>
      <c r="O492">
        <v>78.265000000000001</v>
      </c>
      <c r="P492">
        <v>67.790000000000006</v>
      </c>
      <c r="Q492">
        <v>71.739999999999995</v>
      </c>
      <c r="R492">
        <v>69.72</v>
      </c>
      <c r="S492">
        <v>5</v>
      </c>
      <c r="T492">
        <v>35.29</v>
      </c>
      <c r="U492">
        <v>72.73</v>
      </c>
      <c r="V492">
        <v>52.57</v>
      </c>
      <c r="W492">
        <v>66.92</v>
      </c>
      <c r="X492">
        <v>53.34</v>
      </c>
      <c r="Y492">
        <v>0.61899999999999999</v>
      </c>
    </row>
    <row r="493" spans="1:25" x14ac:dyDescent="0.35">
      <c r="A493" t="s">
        <v>528</v>
      </c>
      <c r="B493" t="s">
        <v>521</v>
      </c>
      <c r="C493" t="s">
        <v>589</v>
      </c>
      <c r="D493">
        <v>9.6999999999999993</v>
      </c>
      <c r="E493">
        <v>8.36</v>
      </c>
      <c r="F493">
        <v>9.2100000000000009</v>
      </c>
      <c r="G493">
        <v>13.82</v>
      </c>
      <c r="H493">
        <v>12.95</v>
      </c>
      <c r="I493">
        <v>13.2</v>
      </c>
      <c r="J493">
        <v>6.5</v>
      </c>
      <c r="K493">
        <v>4.3</v>
      </c>
      <c r="L493">
        <v>5.6</v>
      </c>
      <c r="M493">
        <v>74.61</v>
      </c>
      <c r="N493">
        <v>56.34</v>
      </c>
      <c r="O493">
        <v>65.474999999999994</v>
      </c>
      <c r="P493">
        <v>67.69</v>
      </c>
      <c r="Q493">
        <v>71.64</v>
      </c>
      <c r="R493">
        <v>69.62</v>
      </c>
      <c r="S493">
        <v>0</v>
      </c>
      <c r="T493">
        <v>32.43</v>
      </c>
      <c r="U493">
        <v>70.92</v>
      </c>
      <c r="V493">
        <v>55.92</v>
      </c>
      <c r="W493">
        <v>65.150000000000006</v>
      </c>
      <c r="X493">
        <v>48.49</v>
      </c>
      <c r="Y493">
        <v>0.83</v>
      </c>
    </row>
    <row r="494" spans="1:25" x14ac:dyDescent="0.35">
      <c r="A494" t="s">
        <v>529</v>
      </c>
      <c r="B494" t="s">
        <v>521</v>
      </c>
      <c r="C494" t="s">
        <v>589</v>
      </c>
      <c r="D494">
        <v>6.78</v>
      </c>
      <c r="E494">
        <v>5.09</v>
      </c>
      <c r="F494">
        <v>6.49</v>
      </c>
      <c r="G494">
        <v>12.25</v>
      </c>
      <c r="H494">
        <v>11.91</v>
      </c>
      <c r="I494">
        <v>12.04</v>
      </c>
      <c r="J494">
        <v>1.51</v>
      </c>
      <c r="K494">
        <v>0</v>
      </c>
      <c r="L494">
        <v>1.05</v>
      </c>
      <c r="M494">
        <v>73.03</v>
      </c>
      <c r="N494">
        <v>35.33</v>
      </c>
      <c r="O494">
        <v>54.18</v>
      </c>
      <c r="P494">
        <v>67.010000000000005</v>
      </c>
      <c r="Q494">
        <v>70.98</v>
      </c>
      <c r="R494">
        <v>68.95</v>
      </c>
      <c r="S494">
        <v>10</v>
      </c>
      <c r="T494">
        <v>40.1</v>
      </c>
      <c r="U494">
        <v>59.99</v>
      </c>
      <c r="V494">
        <v>50.11</v>
      </c>
      <c r="W494">
        <v>55</v>
      </c>
      <c r="X494">
        <v>54.73</v>
      </c>
      <c r="Y494">
        <v>0.63600000000000001</v>
      </c>
    </row>
    <row r="495" spans="1:25" x14ac:dyDescent="0.35">
      <c r="A495" t="s">
        <v>530</v>
      </c>
      <c r="B495" t="s">
        <v>521</v>
      </c>
      <c r="C495" t="s">
        <v>589</v>
      </c>
      <c r="D495">
        <v>12.39</v>
      </c>
      <c r="E495">
        <v>11.9</v>
      </c>
      <c r="F495">
        <v>12.07</v>
      </c>
      <c r="G495">
        <v>15.53</v>
      </c>
      <c r="H495">
        <v>15.13</v>
      </c>
      <c r="I495">
        <v>15.27</v>
      </c>
      <c r="J495">
        <v>6.71</v>
      </c>
      <c r="K495">
        <v>10.88</v>
      </c>
      <c r="L495">
        <v>8.2899999999999991</v>
      </c>
      <c r="M495">
        <v>78.569999999999993</v>
      </c>
      <c r="N495">
        <v>55.29</v>
      </c>
      <c r="O495">
        <v>66.929999999999993</v>
      </c>
      <c r="P495">
        <v>70.040000000000006</v>
      </c>
      <c r="Q495">
        <v>74.040000000000006</v>
      </c>
      <c r="R495">
        <v>71.989999999999995</v>
      </c>
      <c r="S495">
        <v>22.86</v>
      </c>
      <c r="T495">
        <v>35.119999999999997</v>
      </c>
      <c r="U495">
        <v>84.51</v>
      </c>
      <c r="V495">
        <v>80.05</v>
      </c>
      <c r="W495">
        <v>81.67</v>
      </c>
      <c r="X495">
        <v>78.290000000000006</v>
      </c>
      <c r="Y495">
        <v>0.35</v>
      </c>
    </row>
    <row r="496" spans="1:25" x14ac:dyDescent="0.35">
      <c r="A496" t="s">
        <v>532</v>
      </c>
      <c r="B496" t="s">
        <v>531</v>
      </c>
      <c r="C496" t="s">
        <v>589</v>
      </c>
      <c r="D496">
        <v>9.52</v>
      </c>
      <c r="E496">
        <v>9.11</v>
      </c>
      <c r="F496">
        <v>9.3699999999999992</v>
      </c>
      <c r="G496">
        <v>14.5</v>
      </c>
      <c r="H496">
        <v>14.48</v>
      </c>
      <c r="I496">
        <v>14.48</v>
      </c>
      <c r="J496">
        <v>4.68</v>
      </c>
      <c r="K496">
        <v>5.67</v>
      </c>
      <c r="L496">
        <v>5.07</v>
      </c>
      <c r="M496">
        <v>84.72</v>
      </c>
      <c r="N496">
        <v>61.17</v>
      </c>
      <c r="O496">
        <v>72.944999999999993</v>
      </c>
      <c r="P496">
        <v>69.48</v>
      </c>
      <c r="Q496">
        <v>73.45</v>
      </c>
      <c r="R496">
        <v>71.41</v>
      </c>
      <c r="S496">
        <v>11.43</v>
      </c>
      <c r="T496">
        <v>37.340000000000003</v>
      </c>
      <c r="U496">
        <v>77.45</v>
      </c>
      <c r="V496">
        <v>69.569999999999993</v>
      </c>
      <c r="W496">
        <v>72.73</v>
      </c>
      <c r="X496">
        <v>64</v>
      </c>
      <c r="Y496">
        <v>0.41199999999999998</v>
      </c>
    </row>
    <row r="497" spans="1:25" x14ac:dyDescent="0.35">
      <c r="A497" t="s">
        <v>533</v>
      </c>
      <c r="B497" t="s">
        <v>531</v>
      </c>
      <c r="C497" t="s">
        <v>589</v>
      </c>
      <c r="D497">
        <v>9.76</v>
      </c>
      <c r="E497">
        <v>8.8699999999999992</v>
      </c>
      <c r="F497">
        <v>9.42</v>
      </c>
      <c r="G497">
        <v>11.95</v>
      </c>
      <c r="H497">
        <v>11.6</v>
      </c>
      <c r="I497">
        <v>11.67</v>
      </c>
      <c r="J497">
        <v>2.97</v>
      </c>
      <c r="K497">
        <v>3.71</v>
      </c>
      <c r="L497">
        <v>3.26</v>
      </c>
      <c r="M497">
        <v>80.89</v>
      </c>
      <c r="N497">
        <v>61.59</v>
      </c>
      <c r="O497">
        <v>71.240000000000009</v>
      </c>
      <c r="P497">
        <v>67.239999999999995</v>
      </c>
      <c r="Q497">
        <v>71.2</v>
      </c>
      <c r="R497">
        <v>69.17</v>
      </c>
      <c r="S497">
        <v>20</v>
      </c>
      <c r="T497">
        <v>34.89</v>
      </c>
      <c r="U497">
        <v>69.17</v>
      </c>
      <c r="V497">
        <v>55.88</v>
      </c>
      <c r="W497">
        <v>64.260000000000005</v>
      </c>
      <c r="X497">
        <v>72.790000000000006</v>
      </c>
      <c r="Y497">
        <v>0.55400000000000005</v>
      </c>
    </row>
    <row r="498" spans="1:25" x14ac:dyDescent="0.35">
      <c r="A498" t="s">
        <v>534</v>
      </c>
      <c r="B498" t="s">
        <v>531</v>
      </c>
      <c r="C498" t="s">
        <v>589</v>
      </c>
      <c r="D498">
        <v>7.9</v>
      </c>
      <c r="E498">
        <v>6.45</v>
      </c>
      <c r="F498">
        <v>7.16</v>
      </c>
      <c r="G498">
        <v>11.1</v>
      </c>
      <c r="H498">
        <v>11.9</v>
      </c>
      <c r="I498">
        <v>11.29</v>
      </c>
      <c r="J498">
        <v>3.38</v>
      </c>
      <c r="K498">
        <v>5.4</v>
      </c>
      <c r="L498">
        <v>4.0999999999999996</v>
      </c>
      <c r="M498">
        <v>75.569999999999993</v>
      </c>
      <c r="N498">
        <v>45.54</v>
      </c>
      <c r="O498">
        <v>60.554999999999993</v>
      </c>
      <c r="P498">
        <v>64.430000000000007</v>
      </c>
      <c r="Q498">
        <v>68.34</v>
      </c>
      <c r="R498">
        <v>66.34</v>
      </c>
      <c r="S498">
        <v>5</v>
      </c>
      <c r="T498">
        <v>42.27</v>
      </c>
      <c r="U498">
        <v>66.77</v>
      </c>
      <c r="V498">
        <v>57.36</v>
      </c>
      <c r="W498">
        <v>61.51</v>
      </c>
      <c r="X498">
        <v>54.89</v>
      </c>
      <c r="Y498">
        <v>0.61599999999999999</v>
      </c>
    </row>
    <row r="499" spans="1:25" x14ac:dyDescent="0.35">
      <c r="A499" t="s">
        <v>535</v>
      </c>
      <c r="B499" t="s">
        <v>531</v>
      </c>
      <c r="C499" t="s">
        <v>589</v>
      </c>
      <c r="D499">
        <v>6.81</v>
      </c>
      <c r="E499">
        <v>5.0999999999999996</v>
      </c>
      <c r="F499">
        <v>5.82</v>
      </c>
      <c r="G499">
        <v>9.9</v>
      </c>
      <c r="H499">
        <v>9.58</v>
      </c>
      <c r="I499">
        <v>9.7100000000000009</v>
      </c>
      <c r="J499">
        <v>1.1499999999999999</v>
      </c>
      <c r="K499">
        <v>3.26</v>
      </c>
      <c r="L499">
        <v>2.0499999999999998</v>
      </c>
      <c r="M499">
        <v>84.78</v>
      </c>
      <c r="N499">
        <v>70.14</v>
      </c>
      <c r="O499">
        <v>77.460000000000008</v>
      </c>
      <c r="P499">
        <v>66.11</v>
      </c>
      <c r="Q499">
        <v>70.09</v>
      </c>
      <c r="R499">
        <v>68.05</v>
      </c>
      <c r="S499">
        <v>8</v>
      </c>
      <c r="T499">
        <v>41.88</v>
      </c>
      <c r="U499">
        <v>60.32</v>
      </c>
      <c r="V499">
        <v>35.01</v>
      </c>
      <c r="W499">
        <v>53.92</v>
      </c>
      <c r="X499">
        <v>57.73</v>
      </c>
      <c r="Y499">
        <v>0.501</v>
      </c>
    </row>
    <row r="500" spans="1:25" x14ac:dyDescent="0.35">
      <c r="A500" t="s">
        <v>537</v>
      </c>
      <c r="B500" t="s">
        <v>536</v>
      </c>
      <c r="C500" t="s">
        <v>589</v>
      </c>
      <c r="D500">
        <v>10.81</v>
      </c>
      <c r="E500">
        <v>10.44</v>
      </c>
      <c r="F500">
        <v>10.72</v>
      </c>
      <c r="G500">
        <v>13.12</v>
      </c>
      <c r="H500">
        <v>13.35</v>
      </c>
      <c r="I500">
        <v>13.16</v>
      </c>
      <c r="J500">
        <v>5.25</v>
      </c>
      <c r="K500">
        <v>10.02</v>
      </c>
      <c r="L500">
        <v>6.7</v>
      </c>
      <c r="M500">
        <v>85.54</v>
      </c>
      <c r="N500">
        <v>47.38</v>
      </c>
      <c r="O500">
        <v>66.460000000000008</v>
      </c>
      <c r="P500">
        <v>71.040000000000006</v>
      </c>
      <c r="Q500">
        <v>75.180000000000007</v>
      </c>
      <c r="R500">
        <v>73.06</v>
      </c>
      <c r="S500">
        <v>30.43</v>
      </c>
      <c r="T500">
        <v>24.39</v>
      </c>
      <c r="U500">
        <v>82.06</v>
      </c>
      <c r="V500">
        <v>64.319999999999993</v>
      </c>
      <c r="W500">
        <v>76.849999999999994</v>
      </c>
      <c r="X500">
        <v>78.040000000000006</v>
      </c>
      <c r="Y500">
        <v>0.39200000000000002</v>
      </c>
    </row>
    <row r="501" spans="1:25" x14ac:dyDescent="0.35">
      <c r="A501" t="s">
        <v>538</v>
      </c>
      <c r="B501" t="s">
        <v>536</v>
      </c>
      <c r="C501" t="s">
        <v>589</v>
      </c>
      <c r="D501">
        <v>5.46</v>
      </c>
      <c r="E501">
        <v>4.1399999999999997</v>
      </c>
      <c r="F501">
        <v>4.9800000000000004</v>
      </c>
      <c r="G501">
        <v>10.52</v>
      </c>
      <c r="H501">
        <v>10.9</v>
      </c>
      <c r="I501">
        <v>10.63</v>
      </c>
      <c r="J501">
        <v>4.71</v>
      </c>
      <c r="K501">
        <v>1.71</v>
      </c>
      <c r="L501">
        <v>3.27</v>
      </c>
      <c r="M501">
        <v>93.58</v>
      </c>
      <c r="N501">
        <v>92.75</v>
      </c>
      <c r="O501">
        <v>93.164999999999992</v>
      </c>
      <c r="P501">
        <v>64.680000000000007</v>
      </c>
      <c r="Q501">
        <v>68.599999999999994</v>
      </c>
      <c r="R501">
        <v>66.59</v>
      </c>
      <c r="S501">
        <v>0</v>
      </c>
      <c r="T501">
        <v>41.46</v>
      </c>
      <c r="U501">
        <v>62.11</v>
      </c>
      <c r="V501">
        <v>51.05</v>
      </c>
      <c r="W501">
        <v>57.68</v>
      </c>
      <c r="X501">
        <v>52.97</v>
      </c>
      <c r="Y501">
        <v>0.85299999999999998</v>
      </c>
    </row>
    <row r="502" spans="1:25" x14ac:dyDescent="0.35">
      <c r="A502" t="s">
        <v>539</v>
      </c>
      <c r="B502" t="s">
        <v>536</v>
      </c>
      <c r="C502" t="s">
        <v>589</v>
      </c>
      <c r="D502">
        <v>4.41</v>
      </c>
      <c r="E502">
        <v>1.85</v>
      </c>
      <c r="F502">
        <v>3.29</v>
      </c>
      <c r="G502">
        <v>10.84</v>
      </c>
      <c r="H502">
        <v>9.5500000000000007</v>
      </c>
      <c r="I502">
        <v>9.86</v>
      </c>
      <c r="J502">
        <v>1.82</v>
      </c>
      <c r="K502">
        <v>1.34</v>
      </c>
      <c r="L502">
        <v>1.66</v>
      </c>
      <c r="M502">
        <v>72.41</v>
      </c>
      <c r="N502">
        <v>41.31</v>
      </c>
      <c r="O502">
        <v>56.86</v>
      </c>
      <c r="P502">
        <v>64.739999999999995</v>
      </c>
      <c r="Q502">
        <v>68.66</v>
      </c>
      <c r="R502">
        <v>66.66</v>
      </c>
      <c r="S502">
        <v>0</v>
      </c>
      <c r="T502">
        <v>56.73</v>
      </c>
      <c r="U502">
        <v>58.29</v>
      </c>
      <c r="V502">
        <v>42</v>
      </c>
      <c r="W502">
        <v>52.07</v>
      </c>
      <c r="X502">
        <v>22.91</v>
      </c>
      <c r="Y502">
        <v>0.85299999999999998</v>
      </c>
    </row>
    <row r="503" spans="1:25" x14ac:dyDescent="0.35">
      <c r="A503" t="s">
        <v>540</v>
      </c>
      <c r="B503" t="s">
        <v>536</v>
      </c>
      <c r="C503" t="s">
        <v>589</v>
      </c>
      <c r="D503">
        <v>10.65</v>
      </c>
      <c r="E503">
        <v>9.99</v>
      </c>
      <c r="F503">
        <v>10.42</v>
      </c>
      <c r="G503">
        <v>12.87</v>
      </c>
      <c r="H503">
        <v>12.81</v>
      </c>
      <c r="I503">
        <v>12.82</v>
      </c>
      <c r="J503">
        <v>3.88</v>
      </c>
      <c r="K503">
        <v>4.45</v>
      </c>
      <c r="L503">
        <v>4.0999999999999996</v>
      </c>
      <c r="M503">
        <v>83.59</v>
      </c>
      <c r="N503">
        <v>57.71</v>
      </c>
      <c r="O503">
        <v>70.650000000000006</v>
      </c>
      <c r="P503">
        <v>68.14</v>
      </c>
      <c r="Q503">
        <v>72.08</v>
      </c>
      <c r="R503">
        <v>70.06</v>
      </c>
      <c r="S503">
        <v>16.670000000000002</v>
      </c>
      <c r="T503">
        <v>34.76</v>
      </c>
      <c r="U503">
        <v>76.8</v>
      </c>
      <c r="V503">
        <v>70.260000000000005</v>
      </c>
      <c r="W503">
        <v>71.77</v>
      </c>
      <c r="X503">
        <v>70.760000000000005</v>
      </c>
      <c r="Y503">
        <v>0.48199999999999998</v>
      </c>
    </row>
    <row r="504" spans="1:25" x14ac:dyDescent="0.35">
      <c r="A504" t="s">
        <v>541</v>
      </c>
      <c r="B504" t="s">
        <v>536</v>
      </c>
      <c r="C504" t="s">
        <v>589</v>
      </c>
      <c r="D504">
        <v>5.09</v>
      </c>
      <c r="E504">
        <v>3.48</v>
      </c>
      <c r="F504">
        <v>4.8099999999999996</v>
      </c>
      <c r="G504">
        <v>11.06</v>
      </c>
      <c r="H504">
        <v>10.18</v>
      </c>
      <c r="I504">
        <v>10.54</v>
      </c>
      <c r="J504">
        <v>2.4</v>
      </c>
      <c r="K504">
        <v>0.89</v>
      </c>
      <c r="L504">
        <v>1.92</v>
      </c>
      <c r="M504">
        <v>86.8</v>
      </c>
      <c r="N504">
        <v>48.63</v>
      </c>
      <c r="O504">
        <v>67.715000000000003</v>
      </c>
      <c r="P504">
        <v>67.709999999999994</v>
      </c>
      <c r="Q504">
        <v>71.66</v>
      </c>
      <c r="R504">
        <v>69.64</v>
      </c>
      <c r="S504">
        <v>0</v>
      </c>
      <c r="T504">
        <v>47.87</v>
      </c>
      <c r="U504">
        <v>64.11</v>
      </c>
      <c r="V504">
        <v>45.11</v>
      </c>
      <c r="W504">
        <v>58.69</v>
      </c>
      <c r="X504">
        <v>23.59</v>
      </c>
      <c r="Y504">
        <v>0.85899999999999999</v>
      </c>
    </row>
    <row r="505" spans="1:25" x14ac:dyDescent="0.35">
      <c r="A505" t="s">
        <v>542</v>
      </c>
      <c r="B505" t="s">
        <v>536</v>
      </c>
      <c r="C505" t="s">
        <v>589</v>
      </c>
      <c r="D505">
        <v>4.78</v>
      </c>
      <c r="E505">
        <v>2.0699999999999998</v>
      </c>
      <c r="F505">
        <v>3.28</v>
      </c>
      <c r="G505">
        <v>8.49</v>
      </c>
      <c r="H505">
        <v>7.02</v>
      </c>
      <c r="I505">
        <v>7.7</v>
      </c>
      <c r="J505">
        <v>1.87</v>
      </c>
      <c r="K505">
        <v>3.25</v>
      </c>
      <c r="L505">
        <v>2.4</v>
      </c>
      <c r="M505">
        <v>79.010000000000005</v>
      </c>
      <c r="N505">
        <v>55.03</v>
      </c>
      <c r="O505">
        <v>67.02000000000001</v>
      </c>
      <c r="P505">
        <v>64.819999999999993</v>
      </c>
      <c r="Q505">
        <v>68.75</v>
      </c>
      <c r="R505">
        <v>66.739999999999995</v>
      </c>
      <c r="S505">
        <v>0</v>
      </c>
      <c r="T505">
        <v>65.09</v>
      </c>
      <c r="U505">
        <v>57.65</v>
      </c>
      <c r="V505">
        <v>42.47</v>
      </c>
      <c r="W505">
        <v>50.71</v>
      </c>
      <c r="X505">
        <v>46.7</v>
      </c>
      <c r="Y505">
        <v>0.86499999999999999</v>
      </c>
    </row>
    <row r="506" spans="1:25" x14ac:dyDescent="0.35">
      <c r="A506" t="s">
        <v>543</v>
      </c>
      <c r="B506" t="s">
        <v>536</v>
      </c>
      <c r="C506" t="s">
        <v>589</v>
      </c>
      <c r="D506">
        <v>2.78</v>
      </c>
      <c r="E506">
        <v>1.65</v>
      </c>
      <c r="F506">
        <v>2.39</v>
      </c>
      <c r="G506">
        <v>5.9</v>
      </c>
      <c r="H506">
        <v>5.43</v>
      </c>
      <c r="I506">
        <v>5.6</v>
      </c>
      <c r="J506">
        <v>0</v>
      </c>
      <c r="K506">
        <v>0</v>
      </c>
      <c r="L506">
        <v>0</v>
      </c>
      <c r="M506">
        <v>88.62</v>
      </c>
      <c r="N506">
        <v>83.77</v>
      </c>
      <c r="O506">
        <v>86.194999999999993</v>
      </c>
      <c r="P506">
        <v>64.91</v>
      </c>
      <c r="Q506">
        <v>68.84</v>
      </c>
      <c r="R506">
        <v>66.819999999999993</v>
      </c>
      <c r="S506">
        <v>12.5</v>
      </c>
      <c r="T506">
        <v>30.98</v>
      </c>
      <c r="U506">
        <v>47.53</v>
      </c>
      <c r="V506">
        <v>41.34</v>
      </c>
      <c r="W506">
        <v>45.6</v>
      </c>
      <c r="X506">
        <v>52.65</v>
      </c>
      <c r="Y506">
        <v>0.61399999999999999</v>
      </c>
    </row>
    <row r="507" spans="1:25" x14ac:dyDescent="0.35">
      <c r="A507" t="s">
        <v>544</v>
      </c>
      <c r="B507" t="s">
        <v>536</v>
      </c>
      <c r="C507" t="s">
        <v>589</v>
      </c>
      <c r="D507">
        <v>5.6</v>
      </c>
      <c r="E507">
        <v>4.24</v>
      </c>
      <c r="F507">
        <v>4.42</v>
      </c>
      <c r="G507">
        <v>7.68</v>
      </c>
      <c r="H507">
        <v>7.52</v>
      </c>
      <c r="I507">
        <v>7.53</v>
      </c>
      <c r="J507">
        <v>0.3</v>
      </c>
      <c r="K507">
        <v>0.62</v>
      </c>
      <c r="L507">
        <v>0.43</v>
      </c>
      <c r="M507">
        <v>86.32</v>
      </c>
      <c r="N507">
        <v>63.37</v>
      </c>
      <c r="O507">
        <v>74.844999999999999</v>
      </c>
      <c r="P507">
        <v>65.97</v>
      </c>
      <c r="Q507">
        <v>69.95</v>
      </c>
      <c r="R507">
        <v>67.91</v>
      </c>
      <c r="S507">
        <v>6.67</v>
      </c>
      <c r="T507">
        <v>44.68</v>
      </c>
      <c r="U507">
        <v>57.94</v>
      </c>
      <c r="V507">
        <v>40.35</v>
      </c>
      <c r="W507">
        <v>51.78</v>
      </c>
      <c r="X507">
        <v>62.47</v>
      </c>
      <c r="Y507">
        <v>0.56000000000000005</v>
      </c>
    </row>
    <row r="508" spans="1:25" x14ac:dyDescent="0.35">
      <c r="A508" t="s">
        <v>546</v>
      </c>
      <c r="B508" t="s">
        <v>545</v>
      </c>
      <c r="C508" t="s">
        <v>589</v>
      </c>
      <c r="D508">
        <v>2.7</v>
      </c>
      <c r="E508">
        <v>1.91</v>
      </c>
      <c r="F508">
        <v>1.92</v>
      </c>
      <c r="G508">
        <v>5.37</v>
      </c>
      <c r="H508">
        <v>4.1500000000000004</v>
      </c>
      <c r="I508">
        <v>4.45</v>
      </c>
      <c r="J508">
        <v>0.14000000000000001</v>
      </c>
      <c r="K508">
        <v>0</v>
      </c>
      <c r="L508">
        <v>7.0000000000000007E-2</v>
      </c>
      <c r="M508">
        <v>94.58</v>
      </c>
      <c r="N508">
        <v>95.08</v>
      </c>
      <c r="O508">
        <v>94.83</v>
      </c>
      <c r="P508">
        <v>62.13</v>
      </c>
      <c r="Q508">
        <v>65.849999999999994</v>
      </c>
      <c r="R508">
        <v>63.9</v>
      </c>
      <c r="S508">
        <v>4</v>
      </c>
      <c r="T508">
        <v>44.24</v>
      </c>
      <c r="U508">
        <v>39.72</v>
      </c>
      <c r="V508">
        <v>36.08</v>
      </c>
      <c r="W508">
        <v>36.299999999999997</v>
      </c>
      <c r="X508">
        <v>50.08</v>
      </c>
      <c r="Y508">
        <v>0.625</v>
      </c>
    </row>
    <row r="509" spans="1:25" x14ac:dyDescent="0.35">
      <c r="A509" t="s">
        <v>547</v>
      </c>
      <c r="B509" t="s">
        <v>545</v>
      </c>
      <c r="C509" t="s">
        <v>589</v>
      </c>
      <c r="D509">
        <v>7.16</v>
      </c>
      <c r="E509">
        <v>5.33</v>
      </c>
      <c r="F509">
        <v>5.99</v>
      </c>
      <c r="G509">
        <v>13.43</v>
      </c>
      <c r="H509">
        <v>11.93</v>
      </c>
      <c r="I509">
        <v>12.85</v>
      </c>
      <c r="J509">
        <v>3.05</v>
      </c>
      <c r="K509">
        <v>2.39</v>
      </c>
      <c r="L509">
        <v>2.74</v>
      </c>
      <c r="M509">
        <v>88.02</v>
      </c>
      <c r="N509">
        <v>83.77</v>
      </c>
      <c r="O509">
        <v>85.894999999999996</v>
      </c>
      <c r="P509">
        <v>68.05</v>
      </c>
      <c r="Q509">
        <v>72</v>
      </c>
      <c r="R509">
        <v>69.98</v>
      </c>
      <c r="S509">
        <v>10</v>
      </c>
      <c r="T509">
        <v>48.13</v>
      </c>
      <c r="U509">
        <v>64.489999999999995</v>
      </c>
      <c r="V509">
        <v>55.51</v>
      </c>
      <c r="W509">
        <v>61.03</v>
      </c>
      <c r="X509">
        <v>64.14</v>
      </c>
      <c r="Y509">
        <v>0.49099999999999999</v>
      </c>
    </row>
    <row r="510" spans="1:25" x14ac:dyDescent="0.35">
      <c r="A510" t="s">
        <v>548</v>
      </c>
      <c r="B510" t="s">
        <v>545</v>
      </c>
      <c r="C510" t="s">
        <v>589</v>
      </c>
      <c r="D510">
        <v>4.97</v>
      </c>
      <c r="E510">
        <v>2.5</v>
      </c>
      <c r="F510">
        <v>3.83</v>
      </c>
      <c r="G510">
        <v>10.27</v>
      </c>
      <c r="H510">
        <v>9.44</v>
      </c>
      <c r="I510">
        <v>9.44</v>
      </c>
      <c r="J510">
        <v>0.38</v>
      </c>
      <c r="K510">
        <v>0.11</v>
      </c>
      <c r="L510">
        <v>0.25</v>
      </c>
      <c r="M510">
        <v>93.69</v>
      </c>
      <c r="N510">
        <v>93.41</v>
      </c>
      <c r="O510">
        <v>93.55</v>
      </c>
      <c r="P510">
        <v>65.36</v>
      </c>
      <c r="Q510">
        <v>69.31</v>
      </c>
      <c r="R510">
        <v>67.290000000000006</v>
      </c>
      <c r="S510">
        <v>16</v>
      </c>
      <c r="T510">
        <v>42.66</v>
      </c>
      <c r="U510">
        <v>54.38</v>
      </c>
      <c r="V510">
        <v>51.34</v>
      </c>
      <c r="W510">
        <v>51.59</v>
      </c>
      <c r="X510">
        <v>50.31</v>
      </c>
      <c r="Y510">
        <v>0.55800000000000005</v>
      </c>
    </row>
    <row r="511" spans="1:25" x14ac:dyDescent="0.35">
      <c r="A511" t="s">
        <v>549</v>
      </c>
      <c r="B511" t="s">
        <v>545</v>
      </c>
      <c r="C511" t="s">
        <v>589</v>
      </c>
      <c r="D511">
        <v>4.8600000000000003</v>
      </c>
      <c r="E511">
        <v>2.35</v>
      </c>
      <c r="F511">
        <v>3.69</v>
      </c>
      <c r="G511">
        <v>9.39</v>
      </c>
      <c r="H511">
        <v>8.7899999999999991</v>
      </c>
      <c r="I511">
        <v>9.0299999999999994</v>
      </c>
      <c r="J511">
        <v>0.54</v>
      </c>
      <c r="K511">
        <v>0.44</v>
      </c>
      <c r="L511">
        <v>0.5</v>
      </c>
      <c r="M511">
        <v>91.33</v>
      </c>
      <c r="N511">
        <v>85.85</v>
      </c>
      <c r="O511">
        <v>88.59</v>
      </c>
      <c r="P511">
        <v>65.290000000000006</v>
      </c>
      <c r="Q511">
        <v>69.25</v>
      </c>
      <c r="R511">
        <v>67.22</v>
      </c>
      <c r="S511">
        <v>6.67</v>
      </c>
      <c r="T511">
        <v>44.47</v>
      </c>
      <c r="U511">
        <v>59.71</v>
      </c>
      <c r="V511">
        <v>38.08</v>
      </c>
      <c r="W511">
        <v>52.05</v>
      </c>
      <c r="X511">
        <v>56.07</v>
      </c>
      <c r="Y511">
        <v>0.60599999999999998</v>
      </c>
    </row>
    <row r="512" spans="1:25" x14ac:dyDescent="0.35">
      <c r="A512" t="s">
        <v>550</v>
      </c>
      <c r="B512" t="s">
        <v>545</v>
      </c>
      <c r="C512" t="s">
        <v>589</v>
      </c>
      <c r="D512">
        <v>5.28</v>
      </c>
      <c r="E512">
        <v>2.96</v>
      </c>
      <c r="F512">
        <v>3.7</v>
      </c>
      <c r="G512">
        <v>10.52</v>
      </c>
      <c r="H512">
        <v>9.4499999999999993</v>
      </c>
      <c r="I512">
        <v>9.7799999999999994</v>
      </c>
      <c r="J512">
        <v>0.81</v>
      </c>
      <c r="K512">
        <v>0.23</v>
      </c>
      <c r="L512">
        <v>0.54</v>
      </c>
      <c r="M512">
        <v>91.94</v>
      </c>
      <c r="N512">
        <v>88.97</v>
      </c>
      <c r="O512">
        <v>90.454999999999998</v>
      </c>
      <c r="P512">
        <v>67.05</v>
      </c>
      <c r="Q512">
        <v>71.02</v>
      </c>
      <c r="R512">
        <v>68.989999999999995</v>
      </c>
      <c r="S512">
        <v>15</v>
      </c>
      <c r="T512">
        <v>44.4</v>
      </c>
      <c r="U512">
        <v>54.34</v>
      </c>
      <c r="V512">
        <v>49.02</v>
      </c>
      <c r="W512">
        <v>50.72</v>
      </c>
      <c r="X512">
        <v>53.4</v>
      </c>
      <c r="Y512">
        <v>0.505</v>
      </c>
    </row>
    <row r="513" spans="1:25" x14ac:dyDescent="0.35">
      <c r="A513" t="s">
        <v>551</v>
      </c>
      <c r="B513" t="s">
        <v>545</v>
      </c>
      <c r="C513" t="s">
        <v>589</v>
      </c>
      <c r="D513">
        <v>5.33</v>
      </c>
      <c r="E513">
        <v>3.55</v>
      </c>
      <c r="F513">
        <v>3.55</v>
      </c>
      <c r="G513">
        <v>10.14</v>
      </c>
      <c r="H513">
        <v>9.8000000000000007</v>
      </c>
      <c r="I513">
        <v>9.8000000000000007</v>
      </c>
      <c r="J513">
        <v>0.35</v>
      </c>
      <c r="K513">
        <v>0.52</v>
      </c>
      <c r="L513">
        <v>0.43</v>
      </c>
      <c r="M513">
        <v>83.09</v>
      </c>
      <c r="N513">
        <v>84.36</v>
      </c>
      <c r="O513">
        <v>83.724999999999994</v>
      </c>
      <c r="P513">
        <v>64.22</v>
      </c>
      <c r="Q513">
        <v>68.12</v>
      </c>
      <c r="R513">
        <v>66.12</v>
      </c>
      <c r="S513">
        <v>4</v>
      </c>
      <c r="T513">
        <v>45.96</v>
      </c>
      <c r="U513">
        <v>59.29</v>
      </c>
      <c r="V513">
        <v>51.25</v>
      </c>
      <c r="W513">
        <v>51.85</v>
      </c>
      <c r="X513">
        <v>28.09</v>
      </c>
      <c r="Y513">
        <v>0.60399999999999998</v>
      </c>
    </row>
    <row r="514" spans="1:25" x14ac:dyDescent="0.35">
      <c r="A514" t="s">
        <v>552</v>
      </c>
      <c r="B514" t="s">
        <v>545</v>
      </c>
      <c r="C514" t="s">
        <v>589</v>
      </c>
      <c r="D514">
        <v>5.85</v>
      </c>
      <c r="E514">
        <v>3.28</v>
      </c>
      <c r="F514">
        <v>4.3499999999999996</v>
      </c>
      <c r="G514">
        <v>8.4600000000000009</v>
      </c>
      <c r="H514">
        <v>8.0500000000000007</v>
      </c>
      <c r="I514">
        <v>8.0500000000000007</v>
      </c>
      <c r="J514">
        <v>2.0499999999999998</v>
      </c>
      <c r="K514">
        <v>2.02</v>
      </c>
      <c r="L514">
        <v>2.04</v>
      </c>
      <c r="M514">
        <v>90.21</v>
      </c>
      <c r="N514">
        <v>80.209999999999994</v>
      </c>
      <c r="O514">
        <v>85.21</v>
      </c>
      <c r="P514">
        <v>64.599999999999994</v>
      </c>
      <c r="Q514">
        <v>68.510000000000005</v>
      </c>
      <c r="R514">
        <v>66.510000000000005</v>
      </c>
      <c r="S514">
        <v>2.86</v>
      </c>
      <c r="T514">
        <v>44.04</v>
      </c>
      <c r="U514">
        <v>60.79</v>
      </c>
      <c r="V514">
        <v>46.61</v>
      </c>
      <c r="W514">
        <v>51.98</v>
      </c>
      <c r="X514">
        <v>33.99</v>
      </c>
      <c r="Y514">
        <v>0.66100000000000003</v>
      </c>
    </row>
    <row r="515" spans="1:25" x14ac:dyDescent="0.35">
      <c r="A515" t="s">
        <v>553</v>
      </c>
      <c r="B515" t="s">
        <v>545</v>
      </c>
      <c r="C515" t="s">
        <v>589</v>
      </c>
      <c r="D515">
        <v>5.35</v>
      </c>
      <c r="E515">
        <v>2.85</v>
      </c>
      <c r="F515">
        <v>3.51</v>
      </c>
      <c r="G515">
        <v>6.97</v>
      </c>
      <c r="H515">
        <v>7.31</v>
      </c>
      <c r="I515">
        <v>7.01</v>
      </c>
      <c r="J515">
        <v>2.72</v>
      </c>
      <c r="K515">
        <v>2.13</v>
      </c>
      <c r="L515">
        <v>2.46</v>
      </c>
      <c r="M515">
        <v>89.51</v>
      </c>
      <c r="N515">
        <v>85.1</v>
      </c>
      <c r="O515">
        <v>87.305000000000007</v>
      </c>
      <c r="P515">
        <v>64.2</v>
      </c>
      <c r="Q515">
        <v>68.099999999999994</v>
      </c>
      <c r="R515">
        <v>66.099999999999994</v>
      </c>
      <c r="S515">
        <v>4</v>
      </c>
      <c r="T515">
        <v>45.7</v>
      </c>
      <c r="U515">
        <v>55.97</v>
      </c>
      <c r="V515">
        <v>46.45</v>
      </c>
      <c r="W515">
        <v>49.36</v>
      </c>
      <c r="X515">
        <v>52.67</v>
      </c>
      <c r="Y515">
        <v>0.66800000000000004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FA81A-3AC1-454A-9A84-3C5761A5DF99}">
  <dimension ref="A1:B515"/>
  <sheetViews>
    <sheetView workbookViewId="0">
      <selection activeCell="B5" sqref="B5"/>
    </sheetView>
  </sheetViews>
  <sheetFormatPr defaultRowHeight="14.5" x14ac:dyDescent="0.35"/>
  <cols>
    <col min="1" max="1" width="14.90625" customWidth="1"/>
    <col min="2" max="2" width="20" bestFit="1" customWidth="1"/>
  </cols>
  <sheetData>
    <row r="1" spans="1:2" x14ac:dyDescent="0.35">
      <c r="A1" t="s">
        <v>1</v>
      </c>
      <c r="B1" t="s">
        <v>0</v>
      </c>
    </row>
    <row r="2" spans="1:2" x14ac:dyDescent="0.35">
      <c r="A2" t="s">
        <v>25</v>
      </c>
      <c r="B2" t="s">
        <v>2</v>
      </c>
    </row>
    <row r="3" spans="1:2" x14ac:dyDescent="0.35">
      <c r="A3" t="s">
        <v>25</v>
      </c>
      <c r="B3" t="s">
        <v>3</v>
      </c>
    </row>
    <row r="4" spans="1:2" x14ac:dyDescent="0.35">
      <c r="A4" t="s">
        <v>25</v>
      </c>
      <c r="B4" t="s">
        <v>4</v>
      </c>
    </row>
    <row r="5" spans="1:2" x14ac:dyDescent="0.35">
      <c r="A5" t="s">
        <v>25</v>
      </c>
      <c r="B5" t="s">
        <v>5</v>
      </c>
    </row>
    <row r="6" spans="1:2" x14ac:dyDescent="0.35">
      <c r="A6" t="s">
        <v>25</v>
      </c>
      <c r="B6" t="s">
        <v>6</v>
      </c>
    </row>
    <row r="7" spans="1:2" x14ac:dyDescent="0.35">
      <c r="A7" t="s">
        <v>25</v>
      </c>
      <c r="B7" t="s">
        <v>7</v>
      </c>
    </row>
    <row r="8" spans="1:2" x14ac:dyDescent="0.35">
      <c r="A8" t="s">
        <v>25</v>
      </c>
      <c r="B8" t="s">
        <v>8</v>
      </c>
    </row>
    <row r="9" spans="1:2" x14ac:dyDescent="0.35">
      <c r="A9" t="s">
        <v>25</v>
      </c>
      <c r="B9" t="s">
        <v>9</v>
      </c>
    </row>
    <row r="10" spans="1:2" x14ac:dyDescent="0.35">
      <c r="A10" t="s">
        <v>25</v>
      </c>
      <c r="B10" t="s">
        <v>10</v>
      </c>
    </row>
    <row r="11" spans="1:2" x14ac:dyDescent="0.35">
      <c r="A11" t="s">
        <v>25</v>
      </c>
      <c r="B11" t="s">
        <v>11</v>
      </c>
    </row>
    <row r="12" spans="1:2" x14ac:dyDescent="0.35">
      <c r="A12" t="s">
        <v>25</v>
      </c>
      <c r="B12" t="s">
        <v>12</v>
      </c>
    </row>
    <row r="13" spans="1:2" x14ac:dyDescent="0.35">
      <c r="A13" t="s">
        <v>25</v>
      </c>
      <c r="B13" t="s">
        <v>13</v>
      </c>
    </row>
    <row r="14" spans="1:2" x14ac:dyDescent="0.35">
      <c r="A14" t="s">
        <v>25</v>
      </c>
      <c r="B14" t="s">
        <v>14</v>
      </c>
    </row>
    <row r="15" spans="1:2" x14ac:dyDescent="0.35">
      <c r="A15" t="s">
        <v>25</v>
      </c>
      <c r="B15" t="s">
        <v>15</v>
      </c>
    </row>
    <row r="16" spans="1:2" x14ac:dyDescent="0.35">
      <c r="A16" t="s">
        <v>25</v>
      </c>
      <c r="B16" t="s">
        <v>16</v>
      </c>
    </row>
    <row r="17" spans="1:2" x14ac:dyDescent="0.35">
      <c r="A17" t="s">
        <v>25</v>
      </c>
      <c r="B17" t="s">
        <v>17</v>
      </c>
    </row>
    <row r="18" spans="1:2" x14ac:dyDescent="0.35">
      <c r="A18" t="s">
        <v>25</v>
      </c>
      <c r="B18" t="s">
        <v>18</v>
      </c>
    </row>
    <row r="19" spans="1:2" x14ac:dyDescent="0.35">
      <c r="A19" t="s">
        <v>25</v>
      </c>
      <c r="B19" t="s">
        <v>19</v>
      </c>
    </row>
    <row r="20" spans="1:2" x14ac:dyDescent="0.35">
      <c r="A20" t="s">
        <v>25</v>
      </c>
      <c r="B20" t="s">
        <v>20</v>
      </c>
    </row>
    <row r="21" spans="1:2" x14ac:dyDescent="0.35">
      <c r="A21" t="s">
        <v>25</v>
      </c>
      <c r="B21" t="s">
        <v>21</v>
      </c>
    </row>
    <row r="22" spans="1:2" x14ac:dyDescent="0.35">
      <c r="A22" t="s">
        <v>25</v>
      </c>
      <c r="B22" t="s">
        <v>22</v>
      </c>
    </row>
    <row r="23" spans="1:2" x14ac:dyDescent="0.35">
      <c r="A23" t="s">
        <v>25</v>
      </c>
      <c r="B23" t="s">
        <v>23</v>
      </c>
    </row>
    <row r="24" spans="1:2" x14ac:dyDescent="0.35">
      <c r="A24" t="s">
        <v>25</v>
      </c>
      <c r="B24" t="s">
        <v>24</v>
      </c>
    </row>
    <row r="25" spans="1:2" x14ac:dyDescent="0.35">
      <c r="A25" t="s">
        <v>59</v>
      </c>
      <c r="B25" t="s">
        <v>26</v>
      </c>
    </row>
    <row r="26" spans="1:2" x14ac:dyDescent="0.35">
      <c r="A26" t="s">
        <v>59</v>
      </c>
      <c r="B26" t="s">
        <v>27</v>
      </c>
    </row>
    <row r="27" spans="1:2" x14ac:dyDescent="0.35">
      <c r="A27" t="s">
        <v>59</v>
      </c>
      <c r="B27" t="s">
        <v>28</v>
      </c>
    </row>
    <row r="28" spans="1:2" x14ac:dyDescent="0.35">
      <c r="A28" t="s">
        <v>59</v>
      </c>
      <c r="B28" t="s">
        <v>29</v>
      </c>
    </row>
    <row r="29" spans="1:2" x14ac:dyDescent="0.35">
      <c r="A29" t="s">
        <v>59</v>
      </c>
      <c r="B29" t="s">
        <v>30</v>
      </c>
    </row>
    <row r="30" spans="1:2" x14ac:dyDescent="0.35">
      <c r="A30" t="s">
        <v>59</v>
      </c>
      <c r="B30" t="s">
        <v>575</v>
      </c>
    </row>
    <row r="31" spans="1:2" x14ac:dyDescent="0.35">
      <c r="A31" t="s">
        <v>59</v>
      </c>
      <c r="B31" t="s">
        <v>32</v>
      </c>
    </row>
    <row r="32" spans="1:2" x14ac:dyDescent="0.35">
      <c r="A32" t="s">
        <v>59</v>
      </c>
      <c r="B32" t="s">
        <v>33</v>
      </c>
    </row>
    <row r="33" spans="1:2" x14ac:dyDescent="0.35">
      <c r="A33" t="s">
        <v>59</v>
      </c>
      <c r="B33" t="s">
        <v>34</v>
      </c>
    </row>
    <row r="34" spans="1:2" x14ac:dyDescent="0.35">
      <c r="A34" t="s">
        <v>59</v>
      </c>
      <c r="B34" t="s">
        <v>35</v>
      </c>
    </row>
    <row r="35" spans="1:2" x14ac:dyDescent="0.35">
      <c r="A35" t="s">
        <v>59</v>
      </c>
      <c r="B35" t="s">
        <v>36</v>
      </c>
    </row>
    <row r="36" spans="1:2" x14ac:dyDescent="0.35">
      <c r="A36" t="s">
        <v>59</v>
      </c>
      <c r="B36" t="s">
        <v>37</v>
      </c>
    </row>
    <row r="37" spans="1:2" x14ac:dyDescent="0.35">
      <c r="A37" t="s">
        <v>59</v>
      </c>
      <c r="B37" t="s">
        <v>38</v>
      </c>
    </row>
    <row r="38" spans="1:2" x14ac:dyDescent="0.35">
      <c r="A38" t="s">
        <v>59</v>
      </c>
      <c r="B38" t="s">
        <v>39</v>
      </c>
    </row>
    <row r="39" spans="1:2" x14ac:dyDescent="0.35">
      <c r="A39" t="s">
        <v>59</v>
      </c>
      <c r="B39" t="s">
        <v>40</v>
      </c>
    </row>
    <row r="40" spans="1:2" x14ac:dyDescent="0.35">
      <c r="A40" t="s">
        <v>59</v>
      </c>
      <c r="B40" t="s">
        <v>41</v>
      </c>
    </row>
    <row r="41" spans="1:2" x14ac:dyDescent="0.35">
      <c r="A41" t="s">
        <v>59</v>
      </c>
      <c r="B41" t="s">
        <v>42</v>
      </c>
    </row>
    <row r="42" spans="1:2" x14ac:dyDescent="0.35">
      <c r="A42" t="s">
        <v>59</v>
      </c>
      <c r="B42" t="s">
        <v>43</v>
      </c>
    </row>
    <row r="43" spans="1:2" x14ac:dyDescent="0.35">
      <c r="A43" t="s">
        <v>59</v>
      </c>
      <c r="B43" t="s">
        <v>44</v>
      </c>
    </row>
    <row r="44" spans="1:2" x14ac:dyDescent="0.35">
      <c r="A44" t="s">
        <v>59</v>
      </c>
      <c r="B44" t="s">
        <v>45</v>
      </c>
    </row>
    <row r="45" spans="1:2" x14ac:dyDescent="0.35">
      <c r="A45" t="s">
        <v>59</v>
      </c>
      <c r="B45" t="s">
        <v>46</v>
      </c>
    </row>
    <row r="46" spans="1:2" x14ac:dyDescent="0.35">
      <c r="A46" t="s">
        <v>59</v>
      </c>
      <c r="B46" t="s">
        <v>47</v>
      </c>
    </row>
    <row r="47" spans="1:2" x14ac:dyDescent="0.35">
      <c r="A47" t="s">
        <v>59</v>
      </c>
      <c r="B47" t="s">
        <v>48</v>
      </c>
    </row>
    <row r="48" spans="1:2" x14ac:dyDescent="0.35">
      <c r="A48" t="s">
        <v>59</v>
      </c>
      <c r="B48" t="s">
        <v>49</v>
      </c>
    </row>
    <row r="49" spans="1:2" x14ac:dyDescent="0.35">
      <c r="A49" t="s">
        <v>59</v>
      </c>
      <c r="B49" t="s">
        <v>50</v>
      </c>
    </row>
    <row r="50" spans="1:2" x14ac:dyDescent="0.35">
      <c r="A50" t="s">
        <v>59</v>
      </c>
      <c r="B50" t="s">
        <v>51</v>
      </c>
    </row>
    <row r="51" spans="1:2" x14ac:dyDescent="0.35">
      <c r="A51" t="s">
        <v>59</v>
      </c>
      <c r="B51" t="s">
        <v>52</v>
      </c>
    </row>
    <row r="52" spans="1:2" x14ac:dyDescent="0.35">
      <c r="A52" t="s">
        <v>59</v>
      </c>
      <c r="B52" t="s">
        <v>53</v>
      </c>
    </row>
    <row r="53" spans="1:2" x14ac:dyDescent="0.35">
      <c r="A53" t="s">
        <v>59</v>
      </c>
      <c r="B53" t="s">
        <v>54</v>
      </c>
    </row>
    <row r="54" spans="1:2" x14ac:dyDescent="0.35">
      <c r="A54" t="s">
        <v>59</v>
      </c>
      <c r="B54" t="s">
        <v>55</v>
      </c>
    </row>
    <row r="55" spans="1:2" x14ac:dyDescent="0.35">
      <c r="A55" t="s">
        <v>59</v>
      </c>
      <c r="B55" t="s">
        <v>56</v>
      </c>
    </row>
    <row r="56" spans="1:2" x14ac:dyDescent="0.35">
      <c r="A56" t="s">
        <v>59</v>
      </c>
      <c r="B56" t="s">
        <v>57</v>
      </c>
    </row>
    <row r="57" spans="1:2" x14ac:dyDescent="0.35">
      <c r="A57" t="s">
        <v>59</v>
      </c>
      <c r="B57" t="s">
        <v>58</v>
      </c>
    </row>
    <row r="58" spans="1:2" x14ac:dyDescent="0.35">
      <c r="A58" t="s">
        <v>79</v>
      </c>
      <c r="B58" t="s">
        <v>60</v>
      </c>
    </row>
    <row r="59" spans="1:2" x14ac:dyDescent="0.35">
      <c r="A59" t="s">
        <v>79</v>
      </c>
      <c r="B59" t="s">
        <v>61</v>
      </c>
    </row>
    <row r="60" spans="1:2" x14ac:dyDescent="0.35">
      <c r="A60" t="s">
        <v>79</v>
      </c>
      <c r="B60" t="s">
        <v>62</v>
      </c>
    </row>
    <row r="61" spans="1:2" x14ac:dyDescent="0.35">
      <c r="A61" t="s">
        <v>79</v>
      </c>
      <c r="B61" t="s">
        <v>63</v>
      </c>
    </row>
    <row r="62" spans="1:2" x14ac:dyDescent="0.35">
      <c r="A62" t="s">
        <v>79</v>
      </c>
      <c r="B62" t="s">
        <v>64</v>
      </c>
    </row>
    <row r="63" spans="1:2" x14ac:dyDescent="0.35">
      <c r="A63" t="s">
        <v>79</v>
      </c>
      <c r="B63" t="s">
        <v>65</v>
      </c>
    </row>
    <row r="64" spans="1:2" x14ac:dyDescent="0.35">
      <c r="A64" t="s">
        <v>79</v>
      </c>
      <c r="B64" t="s">
        <v>66</v>
      </c>
    </row>
    <row r="65" spans="1:2" x14ac:dyDescent="0.35">
      <c r="A65" t="s">
        <v>79</v>
      </c>
      <c r="B65" t="s">
        <v>67</v>
      </c>
    </row>
    <row r="66" spans="1:2" x14ac:dyDescent="0.35">
      <c r="A66" t="s">
        <v>79</v>
      </c>
      <c r="B66" t="s">
        <v>68</v>
      </c>
    </row>
    <row r="67" spans="1:2" x14ac:dyDescent="0.35">
      <c r="A67" t="s">
        <v>79</v>
      </c>
      <c r="B67" t="s">
        <v>69</v>
      </c>
    </row>
    <row r="68" spans="1:2" x14ac:dyDescent="0.35">
      <c r="A68" t="s">
        <v>79</v>
      </c>
      <c r="B68" t="s">
        <v>70</v>
      </c>
    </row>
    <row r="69" spans="1:2" x14ac:dyDescent="0.35">
      <c r="A69" t="s">
        <v>79</v>
      </c>
      <c r="B69" t="s">
        <v>71</v>
      </c>
    </row>
    <row r="70" spans="1:2" x14ac:dyDescent="0.35">
      <c r="A70" t="s">
        <v>79</v>
      </c>
      <c r="B70" t="s">
        <v>72</v>
      </c>
    </row>
    <row r="71" spans="1:2" x14ac:dyDescent="0.35">
      <c r="A71" t="s">
        <v>79</v>
      </c>
      <c r="B71" t="s">
        <v>73</v>
      </c>
    </row>
    <row r="72" spans="1:2" x14ac:dyDescent="0.35">
      <c r="A72" t="s">
        <v>79</v>
      </c>
      <c r="B72" t="s">
        <v>74</v>
      </c>
    </row>
    <row r="73" spans="1:2" x14ac:dyDescent="0.35">
      <c r="A73" t="s">
        <v>79</v>
      </c>
      <c r="B73" t="s">
        <v>75</v>
      </c>
    </row>
    <row r="74" spans="1:2" x14ac:dyDescent="0.35">
      <c r="A74" t="s">
        <v>79</v>
      </c>
      <c r="B74" t="s">
        <v>76</v>
      </c>
    </row>
    <row r="75" spans="1:2" x14ac:dyDescent="0.35">
      <c r="A75" t="s">
        <v>79</v>
      </c>
      <c r="B75" t="s">
        <v>77</v>
      </c>
    </row>
    <row r="76" spans="1:2" x14ac:dyDescent="0.35">
      <c r="A76" t="s">
        <v>79</v>
      </c>
      <c r="B76" t="s">
        <v>78</v>
      </c>
    </row>
    <row r="77" spans="1:2" x14ac:dyDescent="0.35">
      <c r="A77" t="s">
        <v>92</v>
      </c>
      <c r="B77" t="s">
        <v>80</v>
      </c>
    </row>
    <row r="78" spans="1:2" x14ac:dyDescent="0.35">
      <c r="A78" t="s">
        <v>92</v>
      </c>
      <c r="B78" t="s">
        <v>81</v>
      </c>
    </row>
    <row r="79" spans="1:2" x14ac:dyDescent="0.35">
      <c r="A79" t="s">
        <v>92</v>
      </c>
      <c r="B79" t="s">
        <v>82</v>
      </c>
    </row>
    <row r="80" spans="1:2" x14ac:dyDescent="0.35">
      <c r="A80" t="s">
        <v>92</v>
      </c>
      <c r="B80" t="s">
        <v>83</v>
      </c>
    </row>
    <row r="81" spans="1:2" x14ac:dyDescent="0.35">
      <c r="A81" t="s">
        <v>92</v>
      </c>
      <c r="B81" t="s">
        <v>84</v>
      </c>
    </row>
    <row r="82" spans="1:2" x14ac:dyDescent="0.35">
      <c r="A82" t="s">
        <v>92</v>
      </c>
      <c r="B82" t="s">
        <v>85</v>
      </c>
    </row>
    <row r="83" spans="1:2" x14ac:dyDescent="0.35">
      <c r="A83" t="s">
        <v>92</v>
      </c>
      <c r="B83" t="s">
        <v>86</v>
      </c>
    </row>
    <row r="84" spans="1:2" x14ac:dyDescent="0.35">
      <c r="A84" t="s">
        <v>92</v>
      </c>
      <c r="B84" t="s">
        <v>87</v>
      </c>
    </row>
    <row r="85" spans="1:2" x14ac:dyDescent="0.35">
      <c r="A85" t="s">
        <v>92</v>
      </c>
      <c r="B85" t="s">
        <v>88</v>
      </c>
    </row>
    <row r="86" spans="1:2" x14ac:dyDescent="0.35">
      <c r="A86" t="s">
        <v>92</v>
      </c>
      <c r="B86" t="s">
        <v>89</v>
      </c>
    </row>
    <row r="87" spans="1:2" x14ac:dyDescent="0.35">
      <c r="A87" t="s">
        <v>92</v>
      </c>
      <c r="B87" t="s">
        <v>90</v>
      </c>
    </row>
    <row r="88" spans="1:2" x14ac:dyDescent="0.35">
      <c r="A88" t="s">
        <v>92</v>
      </c>
      <c r="B88" t="s">
        <v>91</v>
      </c>
    </row>
    <row r="89" spans="1:2" x14ac:dyDescent="0.35">
      <c r="A89" t="s">
        <v>104</v>
      </c>
      <c r="B89" t="s">
        <v>93</v>
      </c>
    </row>
    <row r="90" spans="1:2" x14ac:dyDescent="0.35">
      <c r="A90" t="s">
        <v>104</v>
      </c>
      <c r="B90" t="s">
        <v>94</v>
      </c>
    </row>
    <row r="91" spans="1:2" x14ac:dyDescent="0.35">
      <c r="A91" t="s">
        <v>104</v>
      </c>
      <c r="B91" t="s">
        <v>95</v>
      </c>
    </row>
    <row r="92" spans="1:2" x14ac:dyDescent="0.35">
      <c r="A92" t="s">
        <v>104</v>
      </c>
      <c r="B92" t="s">
        <v>96</v>
      </c>
    </row>
    <row r="93" spans="1:2" x14ac:dyDescent="0.35">
      <c r="A93" t="s">
        <v>104</v>
      </c>
      <c r="B93" t="s">
        <v>97</v>
      </c>
    </row>
    <row r="94" spans="1:2" x14ac:dyDescent="0.35">
      <c r="A94" t="s">
        <v>104</v>
      </c>
      <c r="B94" t="s">
        <v>98</v>
      </c>
    </row>
    <row r="95" spans="1:2" x14ac:dyDescent="0.35">
      <c r="A95" t="s">
        <v>104</v>
      </c>
      <c r="B95" t="s">
        <v>99</v>
      </c>
    </row>
    <row r="96" spans="1:2" x14ac:dyDescent="0.35">
      <c r="A96" t="s">
        <v>104</v>
      </c>
      <c r="B96" t="s">
        <v>100</v>
      </c>
    </row>
    <row r="97" spans="1:2" x14ac:dyDescent="0.35">
      <c r="A97" t="s">
        <v>104</v>
      </c>
      <c r="B97" t="s">
        <v>101</v>
      </c>
    </row>
    <row r="98" spans="1:2" x14ac:dyDescent="0.35">
      <c r="A98" t="s">
        <v>104</v>
      </c>
      <c r="B98" t="s">
        <v>102</v>
      </c>
    </row>
    <row r="99" spans="1:2" x14ac:dyDescent="0.35">
      <c r="A99" t="s">
        <v>104</v>
      </c>
      <c r="B99" t="s">
        <v>103</v>
      </c>
    </row>
    <row r="100" spans="1:2" x14ac:dyDescent="0.35">
      <c r="A100" t="s">
        <v>122</v>
      </c>
      <c r="B100" t="s">
        <v>105</v>
      </c>
    </row>
    <row r="101" spans="1:2" x14ac:dyDescent="0.35">
      <c r="A101" t="s">
        <v>122</v>
      </c>
      <c r="B101" t="s">
        <v>106</v>
      </c>
    </row>
    <row r="102" spans="1:2" x14ac:dyDescent="0.35">
      <c r="A102" t="s">
        <v>122</v>
      </c>
      <c r="B102" t="s">
        <v>107</v>
      </c>
    </row>
    <row r="103" spans="1:2" x14ac:dyDescent="0.35">
      <c r="A103" t="s">
        <v>122</v>
      </c>
      <c r="B103" t="s">
        <v>108</v>
      </c>
    </row>
    <row r="104" spans="1:2" x14ac:dyDescent="0.35">
      <c r="A104" t="s">
        <v>122</v>
      </c>
      <c r="B104" t="s">
        <v>109</v>
      </c>
    </row>
    <row r="105" spans="1:2" x14ac:dyDescent="0.35">
      <c r="A105" t="s">
        <v>122</v>
      </c>
      <c r="B105" t="s">
        <v>110</v>
      </c>
    </row>
    <row r="106" spans="1:2" x14ac:dyDescent="0.35">
      <c r="A106" t="s">
        <v>122</v>
      </c>
      <c r="B106" t="s">
        <v>111</v>
      </c>
    </row>
    <row r="107" spans="1:2" x14ac:dyDescent="0.35">
      <c r="A107" t="s">
        <v>122</v>
      </c>
      <c r="B107" t="s">
        <v>112</v>
      </c>
    </row>
    <row r="108" spans="1:2" x14ac:dyDescent="0.35">
      <c r="A108" t="s">
        <v>122</v>
      </c>
      <c r="B108" t="s">
        <v>113</v>
      </c>
    </row>
    <row r="109" spans="1:2" x14ac:dyDescent="0.35">
      <c r="A109" t="s">
        <v>122</v>
      </c>
      <c r="B109" t="s">
        <v>114</v>
      </c>
    </row>
    <row r="110" spans="1:2" x14ac:dyDescent="0.35">
      <c r="A110" t="s">
        <v>122</v>
      </c>
      <c r="B110" t="s">
        <v>115</v>
      </c>
    </row>
    <row r="111" spans="1:2" x14ac:dyDescent="0.35">
      <c r="A111" t="s">
        <v>122</v>
      </c>
      <c r="B111" t="s">
        <v>116</v>
      </c>
    </row>
    <row r="112" spans="1:2" x14ac:dyDescent="0.35">
      <c r="A112" t="s">
        <v>122</v>
      </c>
      <c r="B112" t="s">
        <v>117</v>
      </c>
    </row>
    <row r="113" spans="1:2" x14ac:dyDescent="0.35">
      <c r="A113" t="s">
        <v>122</v>
      </c>
      <c r="B113" t="s">
        <v>118</v>
      </c>
    </row>
    <row r="114" spans="1:2" x14ac:dyDescent="0.35">
      <c r="A114" t="s">
        <v>122</v>
      </c>
      <c r="B114" t="s">
        <v>119</v>
      </c>
    </row>
    <row r="115" spans="1:2" x14ac:dyDescent="0.35">
      <c r="A115" t="s">
        <v>122</v>
      </c>
      <c r="B115" t="s">
        <v>120</v>
      </c>
    </row>
    <row r="116" spans="1:2" x14ac:dyDescent="0.35">
      <c r="A116" t="s">
        <v>122</v>
      </c>
      <c r="B116" t="s">
        <v>121</v>
      </c>
    </row>
    <row r="117" spans="1:2" x14ac:dyDescent="0.35">
      <c r="A117" t="s">
        <v>123</v>
      </c>
      <c r="B117" t="s">
        <v>124</v>
      </c>
    </row>
    <row r="118" spans="1:2" x14ac:dyDescent="0.35">
      <c r="A118" t="s">
        <v>123</v>
      </c>
      <c r="B118" t="s">
        <v>125</v>
      </c>
    </row>
    <row r="119" spans="1:2" x14ac:dyDescent="0.35">
      <c r="A119" t="s">
        <v>123</v>
      </c>
      <c r="B119" t="s">
        <v>126</v>
      </c>
    </row>
    <row r="120" spans="1:2" x14ac:dyDescent="0.35">
      <c r="A120" t="s">
        <v>123</v>
      </c>
      <c r="B120" t="s">
        <v>127</v>
      </c>
    </row>
    <row r="121" spans="1:2" x14ac:dyDescent="0.35">
      <c r="A121" t="s">
        <v>123</v>
      </c>
      <c r="B121" t="s">
        <v>128</v>
      </c>
    </row>
    <row r="122" spans="1:2" x14ac:dyDescent="0.35">
      <c r="A122" t="s">
        <v>123</v>
      </c>
      <c r="B122" t="s">
        <v>129</v>
      </c>
    </row>
    <row r="123" spans="1:2" x14ac:dyDescent="0.35">
      <c r="A123" t="s">
        <v>123</v>
      </c>
      <c r="B123" t="s">
        <v>130</v>
      </c>
    </row>
    <row r="124" spans="1:2" x14ac:dyDescent="0.35">
      <c r="A124" t="s">
        <v>123</v>
      </c>
      <c r="B124" t="s">
        <v>131</v>
      </c>
    </row>
    <row r="125" spans="1:2" x14ac:dyDescent="0.35">
      <c r="A125" t="s">
        <v>123</v>
      </c>
      <c r="B125" t="s">
        <v>132</v>
      </c>
    </row>
    <row r="126" spans="1:2" x14ac:dyDescent="0.35">
      <c r="A126" t="s">
        <v>123</v>
      </c>
      <c r="B126" t="s">
        <v>133</v>
      </c>
    </row>
    <row r="127" spans="1:2" x14ac:dyDescent="0.35">
      <c r="A127" t="s">
        <v>149</v>
      </c>
      <c r="B127" t="s">
        <v>134</v>
      </c>
    </row>
    <row r="128" spans="1:2" x14ac:dyDescent="0.35">
      <c r="A128" t="s">
        <v>149</v>
      </c>
      <c r="B128" t="s">
        <v>135</v>
      </c>
    </row>
    <row r="129" spans="1:2" x14ac:dyDescent="0.35">
      <c r="A129" t="s">
        <v>149</v>
      </c>
      <c r="B129" t="s">
        <v>136</v>
      </c>
    </row>
    <row r="130" spans="1:2" x14ac:dyDescent="0.35">
      <c r="A130" t="s">
        <v>149</v>
      </c>
      <c r="B130" t="s">
        <v>137</v>
      </c>
    </row>
    <row r="131" spans="1:2" x14ac:dyDescent="0.35">
      <c r="A131" t="s">
        <v>149</v>
      </c>
      <c r="B131" t="s">
        <v>138</v>
      </c>
    </row>
    <row r="132" spans="1:2" x14ac:dyDescent="0.35">
      <c r="A132" t="s">
        <v>149</v>
      </c>
      <c r="B132" t="s">
        <v>139</v>
      </c>
    </row>
    <row r="133" spans="1:2" x14ac:dyDescent="0.35">
      <c r="A133" t="s">
        <v>149</v>
      </c>
      <c r="B133" t="s">
        <v>140</v>
      </c>
    </row>
    <row r="134" spans="1:2" x14ac:dyDescent="0.35">
      <c r="A134" t="s">
        <v>149</v>
      </c>
      <c r="B134" t="s">
        <v>141</v>
      </c>
    </row>
    <row r="135" spans="1:2" x14ac:dyDescent="0.35">
      <c r="A135" t="s">
        <v>149</v>
      </c>
      <c r="B135" t="s">
        <v>142</v>
      </c>
    </row>
    <row r="136" spans="1:2" x14ac:dyDescent="0.35">
      <c r="A136" t="s">
        <v>149</v>
      </c>
      <c r="B136" t="s">
        <v>143</v>
      </c>
    </row>
    <row r="137" spans="1:2" x14ac:dyDescent="0.35">
      <c r="A137" t="s">
        <v>149</v>
      </c>
      <c r="B137" t="s">
        <v>144</v>
      </c>
    </row>
    <row r="138" spans="1:2" x14ac:dyDescent="0.35">
      <c r="A138" t="s">
        <v>149</v>
      </c>
      <c r="B138" t="s">
        <v>145</v>
      </c>
    </row>
    <row r="139" spans="1:2" x14ac:dyDescent="0.35">
      <c r="A139" t="s">
        <v>149</v>
      </c>
      <c r="B139" t="s">
        <v>146</v>
      </c>
    </row>
    <row r="140" spans="1:2" x14ac:dyDescent="0.35">
      <c r="A140" t="s">
        <v>149</v>
      </c>
      <c r="B140" t="s">
        <v>147</v>
      </c>
    </row>
    <row r="141" spans="1:2" x14ac:dyDescent="0.35">
      <c r="A141" t="s">
        <v>149</v>
      </c>
      <c r="B141" t="s">
        <v>148</v>
      </c>
    </row>
    <row r="142" spans="1:2" x14ac:dyDescent="0.35">
      <c r="A142" t="s">
        <v>157</v>
      </c>
      <c r="B142" t="s">
        <v>150</v>
      </c>
    </row>
    <row r="143" spans="1:2" x14ac:dyDescent="0.35">
      <c r="A143" t="s">
        <v>157</v>
      </c>
      <c r="B143" t="s">
        <v>151</v>
      </c>
    </row>
    <row r="144" spans="1:2" x14ac:dyDescent="0.35">
      <c r="A144" t="s">
        <v>157</v>
      </c>
      <c r="B144" t="s">
        <v>152</v>
      </c>
    </row>
    <row r="145" spans="1:2" x14ac:dyDescent="0.35">
      <c r="A145" t="s">
        <v>157</v>
      </c>
      <c r="B145" t="s">
        <v>153</v>
      </c>
    </row>
    <row r="146" spans="1:2" x14ac:dyDescent="0.35">
      <c r="A146" t="s">
        <v>157</v>
      </c>
      <c r="B146" t="s">
        <v>154</v>
      </c>
    </row>
    <row r="147" spans="1:2" x14ac:dyDescent="0.35">
      <c r="A147" t="s">
        <v>157</v>
      </c>
      <c r="B147" t="s">
        <v>155</v>
      </c>
    </row>
    <row r="148" spans="1:2" x14ac:dyDescent="0.35">
      <c r="A148" t="s">
        <v>157</v>
      </c>
      <c r="B148" t="s">
        <v>156</v>
      </c>
    </row>
    <row r="149" spans="1:2" x14ac:dyDescent="0.35">
      <c r="A149" t="s">
        <v>165</v>
      </c>
      <c r="B149" t="s">
        <v>158</v>
      </c>
    </row>
    <row r="150" spans="1:2" x14ac:dyDescent="0.35">
      <c r="A150" t="s">
        <v>165</v>
      </c>
      <c r="B150" t="s">
        <v>159</v>
      </c>
    </row>
    <row r="151" spans="1:2" x14ac:dyDescent="0.35">
      <c r="A151" t="s">
        <v>165</v>
      </c>
      <c r="B151" t="s">
        <v>160</v>
      </c>
    </row>
    <row r="152" spans="1:2" x14ac:dyDescent="0.35">
      <c r="A152" t="s">
        <v>165</v>
      </c>
      <c r="B152" t="s">
        <v>161</v>
      </c>
    </row>
    <row r="153" spans="1:2" x14ac:dyDescent="0.35">
      <c r="A153" t="s">
        <v>165</v>
      </c>
      <c r="B153" t="s">
        <v>162</v>
      </c>
    </row>
    <row r="154" spans="1:2" x14ac:dyDescent="0.35">
      <c r="A154" t="s">
        <v>165</v>
      </c>
      <c r="B154" t="s">
        <v>163</v>
      </c>
    </row>
    <row r="155" spans="1:2" x14ac:dyDescent="0.35">
      <c r="A155" t="s">
        <v>165</v>
      </c>
      <c r="B155" t="s">
        <v>164</v>
      </c>
    </row>
    <row r="156" spans="1:2" x14ac:dyDescent="0.35">
      <c r="A156" t="s">
        <v>172</v>
      </c>
      <c r="B156" t="s">
        <v>166</v>
      </c>
    </row>
    <row r="157" spans="1:2" x14ac:dyDescent="0.35">
      <c r="A157" t="s">
        <v>172</v>
      </c>
      <c r="B157" t="s">
        <v>167</v>
      </c>
    </row>
    <row r="158" spans="1:2" x14ac:dyDescent="0.35">
      <c r="A158" t="s">
        <v>172</v>
      </c>
      <c r="B158" t="s">
        <v>168</v>
      </c>
    </row>
    <row r="159" spans="1:2" x14ac:dyDescent="0.35">
      <c r="A159" t="s">
        <v>172</v>
      </c>
      <c r="B159" t="s">
        <v>169</v>
      </c>
    </row>
    <row r="160" spans="1:2" x14ac:dyDescent="0.35">
      <c r="A160" t="s">
        <v>172</v>
      </c>
      <c r="B160" t="s">
        <v>170</v>
      </c>
    </row>
    <row r="161" spans="1:2" x14ac:dyDescent="0.35">
      <c r="A161" t="s">
        <v>172</v>
      </c>
      <c r="B161" t="s">
        <v>171</v>
      </c>
    </row>
    <row r="162" spans="1:2" x14ac:dyDescent="0.35">
      <c r="A162" t="s">
        <v>200</v>
      </c>
      <c r="B162" t="s">
        <v>173</v>
      </c>
    </row>
    <row r="163" spans="1:2" x14ac:dyDescent="0.35">
      <c r="A163" t="s">
        <v>200</v>
      </c>
      <c r="B163" t="s">
        <v>174</v>
      </c>
    </row>
    <row r="164" spans="1:2" x14ac:dyDescent="0.35">
      <c r="A164" t="s">
        <v>200</v>
      </c>
      <c r="B164" t="s">
        <v>175</v>
      </c>
    </row>
    <row r="165" spans="1:2" x14ac:dyDescent="0.35">
      <c r="A165" t="s">
        <v>200</v>
      </c>
      <c r="B165" t="s">
        <v>176</v>
      </c>
    </row>
    <row r="166" spans="1:2" x14ac:dyDescent="0.35">
      <c r="A166" t="s">
        <v>200</v>
      </c>
      <c r="B166" t="s">
        <v>177</v>
      </c>
    </row>
    <row r="167" spans="1:2" x14ac:dyDescent="0.35">
      <c r="A167" t="s">
        <v>200</v>
      </c>
      <c r="B167" t="s">
        <v>178</v>
      </c>
    </row>
    <row r="168" spans="1:2" x14ac:dyDescent="0.35">
      <c r="A168" t="s">
        <v>200</v>
      </c>
      <c r="B168" t="s">
        <v>179</v>
      </c>
    </row>
    <row r="169" spans="1:2" x14ac:dyDescent="0.35">
      <c r="A169" t="s">
        <v>200</v>
      </c>
      <c r="B169" t="s">
        <v>180</v>
      </c>
    </row>
    <row r="170" spans="1:2" x14ac:dyDescent="0.35">
      <c r="A170" t="s">
        <v>200</v>
      </c>
      <c r="B170" t="s">
        <v>181</v>
      </c>
    </row>
    <row r="171" spans="1:2" x14ac:dyDescent="0.35">
      <c r="A171" t="s">
        <v>200</v>
      </c>
      <c r="B171" t="s">
        <v>182</v>
      </c>
    </row>
    <row r="172" spans="1:2" x14ac:dyDescent="0.35">
      <c r="A172" t="s">
        <v>200</v>
      </c>
      <c r="B172" t="s">
        <v>183</v>
      </c>
    </row>
    <row r="173" spans="1:2" x14ac:dyDescent="0.35">
      <c r="A173" t="s">
        <v>200</v>
      </c>
      <c r="B173" t="s">
        <v>184</v>
      </c>
    </row>
    <row r="174" spans="1:2" x14ac:dyDescent="0.35">
      <c r="A174" t="s">
        <v>200</v>
      </c>
      <c r="B174" t="s">
        <v>185</v>
      </c>
    </row>
    <row r="175" spans="1:2" x14ac:dyDescent="0.35">
      <c r="A175" t="s">
        <v>200</v>
      </c>
      <c r="B175" t="s">
        <v>186</v>
      </c>
    </row>
    <row r="176" spans="1:2" x14ac:dyDescent="0.35">
      <c r="A176" t="s">
        <v>200</v>
      </c>
      <c r="B176" t="s">
        <v>187</v>
      </c>
    </row>
    <row r="177" spans="1:2" x14ac:dyDescent="0.35">
      <c r="A177" t="s">
        <v>200</v>
      </c>
      <c r="B177" t="s">
        <v>188</v>
      </c>
    </row>
    <row r="178" spans="1:2" x14ac:dyDescent="0.35">
      <c r="A178" t="s">
        <v>200</v>
      </c>
      <c r="B178" t="s">
        <v>189</v>
      </c>
    </row>
    <row r="179" spans="1:2" x14ac:dyDescent="0.35">
      <c r="A179" t="s">
        <v>200</v>
      </c>
      <c r="B179" t="s">
        <v>190</v>
      </c>
    </row>
    <row r="180" spans="1:2" x14ac:dyDescent="0.35">
      <c r="A180" t="s">
        <v>200</v>
      </c>
      <c r="B180" t="s">
        <v>191</v>
      </c>
    </row>
    <row r="181" spans="1:2" x14ac:dyDescent="0.35">
      <c r="A181" t="s">
        <v>200</v>
      </c>
      <c r="B181" t="s">
        <v>192</v>
      </c>
    </row>
    <row r="182" spans="1:2" x14ac:dyDescent="0.35">
      <c r="A182" t="s">
        <v>200</v>
      </c>
      <c r="B182" t="s">
        <v>193</v>
      </c>
    </row>
    <row r="183" spans="1:2" x14ac:dyDescent="0.35">
      <c r="A183" t="s">
        <v>200</v>
      </c>
      <c r="B183" t="s">
        <v>194</v>
      </c>
    </row>
    <row r="184" spans="1:2" x14ac:dyDescent="0.35">
      <c r="A184" t="s">
        <v>200</v>
      </c>
      <c r="B184" t="s">
        <v>195</v>
      </c>
    </row>
    <row r="185" spans="1:2" x14ac:dyDescent="0.35">
      <c r="A185" t="s">
        <v>200</v>
      </c>
      <c r="B185" t="s">
        <v>196</v>
      </c>
    </row>
    <row r="186" spans="1:2" x14ac:dyDescent="0.35">
      <c r="A186" t="s">
        <v>200</v>
      </c>
      <c r="B186" t="s">
        <v>197</v>
      </c>
    </row>
    <row r="187" spans="1:2" x14ac:dyDescent="0.35">
      <c r="A187" t="s">
        <v>200</v>
      </c>
      <c r="B187" t="s">
        <v>198</v>
      </c>
    </row>
    <row r="188" spans="1:2" x14ac:dyDescent="0.35">
      <c r="A188" t="s">
        <v>200</v>
      </c>
      <c r="B188" t="s">
        <v>199</v>
      </c>
    </row>
    <row r="189" spans="1:2" x14ac:dyDescent="0.35">
      <c r="A189" t="s">
        <v>201</v>
      </c>
      <c r="B189" t="s">
        <v>202</v>
      </c>
    </row>
    <row r="190" spans="1:2" x14ac:dyDescent="0.35">
      <c r="A190" t="s">
        <v>201</v>
      </c>
      <c r="B190" t="s">
        <v>203</v>
      </c>
    </row>
    <row r="191" spans="1:2" x14ac:dyDescent="0.35">
      <c r="A191" t="s">
        <v>201</v>
      </c>
      <c r="B191" t="s">
        <v>204</v>
      </c>
    </row>
    <row r="192" spans="1:2" x14ac:dyDescent="0.35">
      <c r="A192" t="s">
        <v>201</v>
      </c>
      <c r="B192" t="s">
        <v>205</v>
      </c>
    </row>
    <row r="193" spans="1:2" x14ac:dyDescent="0.35">
      <c r="A193" t="s">
        <v>201</v>
      </c>
      <c r="B193" t="s">
        <v>206</v>
      </c>
    </row>
    <row r="194" spans="1:2" x14ac:dyDescent="0.35">
      <c r="A194" t="s">
        <v>201</v>
      </c>
      <c r="B194" t="s">
        <v>207</v>
      </c>
    </row>
    <row r="195" spans="1:2" x14ac:dyDescent="0.35">
      <c r="A195" t="s">
        <v>201</v>
      </c>
      <c r="B195" t="s">
        <v>208</v>
      </c>
    </row>
    <row r="196" spans="1:2" x14ac:dyDescent="0.35">
      <c r="A196" t="s">
        <v>201</v>
      </c>
      <c r="B196" t="s">
        <v>209</v>
      </c>
    </row>
    <row r="197" spans="1:2" x14ac:dyDescent="0.35">
      <c r="A197" t="s">
        <v>201</v>
      </c>
      <c r="B197" t="s">
        <v>210</v>
      </c>
    </row>
    <row r="198" spans="1:2" x14ac:dyDescent="0.35">
      <c r="A198" t="s">
        <v>201</v>
      </c>
      <c r="B198" t="s">
        <v>211</v>
      </c>
    </row>
    <row r="199" spans="1:2" x14ac:dyDescent="0.35">
      <c r="A199" t="s">
        <v>201</v>
      </c>
      <c r="B199" t="s">
        <v>212</v>
      </c>
    </row>
    <row r="200" spans="1:2" x14ac:dyDescent="0.35">
      <c r="A200" t="s">
        <v>201</v>
      </c>
      <c r="B200" t="s">
        <v>213</v>
      </c>
    </row>
    <row r="201" spans="1:2" x14ac:dyDescent="0.35">
      <c r="A201" t="s">
        <v>201</v>
      </c>
      <c r="B201" t="s">
        <v>214</v>
      </c>
    </row>
    <row r="202" spans="1:2" x14ac:dyDescent="0.35">
      <c r="A202" t="s">
        <v>201</v>
      </c>
      <c r="B202" t="s">
        <v>215</v>
      </c>
    </row>
    <row r="203" spans="1:2" x14ac:dyDescent="0.35">
      <c r="A203" t="s">
        <v>201</v>
      </c>
      <c r="B203" t="s">
        <v>216</v>
      </c>
    </row>
    <row r="204" spans="1:2" x14ac:dyDescent="0.35">
      <c r="A204" t="s">
        <v>201</v>
      </c>
      <c r="B204" t="s">
        <v>217</v>
      </c>
    </row>
    <row r="205" spans="1:2" x14ac:dyDescent="0.35">
      <c r="A205" t="s">
        <v>201</v>
      </c>
      <c r="B205" t="s">
        <v>218</v>
      </c>
    </row>
    <row r="206" spans="1:2" x14ac:dyDescent="0.35">
      <c r="A206" t="s">
        <v>201</v>
      </c>
      <c r="B206" t="s">
        <v>219</v>
      </c>
    </row>
    <row r="207" spans="1:2" x14ac:dyDescent="0.35">
      <c r="A207" t="s">
        <v>201</v>
      </c>
      <c r="B207" t="s">
        <v>220</v>
      </c>
    </row>
    <row r="208" spans="1:2" x14ac:dyDescent="0.35">
      <c r="A208" t="s">
        <v>201</v>
      </c>
      <c r="B208" t="s">
        <v>221</v>
      </c>
    </row>
    <row r="209" spans="1:2" x14ac:dyDescent="0.35">
      <c r="A209" t="s">
        <v>201</v>
      </c>
      <c r="B209" t="s">
        <v>222</v>
      </c>
    </row>
    <row r="210" spans="1:2" x14ac:dyDescent="0.35">
      <c r="A210" t="s">
        <v>201</v>
      </c>
      <c r="B210" t="s">
        <v>223</v>
      </c>
    </row>
    <row r="211" spans="1:2" x14ac:dyDescent="0.35">
      <c r="A211" t="s">
        <v>201</v>
      </c>
      <c r="B211" t="s">
        <v>224</v>
      </c>
    </row>
    <row r="212" spans="1:2" x14ac:dyDescent="0.35">
      <c r="A212" t="s">
        <v>201</v>
      </c>
      <c r="B212" t="s">
        <v>225</v>
      </c>
    </row>
    <row r="213" spans="1:2" x14ac:dyDescent="0.35">
      <c r="A213" t="s">
        <v>201</v>
      </c>
      <c r="B213" t="s">
        <v>226</v>
      </c>
    </row>
    <row r="214" spans="1:2" x14ac:dyDescent="0.35">
      <c r="A214" t="s">
        <v>201</v>
      </c>
      <c r="B214" t="s">
        <v>227</v>
      </c>
    </row>
    <row r="215" spans="1:2" x14ac:dyDescent="0.35">
      <c r="A215" t="s">
        <v>201</v>
      </c>
      <c r="B215" t="s">
        <v>228</v>
      </c>
    </row>
    <row r="216" spans="1:2" x14ac:dyDescent="0.35">
      <c r="A216" t="s">
        <v>201</v>
      </c>
      <c r="B216" t="s">
        <v>229</v>
      </c>
    </row>
    <row r="217" spans="1:2" x14ac:dyDescent="0.35">
      <c r="A217" t="s">
        <v>201</v>
      </c>
      <c r="B217" t="s">
        <v>230</v>
      </c>
    </row>
    <row r="218" spans="1:2" x14ac:dyDescent="0.35">
      <c r="A218" t="s">
        <v>201</v>
      </c>
      <c r="B218" t="s">
        <v>231</v>
      </c>
    </row>
    <row r="219" spans="1:2" x14ac:dyDescent="0.35">
      <c r="A219" t="s">
        <v>201</v>
      </c>
      <c r="B219" t="s">
        <v>232</v>
      </c>
    </row>
    <row r="220" spans="1:2" x14ac:dyDescent="0.35">
      <c r="A220" t="s">
        <v>201</v>
      </c>
      <c r="B220" t="s">
        <v>233</v>
      </c>
    </row>
    <row r="221" spans="1:2" x14ac:dyDescent="0.35">
      <c r="A221" t="s">
        <v>201</v>
      </c>
      <c r="B221" t="s">
        <v>234</v>
      </c>
    </row>
    <row r="222" spans="1:2" x14ac:dyDescent="0.35">
      <c r="A222" t="s">
        <v>201</v>
      </c>
      <c r="B222" t="s">
        <v>235</v>
      </c>
    </row>
    <row r="223" spans="1:2" x14ac:dyDescent="0.35">
      <c r="A223" t="s">
        <v>201</v>
      </c>
      <c r="B223" t="s">
        <v>236</v>
      </c>
    </row>
    <row r="224" spans="1:2" x14ac:dyDescent="0.35">
      <c r="A224" t="s">
        <v>237</v>
      </c>
      <c r="B224" t="s">
        <v>238</v>
      </c>
    </row>
    <row r="225" spans="1:2" x14ac:dyDescent="0.35">
      <c r="A225" t="s">
        <v>237</v>
      </c>
      <c r="B225" t="s">
        <v>239</v>
      </c>
    </row>
    <row r="226" spans="1:2" x14ac:dyDescent="0.35">
      <c r="A226" t="s">
        <v>237</v>
      </c>
      <c r="B226" t="s">
        <v>240</v>
      </c>
    </row>
    <row r="227" spans="1:2" x14ac:dyDescent="0.35">
      <c r="A227" t="s">
        <v>237</v>
      </c>
      <c r="B227" t="s">
        <v>241</v>
      </c>
    </row>
    <row r="228" spans="1:2" x14ac:dyDescent="0.35">
      <c r="A228" t="s">
        <v>237</v>
      </c>
      <c r="B228" t="s">
        <v>242</v>
      </c>
    </row>
    <row r="229" spans="1:2" x14ac:dyDescent="0.35">
      <c r="A229" t="s">
        <v>243</v>
      </c>
      <c r="B229" t="s">
        <v>244</v>
      </c>
    </row>
    <row r="230" spans="1:2" x14ac:dyDescent="0.35">
      <c r="A230" t="s">
        <v>243</v>
      </c>
      <c r="B230" t="s">
        <v>245</v>
      </c>
    </row>
    <row r="231" spans="1:2" x14ac:dyDescent="0.35">
      <c r="A231" t="s">
        <v>243</v>
      </c>
      <c r="B231" t="s">
        <v>246</v>
      </c>
    </row>
    <row r="232" spans="1:2" x14ac:dyDescent="0.35">
      <c r="A232" t="s">
        <v>243</v>
      </c>
      <c r="B232" t="s">
        <v>247</v>
      </c>
    </row>
    <row r="233" spans="1:2" x14ac:dyDescent="0.35">
      <c r="A233" t="s">
        <v>243</v>
      </c>
      <c r="B233" t="s">
        <v>248</v>
      </c>
    </row>
    <row r="234" spans="1:2" x14ac:dyDescent="0.35">
      <c r="A234" t="s">
        <v>243</v>
      </c>
      <c r="B234" t="s">
        <v>249</v>
      </c>
    </row>
    <row r="235" spans="1:2" x14ac:dyDescent="0.35">
      <c r="A235" t="s">
        <v>243</v>
      </c>
      <c r="B235" t="s">
        <v>250</v>
      </c>
    </row>
    <row r="236" spans="1:2" x14ac:dyDescent="0.35">
      <c r="A236" t="s">
        <v>243</v>
      </c>
      <c r="B236" t="s">
        <v>251</v>
      </c>
    </row>
    <row r="237" spans="1:2" x14ac:dyDescent="0.35">
      <c r="A237" t="s">
        <v>243</v>
      </c>
      <c r="B237" t="s">
        <v>252</v>
      </c>
    </row>
    <row r="238" spans="1:2" x14ac:dyDescent="0.35">
      <c r="A238" t="s">
        <v>243</v>
      </c>
      <c r="B238" t="s">
        <v>253</v>
      </c>
    </row>
    <row r="239" spans="1:2" x14ac:dyDescent="0.35">
      <c r="A239" t="s">
        <v>243</v>
      </c>
      <c r="B239" t="s">
        <v>254</v>
      </c>
    </row>
    <row r="240" spans="1:2" x14ac:dyDescent="0.35">
      <c r="A240" t="s">
        <v>243</v>
      </c>
      <c r="B240" t="s">
        <v>255</v>
      </c>
    </row>
    <row r="241" spans="1:2" x14ac:dyDescent="0.35">
      <c r="A241" t="s">
        <v>243</v>
      </c>
      <c r="B241" t="s">
        <v>256</v>
      </c>
    </row>
    <row r="242" spans="1:2" x14ac:dyDescent="0.35">
      <c r="A242" t="s">
        <v>243</v>
      </c>
      <c r="B242" t="s">
        <v>257</v>
      </c>
    </row>
    <row r="243" spans="1:2" x14ac:dyDescent="0.35">
      <c r="A243" t="s">
        <v>243</v>
      </c>
      <c r="B243" t="s">
        <v>258</v>
      </c>
    </row>
    <row r="244" spans="1:2" x14ac:dyDescent="0.35">
      <c r="A244" t="s">
        <v>243</v>
      </c>
      <c r="B244" t="s">
        <v>259</v>
      </c>
    </row>
    <row r="245" spans="1:2" x14ac:dyDescent="0.35">
      <c r="A245" t="s">
        <v>243</v>
      </c>
      <c r="B245" t="s">
        <v>260</v>
      </c>
    </row>
    <row r="246" spans="1:2" x14ac:dyDescent="0.35">
      <c r="A246" t="s">
        <v>243</v>
      </c>
      <c r="B246" t="s">
        <v>261</v>
      </c>
    </row>
    <row r="247" spans="1:2" x14ac:dyDescent="0.35">
      <c r="A247" t="s">
        <v>243</v>
      </c>
      <c r="B247" t="s">
        <v>262</v>
      </c>
    </row>
    <row r="248" spans="1:2" x14ac:dyDescent="0.35">
      <c r="A248" t="s">
        <v>243</v>
      </c>
      <c r="B248" t="s">
        <v>263</v>
      </c>
    </row>
    <row r="249" spans="1:2" x14ac:dyDescent="0.35">
      <c r="A249" t="s">
        <v>243</v>
      </c>
      <c r="B249" t="s">
        <v>264</v>
      </c>
    </row>
    <row r="250" spans="1:2" x14ac:dyDescent="0.35">
      <c r="A250" t="s">
        <v>243</v>
      </c>
      <c r="B250" t="s">
        <v>265</v>
      </c>
    </row>
    <row r="251" spans="1:2" x14ac:dyDescent="0.35">
      <c r="A251" t="s">
        <v>243</v>
      </c>
      <c r="B251" t="s">
        <v>266</v>
      </c>
    </row>
    <row r="252" spans="1:2" x14ac:dyDescent="0.35">
      <c r="A252" t="s">
        <v>243</v>
      </c>
      <c r="B252" t="s">
        <v>267</v>
      </c>
    </row>
    <row r="253" spans="1:2" x14ac:dyDescent="0.35">
      <c r="A253" t="s">
        <v>243</v>
      </c>
      <c r="B253" t="s">
        <v>268</v>
      </c>
    </row>
    <row r="254" spans="1:2" x14ac:dyDescent="0.35">
      <c r="A254" t="s">
        <v>243</v>
      </c>
      <c r="B254" t="s">
        <v>269</v>
      </c>
    </row>
    <row r="255" spans="1:2" x14ac:dyDescent="0.35">
      <c r="A255" t="s">
        <v>243</v>
      </c>
      <c r="B255" t="s">
        <v>270</v>
      </c>
    </row>
    <row r="256" spans="1:2" x14ac:dyDescent="0.35">
      <c r="A256" t="s">
        <v>243</v>
      </c>
      <c r="B256" t="s">
        <v>271</v>
      </c>
    </row>
    <row r="257" spans="1:2" x14ac:dyDescent="0.35">
      <c r="A257" t="s">
        <v>243</v>
      </c>
      <c r="B257" t="s">
        <v>272</v>
      </c>
    </row>
    <row r="258" spans="1:2" x14ac:dyDescent="0.35">
      <c r="A258" t="s">
        <v>243</v>
      </c>
      <c r="B258" t="s">
        <v>273</v>
      </c>
    </row>
    <row r="259" spans="1:2" x14ac:dyDescent="0.35">
      <c r="A259" t="s">
        <v>243</v>
      </c>
      <c r="B259" t="s">
        <v>274</v>
      </c>
    </row>
    <row r="260" spans="1:2" x14ac:dyDescent="0.35">
      <c r="A260" t="s">
        <v>243</v>
      </c>
      <c r="B260" t="s">
        <v>275</v>
      </c>
    </row>
    <row r="261" spans="1:2" x14ac:dyDescent="0.35">
      <c r="A261" t="s">
        <v>243</v>
      </c>
      <c r="B261" t="s">
        <v>276</v>
      </c>
    </row>
    <row r="262" spans="1:2" x14ac:dyDescent="0.35">
      <c r="A262" t="s">
        <v>243</v>
      </c>
      <c r="B262" t="s">
        <v>277</v>
      </c>
    </row>
    <row r="263" spans="1:2" x14ac:dyDescent="0.35">
      <c r="A263" t="s">
        <v>243</v>
      </c>
      <c r="B263" t="s">
        <v>278</v>
      </c>
    </row>
    <row r="264" spans="1:2" x14ac:dyDescent="0.35">
      <c r="A264" t="s">
        <v>243</v>
      </c>
      <c r="B264" t="s">
        <v>279</v>
      </c>
    </row>
    <row r="265" spans="1:2" x14ac:dyDescent="0.35">
      <c r="A265" t="s">
        <v>243</v>
      </c>
      <c r="B265" t="s">
        <v>280</v>
      </c>
    </row>
    <row r="266" spans="1:2" x14ac:dyDescent="0.35">
      <c r="A266" t="s">
        <v>243</v>
      </c>
      <c r="B266" t="s">
        <v>281</v>
      </c>
    </row>
    <row r="267" spans="1:2" x14ac:dyDescent="0.35">
      <c r="A267" t="s">
        <v>282</v>
      </c>
      <c r="B267" t="s">
        <v>283</v>
      </c>
    </row>
    <row r="268" spans="1:2" x14ac:dyDescent="0.35">
      <c r="A268" t="s">
        <v>282</v>
      </c>
      <c r="B268" t="s">
        <v>284</v>
      </c>
    </row>
    <row r="269" spans="1:2" x14ac:dyDescent="0.35">
      <c r="A269" t="s">
        <v>282</v>
      </c>
      <c r="B269" t="s">
        <v>285</v>
      </c>
    </row>
    <row r="270" spans="1:2" x14ac:dyDescent="0.35">
      <c r="A270" t="s">
        <v>282</v>
      </c>
      <c r="B270" t="s">
        <v>286</v>
      </c>
    </row>
    <row r="271" spans="1:2" x14ac:dyDescent="0.35">
      <c r="A271" t="s">
        <v>282</v>
      </c>
      <c r="B271" t="s">
        <v>287</v>
      </c>
    </row>
    <row r="272" spans="1:2" x14ac:dyDescent="0.35">
      <c r="A272" t="s">
        <v>282</v>
      </c>
      <c r="B272" t="s">
        <v>288</v>
      </c>
    </row>
    <row r="273" spans="1:2" x14ac:dyDescent="0.35">
      <c r="A273" t="s">
        <v>282</v>
      </c>
      <c r="B273" t="s">
        <v>289</v>
      </c>
    </row>
    <row r="274" spans="1:2" x14ac:dyDescent="0.35">
      <c r="A274" t="s">
        <v>282</v>
      </c>
      <c r="B274" t="s">
        <v>290</v>
      </c>
    </row>
    <row r="275" spans="1:2" x14ac:dyDescent="0.35">
      <c r="A275" t="s">
        <v>291</v>
      </c>
      <c r="B275" t="s">
        <v>292</v>
      </c>
    </row>
    <row r="276" spans="1:2" x14ac:dyDescent="0.35">
      <c r="A276" t="s">
        <v>291</v>
      </c>
      <c r="B276" t="s">
        <v>293</v>
      </c>
    </row>
    <row r="277" spans="1:2" x14ac:dyDescent="0.35">
      <c r="A277" t="s">
        <v>291</v>
      </c>
      <c r="B277" t="s">
        <v>294</v>
      </c>
    </row>
    <row r="278" spans="1:2" x14ac:dyDescent="0.35">
      <c r="A278" t="s">
        <v>291</v>
      </c>
      <c r="B278" t="s">
        <v>295</v>
      </c>
    </row>
    <row r="279" spans="1:2" x14ac:dyDescent="0.35">
      <c r="A279" t="s">
        <v>291</v>
      </c>
      <c r="B279" t="s">
        <v>296</v>
      </c>
    </row>
    <row r="280" spans="1:2" x14ac:dyDescent="0.35">
      <c r="A280" t="s">
        <v>291</v>
      </c>
      <c r="B280" t="s">
        <v>297</v>
      </c>
    </row>
    <row r="281" spans="1:2" x14ac:dyDescent="0.35">
      <c r="A281" t="s">
        <v>291</v>
      </c>
      <c r="B281" t="s">
        <v>298</v>
      </c>
    </row>
    <row r="282" spans="1:2" x14ac:dyDescent="0.35">
      <c r="A282" t="s">
        <v>291</v>
      </c>
      <c r="B282" t="s">
        <v>299</v>
      </c>
    </row>
    <row r="283" spans="1:2" x14ac:dyDescent="0.35">
      <c r="A283" t="s">
        <v>291</v>
      </c>
      <c r="B283" t="s">
        <v>300</v>
      </c>
    </row>
    <row r="284" spans="1:2" x14ac:dyDescent="0.35">
      <c r="A284" t="s">
        <v>301</v>
      </c>
      <c r="B284" t="s">
        <v>302</v>
      </c>
    </row>
    <row r="285" spans="1:2" x14ac:dyDescent="0.35">
      <c r="A285" t="s">
        <v>301</v>
      </c>
      <c r="B285" t="s">
        <v>303</v>
      </c>
    </row>
    <row r="286" spans="1:2" x14ac:dyDescent="0.35">
      <c r="A286" t="s">
        <v>301</v>
      </c>
      <c r="B286" t="s">
        <v>304</v>
      </c>
    </row>
    <row r="287" spans="1:2" x14ac:dyDescent="0.35">
      <c r="A287" t="s">
        <v>301</v>
      </c>
      <c r="B287" t="s">
        <v>305</v>
      </c>
    </row>
    <row r="288" spans="1:2" x14ac:dyDescent="0.35">
      <c r="A288" t="s">
        <v>301</v>
      </c>
      <c r="B288" t="s">
        <v>306</v>
      </c>
    </row>
    <row r="289" spans="1:2" x14ac:dyDescent="0.35">
      <c r="A289" t="s">
        <v>301</v>
      </c>
      <c r="B289" t="s">
        <v>307</v>
      </c>
    </row>
    <row r="290" spans="1:2" x14ac:dyDescent="0.35">
      <c r="A290" t="s">
        <v>301</v>
      </c>
      <c r="B290" t="s">
        <v>308</v>
      </c>
    </row>
    <row r="291" spans="1:2" x14ac:dyDescent="0.35">
      <c r="A291" t="s">
        <v>301</v>
      </c>
      <c r="B291" t="s">
        <v>309</v>
      </c>
    </row>
    <row r="292" spans="1:2" x14ac:dyDescent="0.35">
      <c r="A292" t="s">
        <v>301</v>
      </c>
      <c r="B292" t="s">
        <v>310</v>
      </c>
    </row>
    <row r="293" spans="1:2" x14ac:dyDescent="0.35">
      <c r="A293" t="s">
        <v>301</v>
      </c>
      <c r="B293" t="s">
        <v>311</v>
      </c>
    </row>
    <row r="294" spans="1:2" x14ac:dyDescent="0.35">
      <c r="A294" t="s">
        <v>312</v>
      </c>
      <c r="B294" t="s">
        <v>313</v>
      </c>
    </row>
    <row r="295" spans="1:2" x14ac:dyDescent="0.35">
      <c r="A295" t="s">
        <v>312</v>
      </c>
      <c r="B295" t="s">
        <v>314</v>
      </c>
    </row>
    <row r="296" spans="1:2" x14ac:dyDescent="0.35">
      <c r="A296" t="s">
        <v>312</v>
      </c>
      <c r="B296" t="s">
        <v>315</v>
      </c>
    </row>
    <row r="297" spans="1:2" x14ac:dyDescent="0.35">
      <c r="A297" t="s">
        <v>312</v>
      </c>
      <c r="B297" t="s">
        <v>316</v>
      </c>
    </row>
    <row r="298" spans="1:2" x14ac:dyDescent="0.35">
      <c r="A298" t="s">
        <v>312</v>
      </c>
      <c r="B298" t="s">
        <v>317</v>
      </c>
    </row>
    <row r="299" spans="1:2" x14ac:dyDescent="0.35">
      <c r="A299" t="s">
        <v>312</v>
      </c>
      <c r="B299" t="s">
        <v>318</v>
      </c>
    </row>
    <row r="300" spans="1:2" x14ac:dyDescent="0.35">
      <c r="A300" t="s">
        <v>312</v>
      </c>
      <c r="B300" t="s">
        <v>319</v>
      </c>
    </row>
    <row r="301" spans="1:2" x14ac:dyDescent="0.35">
      <c r="A301" t="s">
        <v>312</v>
      </c>
      <c r="B301" t="s">
        <v>320</v>
      </c>
    </row>
    <row r="302" spans="1:2" x14ac:dyDescent="0.35">
      <c r="A302" t="s">
        <v>312</v>
      </c>
      <c r="B302" t="s">
        <v>321</v>
      </c>
    </row>
    <row r="303" spans="1:2" x14ac:dyDescent="0.35">
      <c r="A303" t="s">
        <v>312</v>
      </c>
      <c r="B303" t="s">
        <v>322</v>
      </c>
    </row>
    <row r="304" spans="1:2" x14ac:dyDescent="0.35">
      <c r="A304" t="s">
        <v>312</v>
      </c>
      <c r="B304" t="s">
        <v>323</v>
      </c>
    </row>
    <row r="305" spans="1:2" x14ac:dyDescent="0.35">
      <c r="A305" t="s">
        <v>312</v>
      </c>
      <c r="B305" t="s">
        <v>324</v>
      </c>
    </row>
    <row r="306" spans="1:2" x14ac:dyDescent="0.35">
      <c r="A306" t="s">
        <v>312</v>
      </c>
      <c r="B306" t="s">
        <v>325</v>
      </c>
    </row>
    <row r="307" spans="1:2" x14ac:dyDescent="0.35">
      <c r="A307" t="s">
        <v>312</v>
      </c>
      <c r="B307" t="s">
        <v>326</v>
      </c>
    </row>
    <row r="308" spans="1:2" x14ac:dyDescent="0.35">
      <c r="A308" t="s">
        <v>312</v>
      </c>
      <c r="B308" t="s">
        <v>327</v>
      </c>
    </row>
    <row r="309" spans="1:2" x14ac:dyDescent="0.35">
      <c r="A309" t="s">
        <v>312</v>
      </c>
      <c r="B309" t="s">
        <v>328</v>
      </c>
    </row>
    <row r="310" spans="1:2" x14ac:dyDescent="0.35">
      <c r="A310" t="s">
        <v>312</v>
      </c>
      <c r="B310" t="s">
        <v>329</v>
      </c>
    </row>
    <row r="311" spans="1:2" x14ac:dyDescent="0.35">
      <c r="A311" t="s">
        <v>312</v>
      </c>
      <c r="B311" t="s">
        <v>330</v>
      </c>
    </row>
    <row r="312" spans="1:2" x14ac:dyDescent="0.35">
      <c r="A312" t="s">
        <v>312</v>
      </c>
      <c r="B312" t="s">
        <v>331</v>
      </c>
    </row>
    <row r="313" spans="1:2" x14ac:dyDescent="0.35">
      <c r="A313" t="s">
        <v>312</v>
      </c>
      <c r="B313" t="s">
        <v>332</v>
      </c>
    </row>
    <row r="314" spans="1:2" x14ac:dyDescent="0.35">
      <c r="A314" t="s">
        <v>312</v>
      </c>
      <c r="B314" t="s">
        <v>333</v>
      </c>
    </row>
    <row r="315" spans="1:2" x14ac:dyDescent="0.35">
      <c r="A315" t="s">
        <v>312</v>
      </c>
      <c r="B315" t="s">
        <v>334</v>
      </c>
    </row>
    <row r="316" spans="1:2" x14ac:dyDescent="0.35">
      <c r="A316" t="s">
        <v>335</v>
      </c>
      <c r="B316" t="s">
        <v>336</v>
      </c>
    </row>
    <row r="317" spans="1:2" x14ac:dyDescent="0.35">
      <c r="A317" t="s">
        <v>335</v>
      </c>
      <c r="B317" t="s">
        <v>337</v>
      </c>
    </row>
    <row r="318" spans="1:2" x14ac:dyDescent="0.35">
      <c r="A318" t="s">
        <v>335</v>
      </c>
      <c r="B318" t="s">
        <v>338</v>
      </c>
    </row>
    <row r="319" spans="1:2" x14ac:dyDescent="0.35">
      <c r="A319" t="s">
        <v>335</v>
      </c>
      <c r="B319" t="s">
        <v>339</v>
      </c>
    </row>
    <row r="320" spans="1:2" x14ac:dyDescent="0.35">
      <c r="A320" t="s">
        <v>335</v>
      </c>
      <c r="B320" t="s">
        <v>340</v>
      </c>
    </row>
    <row r="321" spans="1:2" x14ac:dyDescent="0.35">
      <c r="A321" t="s">
        <v>335</v>
      </c>
      <c r="B321" t="s">
        <v>341</v>
      </c>
    </row>
    <row r="322" spans="1:2" x14ac:dyDescent="0.35">
      <c r="A322" t="s">
        <v>335</v>
      </c>
      <c r="B322" t="s">
        <v>342</v>
      </c>
    </row>
    <row r="323" spans="1:2" x14ac:dyDescent="0.35">
      <c r="A323" t="s">
        <v>335</v>
      </c>
      <c r="B323" t="s">
        <v>343</v>
      </c>
    </row>
    <row r="324" spans="1:2" x14ac:dyDescent="0.35">
      <c r="A324" t="s">
        <v>335</v>
      </c>
      <c r="B324" t="s">
        <v>344</v>
      </c>
    </row>
    <row r="325" spans="1:2" x14ac:dyDescent="0.35">
      <c r="A325" t="s">
        <v>335</v>
      </c>
      <c r="B325" t="s">
        <v>345</v>
      </c>
    </row>
    <row r="326" spans="1:2" x14ac:dyDescent="0.35">
      <c r="A326" t="s">
        <v>335</v>
      </c>
      <c r="B326" t="s">
        <v>346</v>
      </c>
    </row>
    <row r="327" spans="1:2" x14ac:dyDescent="0.35">
      <c r="A327" t="s">
        <v>335</v>
      </c>
      <c r="B327" t="s">
        <v>347</v>
      </c>
    </row>
    <row r="328" spans="1:2" x14ac:dyDescent="0.35">
      <c r="A328" t="s">
        <v>335</v>
      </c>
      <c r="B328" t="s">
        <v>348</v>
      </c>
    </row>
    <row r="329" spans="1:2" x14ac:dyDescent="0.35">
      <c r="A329" t="s">
        <v>335</v>
      </c>
      <c r="B329" t="s">
        <v>349</v>
      </c>
    </row>
    <row r="330" spans="1:2" x14ac:dyDescent="0.35">
      <c r="A330" t="s">
        <v>350</v>
      </c>
      <c r="B330" t="s">
        <v>351</v>
      </c>
    </row>
    <row r="331" spans="1:2" x14ac:dyDescent="0.35">
      <c r="A331" t="s">
        <v>350</v>
      </c>
      <c r="B331" t="s">
        <v>352</v>
      </c>
    </row>
    <row r="332" spans="1:2" x14ac:dyDescent="0.35">
      <c r="A332" t="s">
        <v>350</v>
      </c>
      <c r="B332" t="s">
        <v>353</v>
      </c>
    </row>
    <row r="333" spans="1:2" x14ac:dyDescent="0.35">
      <c r="A333" t="s">
        <v>350</v>
      </c>
      <c r="B333" t="s">
        <v>354</v>
      </c>
    </row>
    <row r="334" spans="1:2" x14ac:dyDescent="0.35">
      <c r="A334" t="s">
        <v>350</v>
      </c>
      <c r="B334" t="s">
        <v>355</v>
      </c>
    </row>
    <row r="335" spans="1:2" x14ac:dyDescent="0.35">
      <c r="A335" t="s">
        <v>350</v>
      </c>
      <c r="B335" t="s">
        <v>356</v>
      </c>
    </row>
    <row r="336" spans="1:2" x14ac:dyDescent="0.35">
      <c r="A336" t="s">
        <v>350</v>
      </c>
      <c r="B336" t="s">
        <v>357</v>
      </c>
    </row>
    <row r="337" spans="1:2" x14ac:dyDescent="0.35">
      <c r="A337" t="s">
        <v>350</v>
      </c>
      <c r="B337" t="s">
        <v>358</v>
      </c>
    </row>
    <row r="338" spans="1:2" x14ac:dyDescent="0.35">
      <c r="A338" t="s">
        <v>350</v>
      </c>
      <c r="B338" t="s">
        <v>359</v>
      </c>
    </row>
    <row r="339" spans="1:2" x14ac:dyDescent="0.35">
      <c r="A339" t="s">
        <v>350</v>
      </c>
      <c r="B339" t="s">
        <v>360</v>
      </c>
    </row>
    <row r="340" spans="1:2" x14ac:dyDescent="0.35">
      <c r="A340" t="s">
        <v>350</v>
      </c>
      <c r="B340" t="s">
        <v>361</v>
      </c>
    </row>
    <row r="341" spans="1:2" x14ac:dyDescent="0.35">
      <c r="A341" t="s">
        <v>350</v>
      </c>
      <c r="B341" t="s">
        <v>362</v>
      </c>
    </row>
    <row r="342" spans="1:2" x14ac:dyDescent="0.35">
      <c r="A342" t="s">
        <v>350</v>
      </c>
      <c r="B342" t="s">
        <v>363</v>
      </c>
    </row>
    <row r="343" spans="1:2" x14ac:dyDescent="0.35">
      <c r="A343" t="s">
        <v>350</v>
      </c>
      <c r="B343" t="s">
        <v>364</v>
      </c>
    </row>
    <row r="344" spans="1:2" x14ac:dyDescent="0.35">
      <c r="A344" t="s">
        <v>350</v>
      </c>
      <c r="B344" t="s">
        <v>366</v>
      </c>
    </row>
    <row r="345" spans="1:2" x14ac:dyDescent="0.35">
      <c r="A345" t="s">
        <v>350</v>
      </c>
      <c r="B345" t="s">
        <v>367</v>
      </c>
    </row>
    <row r="346" spans="1:2" x14ac:dyDescent="0.35">
      <c r="A346" t="s">
        <v>350</v>
      </c>
      <c r="B346" t="s">
        <v>368</v>
      </c>
    </row>
    <row r="347" spans="1:2" x14ac:dyDescent="0.35">
      <c r="A347" t="s">
        <v>350</v>
      </c>
      <c r="B347" t="s">
        <v>369</v>
      </c>
    </row>
    <row r="348" spans="1:2" x14ac:dyDescent="0.35">
      <c r="A348" t="s">
        <v>350</v>
      </c>
      <c r="B348" t="s">
        <v>370</v>
      </c>
    </row>
    <row r="349" spans="1:2" x14ac:dyDescent="0.35">
      <c r="A349" t="s">
        <v>350</v>
      </c>
      <c r="B349" t="s">
        <v>371</v>
      </c>
    </row>
    <row r="350" spans="1:2" x14ac:dyDescent="0.35">
      <c r="A350" t="s">
        <v>350</v>
      </c>
      <c r="B350" t="s">
        <v>372</v>
      </c>
    </row>
    <row r="351" spans="1:2" x14ac:dyDescent="0.35">
      <c r="A351" t="s">
        <v>350</v>
      </c>
      <c r="B351" t="s">
        <v>373</v>
      </c>
    </row>
    <row r="352" spans="1:2" x14ac:dyDescent="0.35">
      <c r="A352" t="s">
        <v>350</v>
      </c>
      <c r="B352" t="s">
        <v>374</v>
      </c>
    </row>
    <row r="353" spans="1:2" x14ac:dyDescent="0.35">
      <c r="A353" t="s">
        <v>350</v>
      </c>
      <c r="B353" t="s">
        <v>375</v>
      </c>
    </row>
    <row r="354" spans="1:2" x14ac:dyDescent="0.35">
      <c r="A354" t="s">
        <v>350</v>
      </c>
      <c r="B354" t="s">
        <v>376</v>
      </c>
    </row>
    <row r="355" spans="1:2" x14ac:dyDescent="0.35">
      <c r="A355" t="s">
        <v>350</v>
      </c>
      <c r="B355" t="s">
        <v>377</v>
      </c>
    </row>
    <row r="356" spans="1:2" x14ac:dyDescent="0.35">
      <c r="A356" t="s">
        <v>350</v>
      </c>
      <c r="B356" t="s">
        <v>378</v>
      </c>
    </row>
    <row r="357" spans="1:2" x14ac:dyDescent="0.35">
      <c r="A357" t="s">
        <v>379</v>
      </c>
      <c r="B357" t="s">
        <v>380</v>
      </c>
    </row>
    <row r="358" spans="1:2" x14ac:dyDescent="0.35">
      <c r="A358" t="s">
        <v>379</v>
      </c>
      <c r="B358" t="s">
        <v>381</v>
      </c>
    </row>
    <row r="359" spans="1:2" x14ac:dyDescent="0.35">
      <c r="A359" t="s">
        <v>379</v>
      </c>
      <c r="B359" t="s">
        <v>382</v>
      </c>
    </row>
    <row r="360" spans="1:2" x14ac:dyDescent="0.35">
      <c r="A360" t="s">
        <v>379</v>
      </c>
      <c r="B360" t="s">
        <v>383</v>
      </c>
    </row>
    <row r="361" spans="1:2" x14ac:dyDescent="0.35">
      <c r="A361" t="s">
        <v>379</v>
      </c>
      <c r="B361" t="s">
        <v>384</v>
      </c>
    </row>
    <row r="362" spans="1:2" x14ac:dyDescent="0.35">
      <c r="A362" t="s">
        <v>379</v>
      </c>
      <c r="B362" t="s">
        <v>385</v>
      </c>
    </row>
    <row r="363" spans="1:2" x14ac:dyDescent="0.35">
      <c r="A363" t="s">
        <v>379</v>
      </c>
      <c r="B363" t="s">
        <v>386</v>
      </c>
    </row>
    <row r="364" spans="1:2" x14ac:dyDescent="0.35">
      <c r="A364" t="s">
        <v>379</v>
      </c>
      <c r="B364" t="s">
        <v>387</v>
      </c>
    </row>
    <row r="365" spans="1:2" x14ac:dyDescent="0.35">
      <c r="A365" t="s">
        <v>379</v>
      </c>
      <c r="B365" t="s">
        <v>388</v>
      </c>
    </row>
    <row r="366" spans="1:2" x14ac:dyDescent="0.35">
      <c r="A366" t="s">
        <v>379</v>
      </c>
      <c r="B366" t="s">
        <v>389</v>
      </c>
    </row>
    <row r="367" spans="1:2" x14ac:dyDescent="0.35">
      <c r="A367" t="s">
        <v>390</v>
      </c>
      <c r="B367" t="s">
        <v>391</v>
      </c>
    </row>
    <row r="368" spans="1:2" x14ac:dyDescent="0.35">
      <c r="A368" t="s">
        <v>390</v>
      </c>
      <c r="B368" t="s">
        <v>392</v>
      </c>
    </row>
    <row r="369" spans="1:2" x14ac:dyDescent="0.35">
      <c r="A369" t="s">
        <v>390</v>
      </c>
      <c r="B369" t="s">
        <v>393</v>
      </c>
    </row>
    <row r="370" spans="1:2" x14ac:dyDescent="0.35">
      <c r="A370" t="s">
        <v>390</v>
      </c>
      <c r="B370" t="s">
        <v>394</v>
      </c>
    </row>
    <row r="371" spans="1:2" x14ac:dyDescent="0.35">
      <c r="A371" t="s">
        <v>390</v>
      </c>
      <c r="B371" t="s">
        <v>395</v>
      </c>
    </row>
    <row r="372" spans="1:2" x14ac:dyDescent="0.35">
      <c r="A372" t="s">
        <v>396</v>
      </c>
      <c r="B372" t="s">
        <v>397</v>
      </c>
    </row>
    <row r="373" spans="1:2" x14ac:dyDescent="0.35">
      <c r="A373" t="s">
        <v>396</v>
      </c>
      <c r="B373" t="s">
        <v>398</v>
      </c>
    </row>
    <row r="374" spans="1:2" x14ac:dyDescent="0.35">
      <c r="A374" t="s">
        <v>396</v>
      </c>
      <c r="B374" t="s">
        <v>399</v>
      </c>
    </row>
    <row r="375" spans="1:2" x14ac:dyDescent="0.35">
      <c r="A375" t="s">
        <v>396</v>
      </c>
      <c r="B375" t="s">
        <v>400</v>
      </c>
    </row>
    <row r="376" spans="1:2" x14ac:dyDescent="0.35">
      <c r="A376" t="s">
        <v>396</v>
      </c>
      <c r="B376" t="s">
        <v>401</v>
      </c>
    </row>
    <row r="377" spans="1:2" x14ac:dyDescent="0.35">
      <c r="A377" t="s">
        <v>396</v>
      </c>
      <c r="B377" t="s">
        <v>402</v>
      </c>
    </row>
    <row r="378" spans="1:2" x14ac:dyDescent="0.35">
      <c r="A378" t="s">
        <v>396</v>
      </c>
      <c r="B378" t="s">
        <v>403</v>
      </c>
    </row>
    <row r="379" spans="1:2" x14ac:dyDescent="0.35">
      <c r="A379" t="s">
        <v>396</v>
      </c>
      <c r="B379" t="s">
        <v>404</v>
      </c>
    </row>
    <row r="380" spans="1:2" x14ac:dyDescent="0.35">
      <c r="A380" t="s">
        <v>396</v>
      </c>
      <c r="B380" t="s">
        <v>405</v>
      </c>
    </row>
    <row r="381" spans="1:2" x14ac:dyDescent="0.35">
      <c r="A381" t="s">
        <v>396</v>
      </c>
      <c r="B381" t="s">
        <v>406</v>
      </c>
    </row>
    <row r="382" spans="1:2" x14ac:dyDescent="0.35">
      <c r="A382" t="s">
        <v>396</v>
      </c>
      <c r="B382" t="s">
        <v>407</v>
      </c>
    </row>
    <row r="383" spans="1:2" x14ac:dyDescent="0.35">
      <c r="A383" t="s">
        <v>396</v>
      </c>
      <c r="B383" t="s">
        <v>408</v>
      </c>
    </row>
    <row r="384" spans="1:2" x14ac:dyDescent="0.35">
      <c r="A384" t="s">
        <v>396</v>
      </c>
      <c r="B384" t="s">
        <v>409</v>
      </c>
    </row>
    <row r="385" spans="1:2" x14ac:dyDescent="0.35">
      <c r="A385" t="s">
        <v>396</v>
      </c>
      <c r="B385" t="s">
        <v>410</v>
      </c>
    </row>
    <row r="386" spans="1:2" x14ac:dyDescent="0.35">
      <c r="A386" t="s">
        <v>396</v>
      </c>
      <c r="B386" t="s">
        <v>411</v>
      </c>
    </row>
    <row r="387" spans="1:2" x14ac:dyDescent="0.35">
      <c r="A387" t="s">
        <v>412</v>
      </c>
      <c r="B387" t="s">
        <v>413</v>
      </c>
    </row>
    <row r="388" spans="1:2" x14ac:dyDescent="0.35">
      <c r="A388" t="s">
        <v>412</v>
      </c>
      <c r="B388" t="s">
        <v>414</v>
      </c>
    </row>
    <row r="389" spans="1:2" x14ac:dyDescent="0.35">
      <c r="A389" t="s">
        <v>412</v>
      </c>
      <c r="B389" t="s">
        <v>415</v>
      </c>
    </row>
    <row r="390" spans="1:2" x14ac:dyDescent="0.35">
      <c r="A390" t="s">
        <v>412</v>
      </c>
      <c r="B390" t="s">
        <v>416</v>
      </c>
    </row>
    <row r="391" spans="1:2" x14ac:dyDescent="0.35">
      <c r="A391" t="s">
        <v>412</v>
      </c>
      <c r="B391" t="s">
        <v>417</v>
      </c>
    </row>
    <row r="392" spans="1:2" x14ac:dyDescent="0.35">
      <c r="A392" t="s">
        <v>412</v>
      </c>
      <c r="B392" t="s">
        <v>418</v>
      </c>
    </row>
    <row r="393" spans="1:2" x14ac:dyDescent="0.35">
      <c r="A393" t="s">
        <v>412</v>
      </c>
      <c r="B393" t="s">
        <v>419</v>
      </c>
    </row>
    <row r="394" spans="1:2" x14ac:dyDescent="0.35">
      <c r="A394" t="s">
        <v>412</v>
      </c>
      <c r="B394" t="s">
        <v>420</v>
      </c>
    </row>
    <row r="395" spans="1:2" x14ac:dyDescent="0.35">
      <c r="A395" t="s">
        <v>412</v>
      </c>
      <c r="B395" t="s">
        <v>421</v>
      </c>
    </row>
    <row r="396" spans="1:2" x14ac:dyDescent="0.35">
      <c r="A396" t="s">
        <v>412</v>
      </c>
      <c r="B396" t="s">
        <v>422</v>
      </c>
    </row>
    <row r="397" spans="1:2" x14ac:dyDescent="0.35">
      <c r="A397" t="s">
        <v>412</v>
      </c>
      <c r="B397" t="s">
        <v>423</v>
      </c>
    </row>
    <row r="398" spans="1:2" x14ac:dyDescent="0.35">
      <c r="A398" t="s">
        <v>412</v>
      </c>
      <c r="B398" t="s">
        <v>424</v>
      </c>
    </row>
    <row r="399" spans="1:2" x14ac:dyDescent="0.35">
      <c r="A399" t="s">
        <v>412</v>
      </c>
      <c r="B399" t="s">
        <v>425</v>
      </c>
    </row>
    <row r="400" spans="1:2" x14ac:dyDescent="0.35">
      <c r="A400" t="s">
        <v>426</v>
      </c>
      <c r="B400" t="s">
        <v>427</v>
      </c>
    </row>
    <row r="401" spans="1:2" x14ac:dyDescent="0.35">
      <c r="A401" t="s">
        <v>426</v>
      </c>
      <c r="B401" t="s">
        <v>428</v>
      </c>
    </row>
    <row r="402" spans="1:2" x14ac:dyDescent="0.35">
      <c r="A402" t="s">
        <v>426</v>
      </c>
      <c r="B402" t="s">
        <v>429</v>
      </c>
    </row>
    <row r="403" spans="1:2" x14ac:dyDescent="0.35">
      <c r="A403" t="s">
        <v>426</v>
      </c>
      <c r="B403" t="s">
        <v>430</v>
      </c>
    </row>
    <row r="404" spans="1:2" x14ac:dyDescent="0.35">
      <c r="A404" t="s">
        <v>426</v>
      </c>
      <c r="B404" t="s">
        <v>431</v>
      </c>
    </row>
    <row r="405" spans="1:2" x14ac:dyDescent="0.35">
      <c r="A405" t="s">
        <v>426</v>
      </c>
      <c r="B405" t="s">
        <v>432</v>
      </c>
    </row>
    <row r="406" spans="1:2" x14ac:dyDescent="0.35">
      <c r="A406" t="s">
        <v>426</v>
      </c>
      <c r="B406" t="s">
        <v>433</v>
      </c>
    </row>
    <row r="407" spans="1:2" x14ac:dyDescent="0.35">
      <c r="A407" t="s">
        <v>426</v>
      </c>
      <c r="B407" t="s">
        <v>434</v>
      </c>
    </row>
    <row r="408" spans="1:2" x14ac:dyDescent="0.35">
      <c r="A408" t="s">
        <v>426</v>
      </c>
      <c r="B408" t="s">
        <v>435</v>
      </c>
    </row>
    <row r="409" spans="1:2" x14ac:dyDescent="0.35">
      <c r="A409" t="s">
        <v>426</v>
      </c>
      <c r="B409" t="s">
        <v>436</v>
      </c>
    </row>
    <row r="410" spans="1:2" x14ac:dyDescent="0.35">
      <c r="A410" t="s">
        <v>426</v>
      </c>
      <c r="B410" t="s">
        <v>437</v>
      </c>
    </row>
    <row r="411" spans="1:2" x14ac:dyDescent="0.35">
      <c r="A411" t="s">
        <v>426</v>
      </c>
      <c r="B411" t="s">
        <v>438</v>
      </c>
    </row>
    <row r="412" spans="1:2" x14ac:dyDescent="0.35">
      <c r="A412" t="s">
        <v>426</v>
      </c>
      <c r="B412" t="s">
        <v>439</v>
      </c>
    </row>
    <row r="413" spans="1:2" x14ac:dyDescent="0.35">
      <c r="A413" t="s">
        <v>426</v>
      </c>
      <c r="B413" t="s">
        <v>440</v>
      </c>
    </row>
    <row r="414" spans="1:2" x14ac:dyDescent="0.35">
      <c r="A414" t="s">
        <v>426</v>
      </c>
      <c r="B414" t="s">
        <v>441</v>
      </c>
    </row>
    <row r="415" spans="1:2" x14ac:dyDescent="0.35">
      <c r="A415" t="s">
        <v>426</v>
      </c>
      <c r="B415" t="s">
        <v>442</v>
      </c>
    </row>
    <row r="416" spans="1:2" x14ac:dyDescent="0.35">
      <c r="A416" t="s">
        <v>426</v>
      </c>
      <c r="B416" t="s">
        <v>443</v>
      </c>
    </row>
    <row r="417" spans="1:2" x14ac:dyDescent="0.35">
      <c r="A417" t="s">
        <v>426</v>
      </c>
      <c r="B417" t="s">
        <v>444</v>
      </c>
    </row>
    <row r="418" spans="1:2" x14ac:dyDescent="0.35">
      <c r="A418" t="s">
        <v>426</v>
      </c>
      <c r="B418" t="s">
        <v>445</v>
      </c>
    </row>
    <row r="419" spans="1:2" x14ac:dyDescent="0.35">
      <c r="A419" t="s">
        <v>426</v>
      </c>
      <c r="B419" t="s">
        <v>446</v>
      </c>
    </row>
    <row r="420" spans="1:2" x14ac:dyDescent="0.35">
      <c r="A420" t="s">
        <v>426</v>
      </c>
      <c r="B420" t="s">
        <v>447</v>
      </c>
    </row>
    <row r="421" spans="1:2" x14ac:dyDescent="0.35">
      <c r="A421" t="s">
        <v>426</v>
      </c>
      <c r="B421" t="s">
        <v>572</v>
      </c>
    </row>
    <row r="422" spans="1:2" x14ac:dyDescent="0.35">
      <c r="A422" t="s">
        <v>426</v>
      </c>
      <c r="B422" t="s">
        <v>449</v>
      </c>
    </row>
    <row r="423" spans="1:2" x14ac:dyDescent="0.35">
      <c r="A423" t="s">
        <v>426</v>
      </c>
      <c r="B423" t="s">
        <v>450</v>
      </c>
    </row>
    <row r="424" spans="1:2" x14ac:dyDescent="0.35">
      <c r="A424" t="s">
        <v>451</v>
      </c>
      <c r="B424" t="s">
        <v>452</v>
      </c>
    </row>
    <row r="425" spans="1:2" x14ac:dyDescent="0.35">
      <c r="A425" t="s">
        <v>451</v>
      </c>
      <c r="B425" t="s">
        <v>453</v>
      </c>
    </row>
    <row r="426" spans="1:2" x14ac:dyDescent="0.35">
      <c r="A426" t="s">
        <v>451</v>
      </c>
      <c r="B426" t="s">
        <v>454</v>
      </c>
    </row>
    <row r="427" spans="1:2" x14ac:dyDescent="0.35">
      <c r="A427" t="s">
        <v>451</v>
      </c>
      <c r="B427" t="s">
        <v>455</v>
      </c>
    </row>
    <row r="428" spans="1:2" x14ac:dyDescent="0.35">
      <c r="A428" t="s">
        <v>451</v>
      </c>
      <c r="B428" t="s">
        <v>456</v>
      </c>
    </row>
    <row r="429" spans="1:2" x14ac:dyDescent="0.35">
      <c r="A429" t="s">
        <v>451</v>
      </c>
      <c r="B429" t="s">
        <v>457</v>
      </c>
    </row>
    <row r="430" spans="1:2" x14ac:dyDescent="0.35">
      <c r="A430" t="s">
        <v>451</v>
      </c>
      <c r="B430" t="s">
        <v>458</v>
      </c>
    </row>
    <row r="431" spans="1:2" x14ac:dyDescent="0.35">
      <c r="A431" t="s">
        <v>451</v>
      </c>
      <c r="B431" t="s">
        <v>459</v>
      </c>
    </row>
    <row r="432" spans="1:2" x14ac:dyDescent="0.35">
      <c r="A432" t="s">
        <v>451</v>
      </c>
      <c r="B432" t="s">
        <v>460</v>
      </c>
    </row>
    <row r="433" spans="1:2" x14ac:dyDescent="0.35">
      <c r="A433" t="s">
        <v>451</v>
      </c>
      <c r="B433" t="s">
        <v>461</v>
      </c>
    </row>
    <row r="434" spans="1:2" x14ac:dyDescent="0.35">
      <c r="A434" t="s">
        <v>451</v>
      </c>
      <c r="B434" t="s">
        <v>462</v>
      </c>
    </row>
    <row r="435" spans="1:2" x14ac:dyDescent="0.35">
      <c r="A435" t="s">
        <v>451</v>
      </c>
      <c r="B435" t="s">
        <v>463</v>
      </c>
    </row>
    <row r="436" spans="1:2" x14ac:dyDescent="0.35">
      <c r="A436" t="s">
        <v>451</v>
      </c>
      <c r="B436" t="s">
        <v>464</v>
      </c>
    </row>
    <row r="437" spans="1:2" x14ac:dyDescent="0.35">
      <c r="A437" t="s">
        <v>451</v>
      </c>
      <c r="B437" t="s">
        <v>465</v>
      </c>
    </row>
    <row r="438" spans="1:2" x14ac:dyDescent="0.35">
      <c r="A438" t="s">
        <v>451</v>
      </c>
      <c r="B438" t="s">
        <v>466</v>
      </c>
    </row>
    <row r="439" spans="1:2" x14ac:dyDescent="0.35">
      <c r="A439" t="s">
        <v>451</v>
      </c>
      <c r="B439" t="s">
        <v>467</v>
      </c>
    </row>
    <row r="440" spans="1:2" x14ac:dyDescent="0.35">
      <c r="A440" t="s">
        <v>451</v>
      </c>
      <c r="B440" t="s">
        <v>468</v>
      </c>
    </row>
    <row r="441" spans="1:2" x14ac:dyDescent="0.35">
      <c r="A441" t="s">
        <v>469</v>
      </c>
      <c r="B441" t="s">
        <v>470</v>
      </c>
    </row>
    <row r="442" spans="1:2" x14ac:dyDescent="0.35">
      <c r="A442" t="s">
        <v>469</v>
      </c>
      <c r="B442" t="s">
        <v>471</v>
      </c>
    </row>
    <row r="443" spans="1:2" x14ac:dyDescent="0.35">
      <c r="A443" t="s">
        <v>469</v>
      </c>
      <c r="B443" t="s">
        <v>472</v>
      </c>
    </row>
    <row r="444" spans="1:2" x14ac:dyDescent="0.35">
      <c r="A444" t="s">
        <v>469</v>
      </c>
      <c r="B444" t="s">
        <v>473</v>
      </c>
    </row>
    <row r="445" spans="1:2" x14ac:dyDescent="0.35">
      <c r="A445" t="s">
        <v>469</v>
      </c>
      <c r="B445" t="s">
        <v>474</v>
      </c>
    </row>
    <row r="446" spans="1:2" x14ac:dyDescent="0.35">
      <c r="A446" t="s">
        <v>469</v>
      </c>
      <c r="B446" t="s">
        <v>475</v>
      </c>
    </row>
    <row r="447" spans="1:2" x14ac:dyDescent="0.35">
      <c r="A447" t="s">
        <v>476</v>
      </c>
      <c r="B447" t="s">
        <v>477</v>
      </c>
    </row>
    <row r="448" spans="1:2" x14ac:dyDescent="0.35">
      <c r="A448" t="s">
        <v>476</v>
      </c>
      <c r="B448" t="s">
        <v>478</v>
      </c>
    </row>
    <row r="449" spans="1:2" x14ac:dyDescent="0.35">
      <c r="A449" t="s">
        <v>476</v>
      </c>
      <c r="B449" t="s">
        <v>479</v>
      </c>
    </row>
    <row r="450" spans="1:2" x14ac:dyDescent="0.35">
      <c r="A450" t="s">
        <v>476</v>
      </c>
      <c r="B450" t="s">
        <v>480</v>
      </c>
    </row>
    <row r="451" spans="1:2" x14ac:dyDescent="0.35">
      <c r="A451" t="s">
        <v>476</v>
      </c>
      <c r="B451" t="s">
        <v>573</v>
      </c>
    </row>
    <row r="452" spans="1:2" x14ac:dyDescent="0.35">
      <c r="A452" t="s">
        <v>476</v>
      </c>
      <c r="B452" t="s">
        <v>482</v>
      </c>
    </row>
    <row r="453" spans="1:2" x14ac:dyDescent="0.35">
      <c r="A453" t="s">
        <v>483</v>
      </c>
      <c r="B453" t="s">
        <v>574</v>
      </c>
    </row>
    <row r="454" spans="1:2" x14ac:dyDescent="0.35">
      <c r="A454" t="s">
        <v>483</v>
      </c>
      <c r="B454" t="s">
        <v>485</v>
      </c>
    </row>
    <row r="455" spans="1:2" x14ac:dyDescent="0.35">
      <c r="A455" t="s">
        <v>483</v>
      </c>
      <c r="B455" t="s">
        <v>486</v>
      </c>
    </row>
    <row r="456" spans="1:2" x14ac:dyDescent="0.35">
      <c r="A456" t="s">
        <v>483</v>
      </c>
      <c r="B456" t="s">
        <v>487</v>
      </c>
    </row>
    <row r="457" spans="1:2" x14ac:dyDescent="0.35">
      <c r="A457" t="s">
        <v>483</v>
      </c>
      <c r="B457" t="s">
        <v>488</v>
      </c>
    </row>
    <row r="458" spans="1:2" x14ac:dyDescent="0.35">
      <c r="A458" t="s">
        <v>483</v>
      </c>
      <c r="B458" t="s">
        <v>489</v>
      </c>
    </row>
    <row r="459" spans="1:2" x14ac:dyDescent="0.35">
      <c r="A459" t="s">
        <v>483</v>
      </c>
      <c r="B459" t="s">
        <v>490</v>
      </c>
    </row>
    <row r="460" spans="1:2" x14ac:dyDescent="0.35">
      <c r="A460" t="s">
        <v>483</v>
      </c>
      <c r="B460" t="s">
        <v>491</v>
      </c>
    </row>
    <row r="461" spans="1:2" x14ac:dyDescent="0.35">
      <c r="A461" t="s">
        <v>483</v>
      </c>
      <c r="B461" t="s">
        <v>492</v>
      </c>
    </row>
    <row r="462" spans="1:2" x14ac:dyDescent="0.35">
      <c r="A462" t="s">
        <v>483</v>
      </c>
      <c r="B462" t="s">
        <v>493</v>
      </c>
    </row>
    <row r="463" spans="1:2" x14ac:dyDescent="0.35">
      <c r="A463" t="s">
        <v>483</v>
      </c>
      <c r="B463" t="s">
        <v>494</v>
      </c>
    </row>
    <row r="464" spans="1:2" x14ac:dyDescent="0.35">
      <c r="A464" t="s">
        <v>495</v>
      </c>
      <c r="B464" t="s">
        <v>496</v>
      </c>
    </row>
    <row r="465" spans="1:2" x14ac:dyDescent="0.35">
      <c r="A465" t="s">
        <v>495</v>
      </c>
      <c r="B465" t="s">
        <v>497</v>
      </c>
    </row>
    <row r="466" spans="1:2" x14ac:dyDescent="0.35">
      <c r="A466" t="s">
        <v>495</v>
      </c>
      <c r="B466" t="s">
        <v>498</v>
      </c>
    </row>
    <row r="467" spans="1:2" x14ac:dyDescent="0.35">
      <c r="A467" t="s">
        <v>495</v>
      </c>
      <c r="B467" t="s">
        <v>499</v>
      </c>
    </row>
    <row r="468" spans="1:2" x14ac:dyDescent="0.35">
      <c r="A468" t="s">
        <v>495</v>
      </c>
      <c r="B468" t="s">
        <v>500</v>
      </c>
    </row>
    <row r="469" spans="1:2" x14ac:dyDescent="0.35">
      <c r="A469" t="s">
        <v>495</v>
      </c>
      <c r="B469" t="s">
        <v>501</v>
      </c>
    </row>
    <row r="470" spans="1:2" x14ac:dyDescent="0.35">
      <c r="A470" t="s">
        <v>495</v>
      </c>
      <c r="B470" t="s">
        <v>502</v>
      </c>
    </row>
    <row r="471" spans="1:2" x14ac:dyDescent="0.35">
      <c r="A471" t="s">
        <v>495</v>
      </c>
      <c r="B471" t="s">
        <v>503</v>
      </c>
    </row>
    <row r="472" spans="1:2" x14ac:dyDescent="0.35">
      <c r="A472" t="s">
        <v>495</v>
      </c>
      <c r="B472" t="s">
        <v>504</v>
      </c>
    </row>
    <row r="473" spans="1:2" x14ac:dyDescent="0.35">
      <c r="A473" t="s">
        <v>495</v>
      </c>
      <c r="B473" t="s">
        <v>505</v>
      </c>
    </row>
    <row r="474" spans="1:2" x14ac:dyDescent="0.35">
      <c r="A474" t="s">
        <v>506</v>
      </c>
      <c r="B474" t="s">
        <v>507</v>
      </c>
    </row>
    <row r="475" spans="1:2" x14ac:dyDescent="0.35">
      <c r="A475" t="s">
        <v>506</v>
      </c>
      <c r="B475" t="s">
        <v>508</v>
      </c>
    </row>
    <row r="476" spans="1:2" x14ac:dyDescent="0.35">
      <c r="A476" t="s">
        <v>506</v>
      </c>
      <c r="B476" t="s">
        <v>509</v>
      </c>
    </row>
    <row r="477" spans="1:2" x14ac:dyDescent="0.35">
      <c r="A477" t="s">
        <v>506</v>
      </c>
      <c r="B477" t="s">
        <v>510</v>
      </c>
    </row>
    <row r="478" spans="1:2" x14ac:dyDescent="0.35">
      <c r="A478" t="s">
        <v>506</v>
      </c>
      <c r="B478" t="s">
        <v>511</v>
      </c>
    </row>
    <row r="479" spans="1:2" x14ac:dyDescent="0.35">
      <c r="A479" t="s">
        <v>506</v>
      </c>
      <c r="B479" t="s">
        <v>512</v>
      </c>
    </row>
    <row r="480" spans="1:2" x14ac:dyDescent="0.35">
      <c r="A480" t="s">
        <v>506</v>
      </c>
      <c r="B480" t="s">
        <v>513</v>
      </c>
    </row>
    <row r="481" spans="1:2" x14ac:dyDescent="0.35">
      <c r="A481" t="s">
        <v>514</v>
      </c>
      <c r="B481" t="s">
        <v>515</v>
      </c>
    </row>
    <row r="482" spans="1:2" x14ac:dyDescent="0.35">
      <c r="A482" t="s">
        <v>514</v>
      </c>
      <c r="B482" t="s">
        <v>516</v>
      </c>
    </row>
    <row r="483" spans="1:2" x14ac:dyDescent="0.35">
      <c r="A483" t="s">
        <v>514</v>
      </c>
      <c r="B483" t="s">
        <v>517</v>
      </c>
    </row>
    <row r="484" spans="1:2" x14ac:dyDescent="0.35">
      <c r="A484" t="s">
        <v>514</v>
      </c>
      <c r="B484" t="s">
        <v>518</v>
      </c>
    </row>
    <row r="485" spans="1:2" x14ac:dyDescent="0.35">
      <c r="A485" t="s">
        <v>514</v>
      </c>
      <c r="B485" t="s">
        <v>519</v>
      </c>
    </row>
    <row r="486" spans="1:2" x14ac:dyDescent="0.35">
      <c r="A486" t="s">
        <v>514</v>
      </c>
      <c r="B486" t="s">
        <v>520</v>
      </c>
    </row>
    <row r="487" spans="1:2" x14ac:dyDescent="0.35">
      <c r="A487" t="s">
        <v>521</v>
      </c>
      <c r="B487" t="s">
        <v>522</v>
      </c>
    </row>
    <row r="488" spans="1:2" x14ac:dyDescent="0.35">
      <c r="A488" t="s">
        <v>521</v>
      </c>
      <c r="B488" t="s">
        <v>523</v>
      </c>
    </row>
    <row r="489" spans="1:2" x14ac:dyDescent="0.35">
      <c r="A489" t="s">
        <v>521</v>
      </c>
      <c r="B489" t="s">
        <v>524</v>
      </c>
    </row>
    <row r="490" spans="1:2" x14ac:dyDescent="0.35">
      <c r="A490" t="s">
        <v>521</v>
      </c>
      <c r="B490" t="s">
        <v>525</v>
      </c>
    </row>
    <row r="491" spans="1:2" x14ac:dyDescent="0.35">
      <c r="A491" t="s">
        <v>521</v>
      </c>
      <c r="B491" t="s">
        <v>526</v>
      </c>
    </row>
    <row r="492" spans="1:2" x14ac:dyDescent="0.35">
      <c r="A492" t="s">
        <v>521</v>
      </c>
      <c r="B492" t="s">
        <v>527</v>
      </c>
    </row>
    <row r="493" spans="1:2" x14ac:dyDescent="0.35">
      <c r="A493" t="s">
        <v>521</v>
      </c>
      <c r="B493" t="s">
        <v>528</v>
      </c>
    </row>
    <row r="494" spans="1:2" x14ac:dyDescent="0.35">
      <c r="A494" t="s">
        <v>521</v>
      </c>
      <c r="B494" t="s">
        <v>529</v>
      </c>
    </row>
    <row r="495" spans="1:2" x14ac:dyDescent="0.35">
      <c r="A495" t="s">
        <v>521</v>
      </c>
      <c r="B495" t="s">
        <v>530</v>
      </c>
    </row>
    <row r="496" spans="1:2" x14ac:dyDescent="0.35">
      <c r="A496" t="s">
        <v>531</v>
      </c>
      <c r="B496" t="s">
        <v>532</v>
      </c>
    </row>
    <row r="497" spans="1:2" x14ac:dyDescent="0.35">
      <c r="A497" t="s">
        <v>531</v>
      </c>
      <c r="B497" t="s">
        <v>533</v>
      </c>
    </row>
    <row r="498" spans="1:2" x14ac:dyDescent="0.35">
      <c r="A498" t="s">
        <v>531</v>
      </c>
      <c r="B498" t="s">
        <v>534</v>
      </c>
    </row>
    <row r="499" spans="1:2" x14ac:dyDescent="0.35">
      <c r="A499" t="s">
        <v>531</v>
      </c>
      <c r="B499" t="s">
        <v>535</v>
      </c>
    </row>
    <row r="500" spans="1:2" x14ac:dyDescent="0.35">
      <c r="A500" t="s">
        <v>536</v>
      </c>
      <c r="B500" t="s">
        <v>537</v>
      </c>
    </row>
    <row r="501" spans="1:2" x14ac:dyDescent="0.35">
      <c r="A501" t="s">
        <v>536</v>
      </c>
      <c r="B501" t="s">
        <v>538</v>
      </c>
    </row>
    <row r="502" spans="1:2" x14ac:dyDescent="0.35">
      <c r="A502" t="s">
        <v>536</v>
      </c>
      <c r="B502" t="s">
        <v>539</v>
      </c>
    </row>
    <row r="503" spans="1:2" x14ac:dyDescent="0.35">
      <c r="A503" t="s">
        <v>536</v>
      </c>
      <c r="B503" t="s">
        <v>540</v>
      </c>
    </row>
    <row r="504" spans="1:2" x14ac:dyDescent="0.35">
      <c r="A504" t="s">
        <v>536</v>
      </c>
      <c r="B504" t="s">
        <v>541</v>
      </c>
    </row>
    <row r="505" spans="1:2" x14ac:dyDescent="0.35">
      <c r="A505" t="s">
        <v>536</v>
      </c>
      <c r="B505" t="s">
        <v>542</v>
      </c>
    </row>
    <row r="506" spans="1:2" x14ac:dyDescent="0.35">
      <c r="A506" t="s">
        <v>536</v>
      </c>
      <c r="B506" t="s">
        <v>543</v>
      </c>
    </row>
    <row r="507" spans="1:2" x14ac:dyDescent="0.35">
      <c r="A507" t="s">
        <v>536</v>
      </c>
      <c r="B507" t="s">
        <v>544</v>
      </c>
    </row>
    <row r="508" spans="1:2" x14ac:dyDescent="0.35">
      <c r="A508" t="s">
        <v>545</v>
      </c>
      <c r="B508" t="s">
        <v>546</v>
      </c>
    </row>
    <row r="509" spans="1:2" x14ac:dyDescent="0.35">
      <c r="A509" t="s">
        <v>545</v>
      </c>
      <c r="B509" t="s">
        <v>547</v>
      </c>
    </row>
    <row r="510" spans="1:2" x14ac:dyDescent="0.35">
      <c r="A510" t="s">
        <v>545</v>
      </c>
      <c r="B510" t="s">
        <v>548</v>
      </c>
    </row>
    <row r="511" spans="1:2" x14ac:dyDescent="0.35">
      <c r="A511" t="s">
        <v>545</v>
      </c>
      <c r="B511" t="s">
        <v>549</v>
      </c>
    </row>
    <row r="512" spans="1:2" x14ac:dyDescent="0.35">
      <c r="A512" t="s">
        <v>545</v>
      </c>
      <c r="B512" t="s">
        <v>550</v>
      </c>
    </row>
    <row r="513" spans="1:2" x14ac:dyDescent="0.35">
      <c r="A513" t="s">
        <v>545</v>
      </c>
      <c r="B513" t="s">
        <v>551</v>
      </c>
    </row>
    <row r="514" spans="1:2" x14ac:dyDescent="0.35">
      <c r="A514" t="s">
        <v>545</v>
      </c>
      <c r="B514" t="s">
        <v>552</v>
      </c>
    </row>
    <row r="515" spans="1:2" x14ac:dyDescent="0.35">
      <c r="A515" t="s">
        <v>545</v>
      </c>
      <c r="B515" t="s">
        <v>553</v>
      </c>
    </row>
  </sheetData>
  <conditionalFormatting sqref="B2:B24">
    <cfRule type="duplicateValues" dxfId="20" priority="22"/>
  </conditionalFormatting>
  <conditionalFormatting sqref="B25:B57">
    <cfRule type="duplicateValues" dxfId="19" priority="21"/>
  </conditionalFormatting>
  <conditionalFormatting sqref="B58:B76">
    <cfRule type="duplicateValues" dxfId="18" priority="20"/>
  </conditionalFormatting>
  <conditionalFormatting sqref="B77:B88">
    <cfRule type="duplicateValues" dxfId="17" priority="19"/>
  </conditionalFormatting>
  <conditionalFormatting sqref="B89:B99">
    <cfRule type="duplicateValues" dxfId="16" priority="18"/>
  </conditionalFormatting>
  <conditionalFormatting sqref="B100:B116">
    <cfRule type="duplicateValues" dxfId="15" priority="17"/>
  </conditionalFormatting>
  <conditionalFormatting sqref="B117:B126">
    <cfRule type="duplicateValues" dxfId="14" priority="16"/>
  </conditionalFormatting>
  <conditionalFormatting sqref="B127:B141">
    <cfRule type="duplicateValues" dxfId="13" priority="15"/>
  </conditionalFormatting>
  <conditionalFormatting sqref="B142:B148">
    <cfRule type="duplicateValues" dxfId="12" priority="14"/>
  </conditionalFormatting>
  <conditionalFormatting sqref="B149:B155">
    <cfRule type="duplicateValues" dxfId="11" priority="13"/>
  </conditionalFormatting>
  <conditionalFormatting sqref="B156:B161">
    <cfRule type="duplicateValues" dxfId="10" priority="12"/>
  </conditionalFormatting>
  <conditionalFormatting sqref="B162:B188">
    <cfRule type="duplicateValues" dxfId="9" priority="11"/>
  </conditionalFormatting>
  <conditionalFormatting sqref="B189:B223">
    <cfRule type="duplicateValues" dxfId="8" priority="10"/>
  </conditionalFormatting>
  <conditionalFormatting sqref="B224:B228">
    <cfRule type="duplicateValues" dxfId="7" priority="9"/>
  </conditionalFormatting>
  <conditionalFormatting sqref="B229:B266">
    <cfRule type="duplicateValues" dxfId="6" priority="8"/>
  </conditionalFormatting>
  <conditionalFormatting sqref="B267:B274">
    <cfRule type="duplicateValues" dxfId="5" priority="7"/>
  </conditionalFormatting>
  <conditionalFormatting sqref="B275:B283">
    <cfRule type="duplicateValues" dxfId="4" priority="6"/>
  </conditionalFormatting>
  <conditionalFormatting sqref="B284:B293">
    <cfRule type="duplicateValues" dxfId="3" priority="5"/>
  </conditionalFormatting>
  <conditionalFormatting sqref="B294:B315">
    <cfRule type="duplicateValues" dxfId="2" priority="4"/>
  </conditionalFormatting>
  <conditionalFormatting sqref="B316:B329">
    <cfRule type="duplicateValues" dxfId="1" priority="2"/>
  </conditionalFormatting>
  <conditionalFormatting sqref="B330:B357">
    <cfRule type="duplicateValues" dxfId="0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F1A97-CDBD-4C5A-A1B4-F817B8BE0BC7}">
  <dimension ref="A1:O541"/>
  <sheetViews>
    <sheetView topLeftCell="A424" zoomScale="69" workbookViewId="0">
      <pane xSplit="1" topLeftCell="B1" activePane="topRight" state="frozen"/>
      <selection pane="topRight" activeCell="A541" sqref="A541"/>
    </sheetView>
  </sheetViews>
  <sheetFormatPr defaultRowHeight="14.5" x14ac:dyDescent="0.35"/>
  <sheetData>
    <row r="1" spans="1:15" x14ac:dyDescent="0.35">
      <c r="A1" t="s">
        <v>0</v>
      </c>
      <c r="B1" t="s">
        <v>556</v>
      </c>
      <c r="C1" t="s">
        <v>555</v>
      </c>
      <c r="D1" t="s">
        <v>557</v>
      </c>
      <c r="E1" t="s">
        <v>558</v>
      </c>
      <c r="F1" t="s">
        <v>560</v>
      </c>
      <c r="G1" t="s">
        <v>561</v>
      </c>
      <c r="H1" t="s">
        <v>562</v>
      </c>
      <c r="I1" t="s">
        <v>563</v>
      </c>
      <c r="J1" t="s">
        <v>564</v>
      </c>
      <c r="K1" t="s">
        <v>565</v>
      </c>
      <c r="L1" t="s">
        <v>568</v>
      </c>
      <c r="M1" t="s">
        <v>569</v>
      </c>
      <c r="N1" t="s">
        <v>570</v>
      </c>
      <c r="O1" t="s">
        <v>571</v>
      </c>
    </row>
    <row r="2" spans="1:15" x14ac:dyDescent="0.35">
      <c r="A2" t="s">
        <v>2</v>
      </c>
      <c r="B2">
        <v>10.220000000000001</v>
      </c>
      <c r="C2">
        <v>9.4600000000000009</v>
      </c>
      <c r="D2">
        <v>14.5</v>
      </c>
      <c r="E2">
        <v>14.75</v>
      </c>
      <c r="F2" cm="1">
        <f t="array" ref="F2:H541">IF(EXACT(A2:A541,[1]TPT!L2:L541),[1]TPT!$M$2:$O$541,"ksg")</f>
        <v>5.7</v>
      </c>
      <c r="G2">
        <v>5.2</v>
      </c>
      <c r="H2">
        <v>5.5</v>
      </c>
      <c r="I2" cm="1">
        <f t="array" ref="I2:K541">IF(EXACT(A2:A541,[1]TPAK!$L$2:$L$541),[1]TPAK!$M$2:$O$541,"KSG")</f>
        <v>83.7</v>
      </c>
      <c r="J2">
        <v>58.02</v>
      </c>
      <c r="K2">
        <v>70.86</v>
      </c>
      <c r="L2" cm="1">
        <f t="array" ref="L2:L541">VLOOKUP(UPPER(A2:A541),[2]legislatif_pr!$A$2:$B$585,2,FALSE)</f>
        <v>16.670000000000002</v>
      </c>
      <c r="M2" cm="1">
        <f t="array" ref="M2:O541">IF(EXACT(A2:A541,'[3]IPM 2024'!$K$2:$K$541),'[3]IPM 2024'!$L$2:$N$541,"ksg")</f>
        <v>74.38</v>
      </c>
      <c r="N2">
        <v>59.34</v>
      </c>
      <c r="O2">
        <v>69.010000000000005</v>
      </c>
    </row>
    <row r="3" spans="1:15" x14ac:dyDescent="0.35">
      <c r="A3" t="s">
        <v>3</v>
      </c>
      <c r="B3">
        <v>9.0500000000000007</v>
      </c>
      <c r="C3">
        <v>8.2899999999999991</v>
      </c>
      <c r="D3">
        <v>14.4</v>
      </c>
      <c r="E3">
        <v>14.15</v>
      </c>
      <c r="F3">
        <v>5.76</v>
      </c>
      <c r="G3">
        <v>7.8</v>
      </c>
      <c r="H3">
        <v>6.44</v>
      </c>
      <c r="I3">
        <v>76.25</v>
      </c>
      <c r="J3">
        <v>39.11</v>
      </c>
      <c r="K3">
        <v>57.68</v>
      </c>
      <c r="L3">
        <v>12</v>
      </c>
      <c r="M3">
        <v>76.510000000000005</v>
      </c>
      <c r="N3">
        <v>65.42</v>
      </c>
      <c r="O3">
        <v>70.75</v>
      </c>
    </row>
    <row r="4" spans="1:15" x14ac:dyDescent="0.35">
      <c r="A4" t="s">
        <v>4</v>
      </c>
      <c r="B4">
        <v>9.24</v>
      </c>
      <c r="C4">
        <v>8.4600000000000009</v>
      </c>
      <c r="D4">
        <v>14.59</v>
      </c>
      <c r="E4">
        <v>14.99</v>
      </c>
      <c r="F4">
        <v>3.88</v>
      </c>
      <c r="G4">
        <v>5.75</v>
      </c>
      <c r="H4">
        <v>4.5599999999999996</v>
      </c>
      <c r="I4">
        <v>75.900000000000006</v>
      </c>
      <c r="J4">
        <v>42.68</v>
      </c>
      <c r="K4">
        <v>59.290000000000006</v>
      </c>
      <c r="L4">
        <v>20</v>
      </c>
      <c r="M4">
        <v>72.709999999999994</v>
      </c>
      <c r="N4">
        <v>67.069999999999993</v>
      </c>
      <c r="O4">
        <v>69.099999999999994</v>
      </c>
    </row>
    <row r="5" spans="1:15" x14ac:dyDescent="0.35">
      <c r="A5" t="s">
        <v>5</v>
      </c>
      <c r="B5">
        <v>10.4</v>
      </c>
      <c r="C5">
        <v>9.82</v>
      </c>
      <c r="D5">
        <v>14.31</v>
      </c>
      <c r="E5">
        <v>14.83</v>
      </c>
      <c r="F5">
        <v>5.1100000000000003</v>
      </c>
      <c r="G5">
        <v>4.3099999999999996</v>
      </c>
      <c r="H5">
        <v>4.79</v>
      </c>
      <c r="I5">
        <v>84.75</v>
      </c>
      <c r="J5">
        <v>56.27</v>
      </c>
      <c r="K5">
        <v>70.510000000000005</v>
      </c>
      <c r="L5">
        <v>6.67</v>
      </c>
      <c r="M5">
        <v>76.239999999999995</v>
      </c>
      <c r="N5">
        <v>71.12</v>
      </c>
      <c r="O5">
        <v>71.7</v>
      </c>
    </row>
    <row r="6" spans="1:15" x14ac:dyDescent="0.35">
      <c r="A6" t="s">
        <v>6</v>
      </c>
      <c r="B6">
        <v>8.61</v>
      </c>
      <c r="C6">
        <v>8.4700000000000006</v>
      </c>
      <c r="D6">
        <v>12.89</v>
      </c>
      <c r="E6">
        <v>13.13</v>
      </c>
      <c r="F6">
        <v>3.75</v>
      </c>
      <c r="G6">
        <v>16.260000000000002</v>
      </c>
      <c r="H6">
        <v>7.75</v>
      </c>
      <c r="I6">
        <v>82.94</v>
      </c>
      <c r="J6">
        <v>38.86</v>
      </c>
      <c r="K6">
        <v>60.9</v>
      </c>
      <c r="L6">
        <v>2.5</v>
      </c>
      <c r="M6">
        <v>74.349999999999994</v>
      </c>
      <c r="N6">
        <v>64.88</v>
      </c>
      <c r="O6">
        <v>69.87</v>
      </c>
    </row>
    <row r="7" spans="1:15" x14ac:dyDescent="0.35">
      <c r="A7" t="s">
        <v>7</v>
      </c>
      <c r="B7">
        <v>10.07</v>
      </c>
      <c r="C7">
        <v>9.92</v>
      </c>
      <c r="D7">
        <v>14.36</v>
      </c>
      <c r="E7">
        <v>15.64</v>
      </c>
      <c r="F7">
        <v>2.75</v>
      </c>
      <c r="G7">
        <v>6.13</v>
      </c>
      <c r="H7">
        <v>4.21</v>
      </c>
      <c r="I7">
        <v>87.23</v>
      </c>
      <c r="J7">
        <v>67.400000000000006</v>
      </c>
      <c r="K7">
        <v>77.314999999999998</v>
      </c>
      <c r="L7">
        <v>13.33</v>
      </c>
      <c r="M7">
        <v>75.84</v>
      </c>
      <c r="N7">
        <v>74.239999999999995</v>
      </c>
      <c r="O7">
        <v>75.41</v>
      </c>
    </row>
    <row r="8" spans="1:15" x14ac:dyDescent="0.35">
      <c r="A8" t="s">
        <v>8</v>
      </c>
      <c r="B8">
        <v>10.17</v>
      </c>
      <c r="C8">
        <v>9.81</v>
      </c>
      <c r="D8">
        <v>14.93</v>
      </c>
      <c r="E8">
        <v>14.9</v>
      </c>
      <c r="F8">
        <v>7.03</v>
      </c>
      <c r="G8">
        <v>3.3</v>
      </c>
      <c r="H8">
        <v>5.58</v>
      </c>
      <c r="I8">
        <v>73.180000000000007</v>
      </c>
      <c r="J8">
        <v>47.15</v>
      </c>
      <c r="K8">
        <v>60.165000000000006</v>
      </c>
      <c r="L8">
        <v>12</v>
      </c>
      <c r="M8">
        <v>78</v>
      </c>
      <c r="N8">
        <v>67.599999999999994</v>
      </c>
      <c r="O8">
        <v>73.69</v>
      </c>
    </row>
    <row r="9" spans="1:15" x14ac:dyDescent="0.35">
      <c r="A9" t="s">
        <v>9</v>
      </c>
      <c r="B9">
        <v>10.57</v>
      </c>
      <c r="C9">
        <v>10.37</v>
      </c>
      <c r="D9">
        <v>14.75</v>
      </c>
      <c r="E9">
        <v>15.4</v>
      </c>
      <c r="F9">
        <v>5.56</v>
      </c>
      <c r="G9">
        <v>11.76</v>
      </c>
      <c r="H9">
        <v>7.93</v>
      </c>
      <c r="I9">
        <v>82.41</v>
      </c>
      <c r="J9">
        <v>51.59</v>
      </c>
      <c r="K9">
        <v>67</v>
      </c>
      <c r="L9">
        <v>5</v>
      </c>
      <c r="M9">
        <v>78.19</v>
      </c>
      <c r="N9">
        <v>74.569999999999993</v>
      </c>
      <c r="O9">
        <v>75.13</v>
      </c>
    </row>
    <row r="10" spans="1:15" x14ac:dyDescent="0.35">
      <c r="A10" t="s">
        <v>10</v>
      </c>
      <c r="B10">
        <v>9.44</v>
      </c>
      <c r="C10">
        <v>8.74</v>
      </c>
      <c r="D10">
        <v>14.38</v>
      </c>
      <c r="E10">
        <v>14.9</v>
      </c>
      <c r="F10">
        <v>6.01</v>
      </c>
      <c r="G10">
        <v>5.27</v>
      </c>
      <c r="H10">
        <v>5.74</v>
      </c>
      <c r="I10">
        <v>79.09</v>
      </c>
      <c r="J10">
        <v>45.64</v>
      </c>
      <c r="K10">
        <v>62.365000000000002</v>
      </c>
      <c r="L10">
        <v>12.5</v>
      </c>
      <c r="M10">
        <v>75.45</v>
      </c>
      <c r="N10">
        <v>70.91</v>
      </c>
      <c r="O10">
        <v>72.31</v>
      </c>
    </row>
    <row r="11" spans="1:15" x14ac:dyDescent="0.35">
      <c r="A11" t="s">
        <v>11</v>
      </c>
      <c r="B11">
        <v>9.66</v>
      </c>
      <c r="C11">
        <v>9.58</v>
      </c>
      <c r="D11">
        <v>14.83</v>
      </c>
      <c r="E11">
        <v>15.14</v>
      </c>
      <c r="F11">
        <v>4.1500000000000004</v>
      </c>
      <c r="G11">
        <v>3.62</v>
      </c>
      <c r="H11">
        <v>3.93</v>
      </c>
      <c r="I11">
        <v>80.739999999999995</v>
      </c>
      <c r="J11">
        <v>54.36</v>
      </c>
      <c r="K11">
        <v>67.55</v>
      </c>
      <c r="L11">
        <v>10</v>
      </c>
      <c r="M11">
        <v>77.819999999999993</v>
      </c>
      <c r="N11">
        <v>74</v>
      </c>
      <c r="O11">
        <v>74.45</v>
      </c>
    </row>
    <row r="12" spans="1:15" x14ac:dyDescent="0.35">
      <c r="A12" t="s">
        <v>12</v>
      </c>
      <c r="B12">
        <v>9.3000000000000007</v>
      </c>
      <c r="C12">
        <v>8.98</v>
      </c>
      <c r="D12">
        <v>14.45</v>
      </c>
      <c r="E12">
        <v>15.15</v>
      </c>
      <c r="F12">
        <v>7.04</v>
      </c>
      <c r="G12">
        <v>6.61</v>
      </c>
      <c r="H12">
        <v>6.88</v>
      </c>
      <c r="I12">
        <v>76.33</v>
      </c>
      <c r="J12">
        <v>42.04</v>
      </c>
      <c r="K12">
        <v>59.185000000000002</v>
      </c>
      <c r="L12">
        <v>0</v>
      </c>
      <c r="M12">
        <v>74.86</v>
      </c>
      <c r="N12">
        <v>69.89</v>
      </c>
      <c r="O12">
        <v>71.7</v>
      </c>
    </row>
    <row r="13" spans="1:15" x14ac:dyDescent="0.35">
      <c r="A13" t="s">
        <v>13</v>
      </c>
      <c r="B13">
        <v>8.9700000000000006</v>
      </c>
      <c r="C13">
        <v>8.67</v>
      </c>
      <c r="D13">
        <v>13.68</v>
      </c>
      <c r="E13">
        <v>14.85</v>
      </c>
      <c r="F13">
        <v>1.3</v>
      </c>
      <c r="G13">
        <v>9.48</v>
      </c>
      <c r="H13">
        <v>3.83</v>
      </c>
      <c r="I13">
        <v>83.08</v>
      </c>
      <c r="J13">
        <v>37.630000000000003</v>
      </c>
      <c r="K13">
        <v>60.355000000000004</v>
      </c>
      <c r="L13">
        <v>4</v>
      </c>
      <c r="M13">
        <v>74.41</v>
      </c>
      <c r="N13">
        <v>67.3</v>
      </c>
      <c r="O13">
        <v>68.75</v>
      </c>
    </row>
    <row r="14" spans="1:15" x14ac:dyDescent="0.35">
      <c r="A14" t="s">
        <v>14</v>
      </c>
      <c r="B14">
        <v>9.25</v>
      </c>
      <c r="C14">
        <v>7.81</v>
      </c>
      <c r="D14">
        <v>14.35</v>
      </c>
      <c r="E14">
        <v>14.78</v>
      </c>
      <c r="F14">
        <v>1.0900000000000001</v>
      </c>
      <c r="G14">
        <v>4</v>
      </c>
      <c r="H14">
        <v>2.4</v>
      </c>
      <c r="I14">
        <v>87.06</v>
      </c>
      <c r="J14">
        <v>71.430000000000007</v>
      </c>
      <c r="K14">
        <v>79.245000000000005</v>
      </c>
      <c r="L14">
        <v>4</v>
      </c>
      <c r="M14">
        <v>74.91</v>
      </c>
      <c r="N14">
        <v>67.48</v>
      </c>
      <c r="O14">
        <v>69.83</v>
      </c>
    </row>
    <row r="15" spans="1:15" x14ac:dyDescent="0.35">
      <c r="A15" t="s">
        <v>15</v>
      </c>
      <c r="B15">
        <v>9.52</v>
      </c>
      <c r="C15">
        <v>9.07</v>
      </c>
      <c r="D15">
        <v>14.24</v>
      </c>
      <c r="E15">
        <v>14.56</v>
      </c>
      <c r="F15">
        <v>4.74</v>
      </c>
      <c r="G15">
        <v>10.51</v>
      </c>
      <c r="H15">
        <v>6.95</v>
      </c>
      <c r="I15">
        <v>85.19</v>
      </c>
      <c r="J15">
        <v>53.99</v>
      </c>
      <c r="K15">
        <v>69.59</v>
      </c>
      <c r="L15">
        <v>17.14</v>
      </c>
      <c r="M15">
        <v>78.680000000000007</v>
      </c>
      <c r="N15">
        <v>65.040000000000006</v>
      </c>
      <c r="O15">
        <v>72.319999999999993</v>
      </c>
    </row>
    <row r="16" spans="1:15" x14ac:dyDescent="0.35">
      <c r="A16" t="s">
        <v>16</v>
      </c>
      <c r="B16">
        <v>9.39</v>
      </c>
      <c r="C16">
        <v>9.1300000000000008</v>
      </c>
      <c r="D16">
        <v>13.95</v>
      </c>
      <c r="E16">
        <v>14.5</v>
      </c>
      <c r="F16">
        <v>4.08</v>
      </c>
      <c r="G16">
        <v>7.49</v>
      </c>
      <c r="H16">
        <v>5.22</v>
      </c>
      <c r="I16">
        <v>84.63</v>
      </c>
      <c r="J16">
        <v>43</v>
      </c>
      <c r="K16">
        <v>63.814999999999998</v>
      </c>
      <c r="L16">
        <v>0</v>
      </c>
      <c r="M16">
        <v>76.150000000000006</v>
      </c>
      <c r="N16">
        <v>69.540000000000006</v>
      </c>
      <c r="O16">
        <v>71.72</v>
      </c>
    </row>
    <row r="17" spans="1:15" x14ac:dyDescent="0.35">
      <c r="A17" t="s">
        <v>17</v>
      </c>
      <c r="B17">
        <v>9.25</v>
      </c>
      <c r="C17">
        <v>8.64</v>
      </c>
      <c r="D17">
        <v>14.05</v>
      </c>
      <c r="E17">
        <v>14.23</v>
      </c>
      <c r="F17">
        <v>3.37</v>
      </c>
      <c r="G17">
        <v>1.84</v>
      </c>
      <c r="H17">
        <v>2.75</v>
      </c>
      <c r="I17">
        <v>83.56</v>
      </c>
      <c r="J17">
        <v>58.01</v>
      </c>
      <c r="K17">
        <v>70.784999999999997</v>
      </c>
      <c r="L17">
        <v>10</v>
      </c>
      <c r="M17">
        <v>76.430000000000007</v>
      </c>
      <c r="N17">
        <v>68.88</v>
      </c>
      <c r="O17">
        <v>71.83</v>
      </c>
    </row>
    <row r="18" spans="1:15" x14ac:dyDescent="0.35">
      <c r="A18" t="s">
        <v>18</v>
      </c>
      <c r="B18">
        <v>10.17</v>
      </c>
      <c r="C18">
        <v>10.050000000000001</v>
      </c>
      <c r="D18">
        <v>13.72</v>
      </c>
      <c r="E18">
        <v>13.96</v>
      </c>
      <c r="F18">
        <v>0.59</v>
      </c>
      <c r="G18">
        <v>4.05</v>
      </c>
      <c r="H18">
        <v>2.2000000000000002</v>
      </c>
      <c r="I18">
        <v>89.18</v>
      </c>
      <c r="J18">
        <v>78.39</v>
      </c>
      <c r="K18">
        <v>83.784999999999997</v>
      </c>
      <c r="L18">
        <v>4</v>
      </c>
      <c r="M18">
        <v>77.150000000000006</v>
      </c>
      <c r="N18">
        <v>74.63</v>
      </c>
      <c r="O18">
        <v>75.010000000000005</v>
      </c>
    </row>
    <row r="19" spans="1:15" x14ac:dyDescent="0.35">
      <c r="A19" t="s">
        <v>19</v>
      </c>
      <c r="B19">
        <v>9.81</v>
      </c>
      <c r="C19">
        <v>9.48</v>
      </c>
      <c r="D19">
        <v>14.88</v>
      </c>
      <c r="E19">
        <v>15.29</v>
      </c>
      <c r="F19">
        <v>2.2200000000000002</v>
      </c>
      <c r="G19">
        <v>6.53</v>
      </c>
      <c r="H19">
        <v>3.82</v>
      </c>
      <c r="I19">
        <v>76.319999999999993</v>
      </c>
      <c r="J19">
        <v>43.9</v>
      </c>
      <c r="K19">
        <v>60.11</v>
      </c>
      <c r="L19">
        <v>4</v>
      </c>
      <c r="M19">
        <v>78.430000000000007</v>
      </c>
      <c r="N19">
        <v>74.73</v>
      </c>
      <c r="O19">
        <v>75.16</v>
      </c>
    </row>
    <row r="20" spans="1:15" x14ac:dyDescent="0.35">
      <c r="A20" t="s">
        <v>20</v>
      </c>
      <c r="B20">
        <v>13.2</v>
      </c>
      <c r="C20">
        <v>12.95</v>
      </c>
      <c r="D20">
        <v>17.88</v>
      </c>
      <c r="E20">
        <v>18.079999999999998</v>
      </c>
      <c r="F20">
        <v>3.76</v>
      </c>
      <c r="G20">
        <v>13.06</v>
      </c>
      <c r="H20">
        <v>7.55</v>
      </c>
      <c r="I20">
        <v>77.17</v>
      </c>
      <c r="J20">
        <v>53.01</v>
      </c>
      <c r="K20">
        <v>65.09</v>
      </c>
      <c r="L20">
        <v>13.33</v>
      </c>
      <c r="M20">
        <v>89.12</v>
      </c>
      <c r="N20">
        <v>85.72</v>
      </c>
      <c r="O20">
        <v>87.17</v>
      </c>
    </row>
    <row r="21" spans="1:15" x14ac:dyDescent="0.35">
      <c r="A21" t="s">
        <v>21</v>
      </c>
      <c r="B21">
        <v>11.34</v>
      </c>
      <c r="C21">
        <v>11.21</v>
      </c>
      <c r="D21">
        <v>14.97</v>
      </c>
      <c r="E21">
        <v>15.19</v>
      </c>
      <c r="F21">
        <v>2.87</v>
      </c>
      <c r="G21">
        <v>3.05</v>
      </c>
      <c r="H21">
        <v>2.95</v>
      </c>
      <c r="I21">
        <v>81.569999999999993</v>
      </c>
      <c r="J21">
        <v>54.71</v>
      </c>
      <c r="K21">
        <v>68.14</v>
      </c>
      <c r="L21">
        <v>10</v>
      </c>
      <c r="M21">
        <v>80.83</v>
      </c>
      <c r="N21">
        <v>77.39</v>
      </c>
      <c r="O21">
        <v>78.319999999999993</v>
      </c>
    </row>
    <row r="22" spans="1:15" x14ac:dyDescent="0.35">
      <c r="A22" t="s">
        <v>22</v>
      </c>
      <c r="B22">
        <v>11.55</v>
      </c>
      <c r="C22">
        <v>11.02</v>
      </c>
      <c r="D22">
        <v>15.03</v>
      </c>
      <c r="E22">
        <v>16.61</v>
      </c>
      <c r="F22">
        <v>6.65</v>
      </c>
      <c r="G22">
        <v>8.49</v>
      </c>
      <c r="H22">
        <v>7.34</v>
      </c>
      <c r="I22">
        <v>74.78</v>
      </c>
      <c r="J22">
        <v>45.38</v>
      </c>
      <c r="K22">
        <v>60.08</v>
      </c>
      <c r="L22">
        <v>12</v>
      </c>
      <c r="M22">
        <v>81.400000000000006</v>
      </c>
      <c r="N22">
        <v>78.05</v>
      </c>
      <c r="O22">
        <v>78.81</v>
      </c>
    </row>
    <row r="23" spans="1:15" x14ac:dyDescent="0.35">
      <c r="A23" t="s">
        <v>23</v>
      </c>
      <c r="B23">
        <v>11.5</v>
      </c>
      <c r="C23">
        <v>11.2</v>
      </c>
      <c r="D23">
        <v>15.29</v>
      </c>
      <c r="E23">
        <v>15.98</v>
      </c>
      <c r="F23">
        <v>6.93</v>
      </c>
      <c r="G23">
        <v>10.82</v>
      </c>
      <c r="H23">
        <v>8.4700000000000006</v>
      </c>
      <c r="I23">
        <v>79.44</v>
      </c>
      <c r="J23">
        <v>50.25</v>
      </c>
      <c r="K23">
        <v>64.844999999999999</v>
      </c>
      <c r="L23">
        <v>28</v>
      </c>
      <c r="M23">
        <v>82.52</v>
      </c>
      <c r="N23">
        <v>79</v>
      </c>
      <c r="O23">
        <v>79.55</v>
      </c>
    </row>
    <row r="24" spans="1:15" x14ac:dyDescent="0.35">
      <c r="A24" t="s">
        <v>24</v>
      </c>
      <c r="B24">
        <v>8.99</v>
      </c>
      <c r="C24">
        <v>7.95</v>
      </c>
      <c r="D24">
        <v>14.96</v>
      </c>
      <c r="E24">
        <v>15.34</v>
      </c>
      <c r="F24">
        <v>5.95</v>
      </c>
      <c r="G24">
        <v>3.68</v>
      </c>
      <c r="H24">
        <v>5.12</v>
      </c>
      <c r="I24">
        <v>85.98</v>
      </c>
      <c r="J24">
        <v>50.87</v>
      </c>
      <c r="K24">
        <v>68.424999999999997</v>
      </c>
      <c r="L24">
        <v>25</v>
      </c>
      <c r="M24">
        <v>73.459999999999994</v>
      </c>
      <c r="N24">
        <v>63.09</v>
      </c>
      <c r="O24">
        <v>68.040000000000006</v>
      </c>
    </row>
    <row r="25" spans="1:15" x14ac:dyDescent="0.35">
      <c r="A25" t="s">
        <v>26</v>
      </c>
      <c r="B25">
        <v>7.68</v>
      </c>
      <c r="C25">
        <v>5.46</v>
      </c>
      <c r="D25">
        <v>13.36</v>
      </c>
      <c r="E25">
        <v>12.77</v>
      </c>
      <c r="F25">
        <v>1.89</v>
      </c>
      <c r="G25">
        <v>2.29</v>
      </c>
      <c r="H25">
        <v>2.1</v>
      </c>
      <c r="I25">
        <v>82.37</v>
      </c>
      <c r="J25">
        <v>82.52</v>
      </c>
      <c r="K25">
        <v>82.444999999999993</v>
      </c>
      <c r="L25">
        <v>8</v>
      </c>
      <c r="M25">
        <v>68.87</v>
      </c>
      <c r="N25">
        <v>62.82</v>
      </c>
      <c r="O25">
        <v>65.55</v>
      </c>
    </row>
    <row r="26" spans="1:15" x14ac:dyDescent="0.35">
      <c r="A26" t="s">
        <v>27</v>
      </c>
      <c r="B26">
        <v>9.19</v>
      </c>
      <c r="C26">
        <v>9.07</v>
      </c>
      <c r="D26">
        <v>13.56</v>
      </c>
      <c r="E26">
        <v>13.93</v>
      </c>
      <c r="F26">
        <v>5.09</v>
      </c>
      <c r="G26">
        <v>10.34</v>
      </c>
      <c r="H26">
        <v>7.22</v>
      </c>
      <c r="I26">
        <v>77.52</v>
      </c>
      <c r="J26">
        <v>51.63</v>
      </c>
      <c r="K26">
        <v>64.575000000000003</v>
      </c>
      <c r="L26">
        <v>7.5</v>
      </c>
      <c r="M26">
        <v>73.33</v>
      </c>
      <c r="N26">
        <v>68.84</v>
      </c>
      <c r="O26">
        <v>69.33</v>
      </c>
    </row>
    <row r="27" spans="1:15" x14ac:dyDescent="0.35">
      <c r="A27" t="s">
        <v>28</v>
      </c>
      <c r="B27">
        <v>9.8699999999999992</v>
      </c>
      <c r="C27">
        <v>9.26</v>
      </c>
      <c r="D27">
        <v>13.71</v>
      </c>
      <c r="E27">
        <v>14.12</v>
      </c>
      <c r="F27">
        <v>2.0299999999999998</v>
      </c>
      <c r="G27">
        <v>5.08</v>
      </c>
      <c r="H27">
        <v>3.41</v>
      </c>
      <c r="I27">
        <v>82.29</v>
      </c>
      <c r="J27">
        <v>69.010000000000005</v>
      </c>
      <c r="K27">
        <v>75.650000000000006</v>
      </c>
      <c r="L27">
        <v>7.5</v>
      </c>
      <c r="M27">
        <v>76.510000000000005</v>
      </c>
      <c r="N27">
        <v>69.430000000000007</v>
      </c>
      <c r="O27">
        <v>72.14</v>
      </c>
    </row>
    <row r="28" spans="1:15" x14ac:dyDescent="0.35">
      <c r="A28" t="s">
        <v>29</v>
      </c>
      <c r="B28">
        <v>9.1999999999999993</v>
      </c>
      <c r="C28">
        <v>8.7799999999999994</v>
      </c>
      <c r="D28">
        <v>13.13</v>
      </c>
      <c r="E28">
        <v>13.96</v>
      </c>
      <c r="F28">
        <v>8.15</v>
      </c>
      <c r="G28">
        <v>6.56</v>
      </c>
      <c r="H28">
        <v>7.45</v>
      </c>
      <c r="I28">
        <v>84.62</v>
      </c>
      <c r="J28">
        <v>66.75</v>
      </c>
      <c r="K28">
        <v>75.685000000000002</v>
      </c>
      <c r="L28">
        <v>22.86</v>
      </c>
      <c r="M28">
        <v>74.489999999999995</v>
      </c>
      <c r="N28">
        <v>71.05</v>
      </c>
      <c r="O28">
        <v>71.52</v>
      </c>
    </row>
    <row r="29" spans="1:15" x14ac:dyDescent="0.35">
      <c r="A29" t="s">
        <v>30</v>
      </c>
      <c r="B29">
        <v>10.57</v>
      </c>
      <c r="C29">
        <v>10.14</v>
      </c>
      <c r="D29">
        <v>13.68</v>
      </c>
      <c r="E29">
        <v>14.22</v>
      </c>
      <c r="F29">
        <v>0.59</v>
      </c>
      <c r="G29">
        <v>1.87</v>
      </c>
      <c r="H29">
        <v>1.21</v>
      </c>
      <c r="I29">
        <v>85.91</v>
      </c>
      <c r="J29">
        <v>81.48</v>
      </c>
      <c r="K29">
        <v>83.694999999999993</v>
      </c>
      <c r="L29">
        <v>5.71</v>
      </c>
      <c r="M29">
        <v>76.72</v>
      </c>
      <c r="N29">
        <v>74.95</v>
      </c>
      <c r="O29">
        <v>75.23</v>
      </c>
    </row>
    <row r="30" spans="1:15" x14ac:dyDescent="0.35">
      <c r="A30" t="s">
        <v>31</v>
      </c>
      <c r="B30">
        <v>10.93</v>
      </c>
      <c r="C30">
        <v>10.65</v>
      </c>
      <c r="D30">
        <v>13.48</v>
      </c>
      <c r="E30">
        <v>13.93</v>
      </c>
      <c r="F30">
        <v>1.45</v>
      </c>
      <c r="G30">
        <v>0.69</v>
      </c>
      <c r="H30">
        <v>1.0900000000000001</v>
      </c>
      <c r="I30">
        <v>88.17</v>
      </c>
      <c r="J30">
        <v>77.05</v>
      </c>
      <c r="K30">
        <v>82.61</v>
      </c>
      <c r="L30">
        <v>13.33</v>
      </c>
      <c r="M30">
        <v>77.86</v>
      </c>
      <c r="N30">
        <v>76.489999999999995</v>
      </c>
      <c r="O30">
        <v>76.91</v>
      </c>
    </row>
    <row r="31" spans="1:15" x14ac:dyDescent="0.35">
      <c r="A31" t="s">
        <v>32</v>
      </c>
      <c r="B31">
        <v>9.73</v>
      </c>
      <c r="C31">
        <v>9.2799999999999994</v>
      </c>
      <c r="D31">
        <v>13.18</v>
      </c>
      <c r="E31">
        <v>13.64</v>
      </c>
      <c r="F31">
        <v>3.35</v>
      </c>
      <c r="G31">
        <v>10.43</v>
      </c>
      <c r="H31">
        <v>5.9</v>
      </c>
      <c r="I31">
        <v>82.82</v>
      </c>
      <c r="J31">
        <v>47.66</v>
      </c>
      <c r="K31">
        <v>65.239999999999995</v>
      </c>
      <c r="L31">
        <v>6.67</v>
      </c>
      <c r="M31">
        <v>78.73</v>
      </c>
      <c r="N31">
        <v>71.53</v>
      </c>
      <c r="O31">
        <v>74.180000000000007</v>
      </c>
    </row>
    <row r="32" spans="1:15" x14ac:dyDescent="0.35">
      <c r="A32" t="s">
        <v>33</v>
      </c>
      <c r="B32">
        <v>9.07</v>
      </c>
      <c r="C32">
        <v>8.66</v>
      </c>
      <c r="D32">
        <v>12.61</v>
      </c>
      <c r="E32">
        <v>13.34</v>
      </c>
      <c r="F32">
        <v>5.75</v>
      </c>
      <c r="G32">
        <v>6.24</v>
      </c>
      <c r="H32">
        <v>5.94</v>
      </c>
      <c r="I32">
        <v>84.09</v>
      </c>
      <c r="J32">
        <v>50.98</v>
      </c>
      <c r="K32">
        <v>67.534999999999997</v>
      </c>
      <c r="L32">
        <v>15.56</v>
      </c>
      <c r="M32">
        <v>76.22</v>
      </c>
      <c r="N32">
        <v>70.17</v>
      </c>
      <c r="O32">
        <v>72.09</v>
      </c>
    </row>
    <row r="33" spans="1:15" x14ac:dyDescent="0.35">
      <c r="A33" t="s">
        <v>34</v>
      </c>
      <c r="B33">
        <v>9.93</v>
      </c>
      <c r="C33">
        <v>9.5399999999999991</v>
      </c>
      <c r="D33">
        <v>12.85</v>
      </c>
      <c r="E33">
        <v>13.66</v>
      </c>
      <c r="F33">
        <v>3.86</v>
      </c>
      <c r="G33">
        <v>6.84</v>
      </c>
      <c r="H33">
        <v>5.17</v>
      </c>
      <c r="I33">
        <v>79.95</v>
      </c>
      <c r="J33">
        <v>62.63</v>
      </c>
      <c r="K33">
        <v>71.290000000000006</v>
      </c>
      <c r="L33">
        <v>8</v>
      </c>
      <c r="M33">
        <v>78.739999999999995</v>
      </c>
      <c r="N33">
        <v>73.55</v>
      </c>
      <c r="O33">
        <v>74.97</v>
      </c>
    </row>
    <row r="34" spans="1:15" x14ac:dyDescent="0.35">
      <c r="A34" t="s">
        <v>35</v>
      </c>
      <c r="B34">
        <v>9.93</v>
      </c>
      <c r="C34">
        <v>9.8800000000000008</v>
      </c>
      <c r="D34">
        <v>13.32</v>
      </c>
      <c r="E34">
        <v>13.62</v>
      </c>
      <c r="F34">
        <v>0.32</v>
      </c>
      <c r="G34">
        <v>2.63</v>
      </c>
      <c r="H34">
        <v>1.43</v>
      </c>
      <c r="I34">
        <v>87.79</v>
      </c>
      <c r="J34">
        <v>79.86</v>
      </c>
      <c r="K34">
        <v>83.825000000000003</v>
      </c>
      <c r="L34">
        <v>5.71</v>
      </c>
      <c r="M34">
        <v>74.44</v>
      </c>
      <c r="N34">
        <v>73.23</v>
      </c>
      <c r="O34">
        <v>73.92</v>
      </c>
    </row>
    <row r="35" spans="1:15" x14ac:dyDescent="0.35">
      <c r="A35" t="s">
        <v>36</v>
      </c>
      <c r="B35">
        <v>10.11</v>
      </c>
      <c r="C35">
        <v>10.119999999999999</v>
      </c>
      <c r="D35">
        <v>12.93</v>
      </c>
      <c r="E35">
        <v>13.77</v>
      </c>
      <c r="F35">
        <v>1.61</v>
      </c>
      <c r="G35">
        <v>3.27</v>
      </c>
      <c r="H35">
        <v>2.4</v>
      </c>
      <c r="I35">
        <v>89.61</v>
      </c>
      <c r="J35">
        <v>78.819999999999993</v>
      </c>
      <c r="K35">
        <v>84.215000000000003</v>
      </c>
      <c r="L35">
        <v>22.5</v>
      </c>
      <c r="M35">
        <v>77.7</v>
      </c>
      <c r="N35">
        <v>74.97</v>
      </c>
      <c r="O35">
        <v>76.55</v>
      </c>
    </row>
    <row r="36" spans="1:15" x14ac:dyDescent="0.35">
      <c r="A36" t="s">
        <v>37</v>
      </c>
      <c r="B36">
        <v>10.66</v>
      </c>
      <c r="C36">
        <v>10.28</v>
      </c>
      <c r="D36">
        <v>13.33</v>
      </c>
      <c r="E36">
        <v>13.94</v>
      </c>
      <c r="F36">
        <v>7.42</v>
      </c>
      <c r="G36">
        <v>9.08</v>
      </c>
      <c r="H36">
        <v>8.02</v>
      </c>
      <c r="I36">
        <v>85.69</v>
      </c>
      <c r="J36">
        <v>49.47</v>
      </c>
      <c r="K36">
        <v>67.58</v>
      </c>
      <c r="L36">
        <v>6</v>
      </c>
      <c r="M36">
        <v>81.31</v>
      </c>
      <c r="N36">
        <v>74.930000000000007</v>
      </c>
      <c r="O36">
        <v>76.92</v>
      </c>
    </row>
    <row r="37" spans="1:15" x14ac:dyDescent="0.35">
      <c r="A37" t="s">
        <v>38</v>
      </c>
      <c r="B37">
        <v>9.0500000000000007</v>
      </c>
      <c r="C37">
        <v>8.33</v>
      </c>
      <c r="D37">
        <v>13.28</v>
      </c>
      <c r="E37">
        <v>13.54</v>
      </c>
      <c r="F37">
        <v>7.38</v>
      </c>
      <c r="G37">
        <v>4.1500000000000004</v>
      </c>
      <c r="H37">
        <v>6.08</v>
      </c>
      <c r="I37">
        <v>90.74</v>
      </c>
      <c r="J37">
        <v>61.74</v>
      </c>
      <c r="K37">
        <v>76.239999999999995</v>
      </c>
      <c r="L37">
        <v>10</v>
      </c>
      <c r="M37">
        <v>77</v>
      </c>
      <c r="N37">
        <v>68.569999999999993</v>
      </c>
      <c r="O37">
        <v>72.73</v>
      </c>
    </row>
    <row r="38" spans="1:15" x14ac:dyDescent="0.35">
      <c r="A38" t="s">
        <v>39</v>
      </c>
      <c r="B38">
        <v>7.35</v>
      </c>
      <c r="C38">
        <v>5.73</v>
      </c>
      <c r="D38">
        <v>12.75</v>
      </c>
      <c r="E38">
        <v>12.92</v>
      </c>
      <c r="F38">
        <v>3.29</v>
      </c>
      <c r="G38">
        <v>2.74</v>
      </c>
      <c r="H38">
        <v>3.03</v>
      </c>
      <c r="I38">
        <v>84.2</v>
      </c>
      <c r="J38">
        <v>73.44</v>
      </c>
      <c r="K38">
        <v>78.819999999999993</v>
      </c>
      <c r="L38">
        <v>11.43</v>
      </c>
      <c r="M38">
        <v>70.05</v>
      </c>
      <c r="N38">
        <v>62.93</v>
      </c>
      <c r="O38">
        <v>65.02</v>
      </c>
    </row>
    <row r="39" spans="1:15" x14ac:dyDescent="0.35">
      <c r="A39" t="s">
        <v>40</v>
      </c>
      <c r="B39">
        <v>10.57</v>
      </c>
      <c r="C39">
        <v>9.98</v>
      </c>
      <c r="D39">
        <v>13.46</v>
      </c>
      <c r="E39">
        <v>14.46</v>
      </c>
      <c r="F39">
        <v>1.05</v>
      </c>
      <c r="G39">
        <v>0.78</v>
      </c>
      <c r="H39">
        <v>0.92</v>
      </c>
      <c r="I39">
        <v>88.46</v>
      </c>
      <c r="J39">
        <v>84.6</v>
      </c>
      <c r="K39">
        <v>86.53</v>
      </c>
      <c r="L39">
        <v>16.670000000000002</v>
      </c>
      <c r="M39">
        <v>73</v>
      </c>
      <c r="N39">
        <v>71.12</v>
      </c>
      <c r="O39">
        <v>71.59</v>
      </c>
    </row>
    <row r="40" spans="1:15" x14ac:dyDescent="0.35">
      <c r="A40" t="s">
        <v>41</v>
      </c>
      <c r="B40">
        <v>9.9700000000000006</v>
      </c>
      <c r="C40">
        <v>9.36</v>
      </c>
      <c r="D40">
        <v>12.72</v>
      </c>
      <c r="E40">
        <v>15.07</v>
      </c>
      <c r="F40">
        <v>0.47</v>
      </c>
      <c r="G40">
        <v>1.53</v>
      </c>
      <c r="H40">
        <v>0.97</v>
      </c>
      <c r="I40">
        <v>89.91</v>
      </c>
      <c r="J40">
        <v>80.89</v>
      </c>
      <c r="K40">
        <v>85.4</v>
      </c>
      <c r="L40">
        <v>5</v>
      </c>
      <c r="M40">
        <v>70.86</v>
      </c>
      <c r="N40">
        <v>70.290000000000006</v>
      </c>
      <c r="O40">
        <v>70.36</v>
      </c>
    </row>
    <row r="41" spans="1:15" x14ac:dyDescent="0.35">
      <c r="A41" t="s">
        <v>42</v>
      </c>
      <c r="B41">
        <v>10.1</v>
      </c>
      <c r="C41">
        <v>9.1199999999999992</v>
      </c>
      <c r="D41">
        <v>13.39</v>
      </c>
      <c r="E41">
        <v>14.51</v>
      </c>
      <c r="F41">
        <v>1.57</v>
      </c>
      <c r="G41">
        <v>0.15</v>
      </c>
      <c r="H41">
        <v>0.89</v>
      </c>
      <c r="I41">
        <v>90.55</v>
      </c>
      <c r="J41">
        <v>80.73</v>
      </c>
      <c r="K41">
        <v>85.64</v>
      </c>
      <c r="L41">
        <v>12</v>
      </c>
      <c r="M41">
        <v>74.900000000000006</v>
      </c>
      <c r="N41">
        <v>72.599999999999994</v>
      </c>
      <c r="O41">
        <v>72.88</v>
      </c>
    </row>
    <row r="42" spans="1:15" x14ac:dyDescent="0.35">
      <c r="A42" t="s">
        <v>43</v>
      </c>
      <c r="B42">
        <v>9.33</v>
      </c>
      <c r="C42">
        <v>8.89</v>
      </c>
      <c r="D42">
        <v>12.6</v>
      </c>
      <c r="E42">
        <v>12.86</v>
      </c>
      <c r="F42">
        <v>4.09</v>
      </c>
      <c r="G42">
        <v>6.18</v>
      </c>
      <c r="H42">
        <v>4.88</v>
      </c>
      <c r="I42">
        <v>83.95</v>
      </c>
      <c r="J42">
        <v>51.5</v>
      </c>
      <c r="K42">
        <v>67.724999999999994</v>
      </c>
      <c r="L42">
        <v>11.11</v>
      </c>
      <c r="M42">
        <v>76.91</v>
      </c>
      <c r="N42">
        <v>68.5</v>
      </c>
      <c r="O42">
        <v>72.47</v>
      </c>
    </row>
    <row r="43" spans="1:15" x14ac:dyDescent="0.35">
      <c r="A43" t="s">
        <v>44</v>
      </c>
      <c r="B43">
        <v>8.75</v>
      </c>
      <c r="C43">
        <v>8.43</v>
      </c>
      <c r="D43">
        <v>12.95</v>
      </c>
      <c r="E43">
        <v>13.29</v>
      </c>
      <c r="F43">
        <v>5.23</v>
      </c>
      <c r="G43">
        <v>6.59</v>
      </c>
      <c r="H43">
        <v>5.75</v>
      </c>
      <c r="I43">
        <v>89.52</v>
      </c>
      <c r="J43">
        <v>54.6</v>
      </c>
      <c r="K43">
        <v>72.06</v>
      </c>
      <c r="L43">
        <v>11.43</v>
      </c>
      <c r="M43">
        <v>75.540000000000006</v>
      </c>
      <c r="N43">
        <v>63.5</v>
      </c>
      <c r="O43">
        <v>70.83</v>
      </c>
    </row>
    <row r="44" spans="1:15" x14ac:dyDescent="0.35">
      <c r="A44" t="s">
        <v>45</v>
      </c>
      <c r="B44">
        <v>9.9700000000000006</v>
      </c>
      <c r="C44">
        <v>9.7100000000000009</v>
      </c>
      <c r="D44">
        <v>13.4</v>
      </c>
      <c r="E44">
        <v>13.71</v>
      </c>
      <c r="F44">
        <v>3.98</v>
      </c>
      <c r="G44">
        <v>4.01</v>
      </c>
      <c r="H44">
        <v>3.99</v>
      </c>
      <c r="I44">
        <v>81.95</v>
      </c>
      <c r="J44">
        <v>63.72</v>
      </c>
      <c r="K44">
        <v>72.835000000000008</v>
      </c>
      <c r="L44">
        <v>10</v>
      </c>
      <c r="M44">
        <v>77.010000000000005</v>
      </c>
      <c r="N44">
        <v>68.13</v>
      </c>
      <c r="O44">
        <v>72.319999999999993</v>
      </c>
    </row>
    <row r="45" spans="1:15" x14ac:dyDescent="0.35">
      <c r="A45" t="s">
        <v>46</v>
      </c>
      <c r="B45">
        <v>9.75</v>
      </c>
      <c r="C45">
        <v>9.4700000000000006</v>
      </c>
      <c r="D45">
        <v>13.36</v>
      </c>
      <c r="E45">
        <v>14.05</v>
      </c>
      <c r="F45">
        <v>1.86</v>
      </c>
      <c r="G45">
        <v>10.38</v>
      </c>
      <c r="H45">
        <v>5.47</v>
      </c>
      <c r="I45">
        <v>89.15</v>
      </c>
      <c r="J45">
        <v>65.86</v>
      </c>
      <c r="K45">
        <v>77.504999999999995</v>
      </c>
      <c r="L45">
        <v>0</v>
      </c>
      <c r="M45">
        <v>75.38</v>
      </c>
      <c r="N45">
        <v>65.56</v>
      </c>
      <c r="O45">
        <v>71.27</v>
      </c>
    </row>
    <row r="46" spans="1:15" x14ac:dyDescent="0.35">
      <c r="A46" t="s">
        <v>47</v>
      </c>
      <c r="B46">
        <v>9.4499999999999993</v>
      </c>
      <c r="C46">
        <v>9.11</v>
      </c>
      <c r="D46">
        <v>12.98</v>
      </c>
      <c r="E46">
        <v>13.97</v>
      </c>
      <c r="F46">
        <v>2.4700000000000002</v>
      </c>
      <c r="G46">
        <v>4.51</v>
      </c>
      <c r="H46">
        <v>3.24</v>
      </c>
      <c r="I46">
        <v>87.22</v>
      </c>
      <c r="J46">
        <v>55.86</v>
      </c>
      <c r="K46">
        <v>71.539999999999992</v>
      </c>
      <c r="L46">
        <v>8.57</v>
      </c>
      <c r="M46">
        <v>78.27</v>
      </c>
      <c r="N46">
        <v>69.569999999999993</v>
      </c>
      <c r="O46">
        <v>73.67</v>
      </c>
    </row>
    <row r="47" spans="1:15" x14ac:dyDescent="0.35">
      <c r="A47" t="s">
        <v>48</v>
      </c>
      <c r="B47">
        <v>9.41</v>
      </c>
      <c r="C47">
        <v>8.98</v>
      </c>
      <c r="D47">
        <v>13.35</v>
      </c>
      <c r="E47">
        <v>13.89</v>
      </c>
      <c r="F47">
        <v>3.11</v>
      </c>
      <c r="G47">
        <v>7.56</v>
      </c>
      <c r="H47">
        <v>4.5999999999999996</v>
      </c>
      <c r="I47">
        <v>85.45</v>
      </c>
      <c r="J47">
        <v>43.87</v>
      </c>
      <c r="K47">
        <v>64.66</v>
      </c>
      <c r="L47">
        <v>2.86</v>
      </c>
      <c r="M47">
        <v>78.59</v>
      </c>
      <c r="N47">
        <v>71.2</v>
      </c>
      <c r="O47">
        <v>74.400000000000006</v>
      </c>
    </row>
    <row r="48" spans="1:15" x14ac:dyDescent="0.35">
      <c r="A48" t="s">
        <v>49</v>
      </c>
      <c r="B48">
        <v>8.23</v>
      </c>
      <c r="C48">
        <v>5.92</v>
      </c>
      <c r="D48">
        <v>13.38</v>
      </c>
      <c r="E48">
        <v>13.3</v>
      </c>
      <c r="F48">
        <v>2.0499999999999998</v>
      </c>
      <c r="G48">
        <v>3.69</v>
      </c>
      <c r="H48">
        <v>2.82</v>
      </c>
      <c r="I48">
        <v>86.23</v>
      </c>
      <c r="J48">
        <v>73.37</v>
      </c>
      <c r="K48">
        <v>79.800000000000011</v>
      </c>
      <c r="L48">
        <v>8</v>
      </c>
      <c r="M48">
        <v>72.22</v>
      </c>
      <c r="N48">
        <v>58.44</v>
      </c>
      <c r="O48">
        <v>65.62</v>
      </c>
    </row>
    <row r="49" spans="1:15" x14ac:dyDescent="0.35">
      <c r="A49" t="s">
        <v>50</v>
      </c>
      <c r="B49">
        <v>8.7899999999999991</v>
      </c>
      <c r="C49">
        <v>6.28</v>
      </c>
      <c r="D49">
        <v>13.15</v>
      </c>
      <c r="E49">
        <v>12.87</v>
      </c>
      <c r="F49">
        <v>1.59</v>
      </c>
      <c r="G49">
        <v>0.43</v>
      </c>
      <c r="H49">
        <v>1</v>
      </c>
      <c r="I49">
        <v>84.66</v>
      </c>
      <c r="J49">
        <v>78.02</v>
      </c>
      <c r="K49">
        <v>81.34</v>
      </c>
      <c r="L49">
        <v>15</v>
      </c>
      <c r="M49">
        <v>70.98</v>
      </c>
      <c r="N49">
        <v>62.16</v>
      </c>
      <c r="O49">
        <v>64.67</v>
      </c>
    </row>
    <row r="50" spans="1:15" x14ac:dyDescent="0.35">
      <c r="A50" t="s">
        <v>51</v>
      </c>
      <c r="B50">
        <v>10.43</v>
      </c>
      <c r="C50">
        <v>10.46</v>
      </c>
      <c r="D50">
        <v>12.93</v>
      </c>
      <c r="E50">
        <v>13.95</v>
      </c>
      <c r="F50">
        <v>8.36</v>
      </c>
      <c r="G50">
        <v>4.0999999999999996</v>
      </c>
      <c r="H50">
        <v>6.52</v>
      </c>
      <c r="I50">
        <v>80.56</v>
      </c>
      <c r="J50">
        <v>61.1</v>
      </c>
      <c r="K50">
        <v>70.83</v>
      </c>
      <c r="L50">
        <v>15</v>
      </c>
      <c r="M50">
        <v>76.95</v>
      </c>
      <c r="N50">
        <v>75.41</v>
      </c>
      <c r="O50">
        <v>75.66</v>
      </c>
    </row>
    <row r="51" spans="1:15" x14ac:dyDescent="0.35">
      <c r="A51" t="s">
        <v>52</v>
      </c>
      <c r="B51">
        <v>9.5399999999999991</v>
      </c>
      <c r="C51">
        <v>9.8699999999999992</v>
      </c>
      <c r="D51">
        <v>12.71</v>
      </c>
      <c r="E51">
        <v>13.44</v>
      </c>
      <c r="F51">
        <v>3.73</v>
      </c>
      <c r="G51">
        <v>4.63</v>
      </c>
      <c r="H51">
        <v>4.08</v>
      </c>
      <c r="I51">
        <v>84.25</v>
      </c>
      <c r="J51">
        <v>54.55</v>
      </c>
      <c r="K51">
        <v>69.400000000000006</v>
      </c>
      <c r="L51">
        <v>32</v>
      </c>
      <c r="M51">
        <v>75</v>
      </c>
      <c r="N51">
        <v>68.17</v>
      </c>
      <c r="O51">
        <v>71.099999999999994</v>
      </c>
    </row>
    <row r="52" spans="1:15" x14ac:dyDescent="0.35">
      <c r="A52" t="s">
        <v>53</v>
      </c>
      <c r="B52">
        <v>11.9</v>
      </c>
      <c r="C52">
        <v>11.75</v>
      </c>
      <c r="D52">
        <v>14.98</v>
      </c>
      <c r="E52">
        <v>14.61</v>
      </c>
      <c r="F52">
        <v>6.97</v>
      </c>
      <c r="G52">
        <v>9.35</v>
      </c>
      <c r="H52">
        <v>8</v>
      </c>
      <c r="I52">
        <v>83.37</v>
      </c>
      <c r="J52">
        <v>60.73</v>
      </c>
      <c r="K52">
        <v>72.05</v>
      </c>
      <c r="L52">
        <v>16.670000000000002</v>
      </c>
      <c r="M52">
        <v>83.38</v>
      </c>
      <c r="N52">
        <v>80.59</v>
      </c>
      <c r="O52">
        <v>81.17</v>
      </c>
    </row>
    <row r="53" spans="1:15" x14ac:dyDescent="0.35">
      <c r="A53" t="s">
        <v>54</v>
      </c>
      <c r="B53">
        <v>11.12</v>
      </c>
      <c r="C53">
        <v>10.86</v>
      </c>
      <c r="D53">
        <v>12.86</v>
      </c>
      <c r="E53">
        <v>13.22</v>
      </c>
      <c r="F53">
        <v>6.4</v>
      </c>
      <c r="G53">
        <v>5.84</v>
      </c>
      <c r="H53">
        <v>6.18</v>
      </c>
      <c r="I53">
        <v>82.19</v>
      </c>
      <c r="J53">
        <v>51.3</v>
      </c>
      <c r="K53">
        <v>66.745000000000005</v>
      </c>
      <c r="L53">
        <v>12</v>
      </c>
      <c r="M53">
        <v>80.97</v>
      </c>
      <c r="N53">
        <v>76.02</v>
      </c>
      <c r="O53">
        <v>77.45</v>
      </c>
    </row>
    <row r="54" spans="1:15" x14ac:dyDescent="0.35">
      <c r="A54" t="s">
        <v>55</v>
      </c>
      <c r="B54">
        <v>11.86</v>
      </c>
      <c r="C54">
        <v>11.73</v>
      </c>
      <c r="D54">
        <v>14.65</v>
      </c>
      <c r="E54">
        <v>14.98</v>
      </c>
      <c r="F54">
        <v>9.43</v>
      </c>
      <c r="G54">
        <v>6.15</v>
      </c>
      <c r="H54">
        <v>8.1300000000000008</v>
      </c>
      <c r="I54">
        <v>81.11</v>
      </c>
      <c r="J54">
        <v>52.15</v>
      </c>
      <c r="K54">
        <v>66.63</v>
      </c>
      <c r="L54">
        <v>16</v>
      </c>
      <c r="M54">
        <v>86.96</v>
      </c>
      <c r="N54">
        <v>82.17</v>
      </c>
      <c r="O54">
        <v>82.76</v>
      </c>
    </row>
    <row r="55" spans="1:15" x14ac:dyDescent="0.35">
      <c r="A55" t="s">
        <v>56</v>
      </c>
      <c r="B55">
        <v>11.39</v>
      </c>
      <c r="C55">
        <v>11.05</v>
      </c>
      <c r="D55">
        <v>14.16</v>
      </c>
      <c r="E55">
        <v>14.25</v>
      </c>
      <c r="F55">
        <v>3.39</v>
      </c>
      <c r="G55">
        <v>8.69</v>
      </c>
      <c r="H55">
        <v>5.44</v>
      </c>
      <c r="I55">
        <v>79.67</v>
      </c>
      <c r="J55">
        <v>49.12</v>
      </c>
      <c r="K55">
        <v>64.394999999999996</v>
      </c>
      <c r="L55">
        <v>14.29</v>
      </c>
      <c r="M55">
        <v>82.47</v>
      </c>
      <c r="N55">
        <v>75.36</v>
      </c>
      <c r="O55">
        <v>78.099999999999994</v>
      </c>
    </row>
    <row r="56" spans="1:15" x14ac:dyDescent="0.35">
      <c r="A56" t="s">
        <v>57</v>
      </c>
      <c r="B56">
        <v>11.27</v>
      </c>
      <c r="C56">
        <v>11.05</v>
      </c>
      <c r="D56">
        <v>14.07</v>
      </c>
      <c r="E56">
        <v>15.24</v>
      </c>
      <c r="F56">
        <v>7.22</v>
      </c>
      <c r="G56">
        <v>7.11</v>
      </c>
      <c r="H56">
        <v>7.17</v>
      </c>
      <c r="I56">
        <v>80</v>
      </c>
      <c r="J56">
        <v>56.85</v>
      </c>
      <c r="K56">
        <v>68.424999999999997</v>
      </c>
      <c r="L56">
        <v>30</v>
      </c>
      <c r="M56">
        <v>78.77</v>
      </c>
      <c r="N56">
        <v>76.77</v>
      </c>
      <c r="O56">
        <v>76.959999999999994</v>
      </c>
    </row>
    <row r="57" spans="1:15" x14ac:dyDescent="0.35">
      <c r="A57" t="s">
        <v>58</v>
      </c>
      <c r="B57">
        <v>9.9700000000000006</v>
      </c>
      <c r="C57">
        <v>7.98</v>
      </c>
      <c r="D57">
        <v>13.74</v>
      </c>
      <c r="E57">
        <v>14.13</v>
      </c>
      <c r="F57">
        <v>3.44</v>
      </c>
      <c r="G57">
        <v>3.13</v>
      </c>
      <c r="H57">
        <v>3.3</v>
      </c>
      <c r="I57">
        <v>81.61</v>
      </c>
      <c r="J57">
        <v>61.45</v>
      </c>
      <c r="K57">
        <v>71.53</v>
      </c>
      <c r="L57">
        <v>16</v>
      </c>
      <c r="M57">
        <v>77.03</v>
      </c>
      <c r="N57">
        <v>69.510000000000005</v>
      </c>
      <c r="O57">
        <v>71.41</v>
      </c>
    </row>
    <row r="58" spans="1:15" x14ac:dyDescent="0.35">
      <c r="A58" t="s">
        <v>60</v>
      </c>
      <c r="B58">
        <v>8.4600000000000009</v>
      </c>
      <c r="C58">
        <v>7.57</v>
      </c>
      <c r="D58">
        <v>13.14</v>
      </c>
      <c r="E58">
        <v>12.84</v>
      </c>
      <c r="F58">
        <v>1.1399999999999999</v>
      </c>
      <c r="G58">
        <v>1.8</v>
      </c>
      <c r="H58">
        <v>1.44</v>
      </c>
      <c r="I58">
        <v>86.66</v>
      </c>
      <c r="J58">
        <v>80.010000000000005</v>
      </c>
      <c r="K58">
        <v>83.335000000000008</v>
      </c>
      <c r="L58">
        <v>0</v>
      </c>
      <c r="M58">
        <v>68.930000000000007</v>
      </c>
      <c r="N58">
        <v>62.13</v>
      </c>
      <c r="O58">
        <v>63.99</v>
      </c>
    </row>
    <row r="59" spans="1:15" x14ac:dyDescent="0.35">
      <c r="A59" t="s">
        <v>61</v>
      </c>
      <c r="B59">
        <v>8.67</v>
      </c>
      <c r="C59">
        <v>8.86</v>
      </c>
      <c r="D59">
        <v>13.36</v>
      </c>
      <c r="E59">
        <v>14.19</v>
      </c>
      <c r="F59">
        <v>5.22</v>
      </c>
      <c r="G59">
        <v>4.79</v>
      </c>
      <c r="H59">
        <v>5.0599999999999996</v>
      </c>
      <c r="I59">
        <v>83.7</v>
      </c>
      <c r="J59">
        <v>48.31</v>
      </c>
      <c r="K59">
        <v>66.004999999999995</v>
      </c>
      <c r="L59">
        <v>4.4400000000000004</v>
      </c>
      <c r="M59">
        <v>75.040000000000006</v>
      </c>
      <c r="N59">
        <v>71.91</v>
      </c>
      <c r="O59">
        <v>72.02</v>
      </c>
    </row>
    <row r="60" spans="1:15" x14ac:dyDescent="0.35">
      <c r="A60" t="s">
        <v>62</v>
      </c>
      <c r="B60">
        <v>7.94</v>
      </c>
      <c r="C60">
        <v>7.91</v>
      </c>
      <c r="D60">
        <v>12.91</v>
      </c>
      <c r="E60">
        <v>14.16</v>
      </c>
      <c r="F60">
        <v>1.8</v>
      </c>
      <c r="G60">
        <v>8.9600000000000009</v>
      </c>
      <c r="H60">
        <v>4.91</v>
      </c>
      <c r="I60">
        <v>86.63</v>
      </c>
      <c r="J60">
        <v>66.930000000000007</v>
      </c>
      <c r="K60">
        <v>76.78</v>
      </c>
      <c r="L60">
        <v>11.43</v>
      </c>
      <c r="M60">
        <v>73.77</v>
      </c>
      <c r="N60">
        <v>70.98</v>
      </c>
      <c r="O60">
        <v>71.02</v>
      </c>
    </row>
    <row r="61" spans="1:15" x14ac:dyDescent="0.35">
      <c r="A61" t="s">
        <v>63</v>
      </c>
      <c r="B61">
        <v>8.67</v>
      </c>
      <c r="C61">
        <v>8.6199999999999992</v>
      </c>
      <c r="D61">
        <v>12.47</v>
      </c>
      <c r="E61">
        <v>13.67</v>
      </c>
      <c r="F61">
        <v>3.26</v>
      </c>
      <c r="G61">
        <v>6.9</v>
      </c>
      <c r="H61">
        <v>4.7300000000000004</v>
      </c>
      <c r="I61">
        <v>82.89</v>
      </c>
      <c r="J61">
        <v>57.26</v>
      </c>
      <c r="K61">
        <v>70.075000000000003</v>
      </c>
      <c r="L61">
        <v>10</v>
      </c>
      <c r="M61">
        <v>74.02</v>
      </c>
      <c r="N61">
        <v>69.87</v>
      </c>
      <c r="O61">
        <v>70.23</v>
      </c>
    </row>
    <row r="62" spans="1:15" x14ac:dyDescent="0.35">
      <c r="A62" t="s">
        <v>64</v>
      </c>
      <c r="B62">
        <v>9.06</v>
      </c>
      <c r="C62">
        <v>9.32</v>
      </c>
      <c r="D62">
        <v>14.34</v>
      </c>
      <c r="E62">
        <v>15.33</v>
      </c>
      <c r="F62">
        <v>4.92</v>
      </c>
      <c r="G62">
        <v>5.85</v>
      </c>
      <c r="H62">
        <v>5.3</v>
      </c>
      <c r="I62">
        <v>83.46</v>
      </c>
      <c r="J62">
        <v>58.91</v>
      </c>
      <c r="K62">
        <v>71.185000000000002</v>
      </c>
      <c r="L62">
        <v>8.57</v>
      </c>
      <c r="M62">
        <v>76.13</v>
      </c>
      <c r="N62">
        <v>74.209999999999994</v>
      </c>
      <c r="O62">
        <v>74.900000000000006</v>
      </c>
    </row>
    <row r="63" spans="1:15" x14ac:dyDescent="0.35">
      <c r="A63" t="s">
        <v>65</v>
      </c>
      <c r="B63">
        <v>8.7100000000000009</v>
      </c>
      <c r="C63">
        <v>8.31</v>
      </c>
      <c r="D63">
        <v>13.88</v>
      </c>
      <c r="E63">
        <v>15.07</v>
      </c>
      <c r="F63">
        <v>5.51</v>
      </c>
      <c r="G63">
        <v>8.0399999999999991</v>
      </c>
      <c r="H63">
        <v>6.59</v>
      </c>
      <c r="I63">
        <v>76.8</v>
      </c>
      <c r="J63">
        <v>57.53</v>
      </c>
      <c r="K63">
        <v>67.164999999999992</v>
      </c>
      <c r="L63">
        <v>0</v>
      </c>
      <c r="M63">
        <v>77.11</v>
      </c>
      <c r="N63">
        <v>72.42</v>
      </c>
      <c r="O63">
        <v>73.099999999999994</v>
      </c>
    </row>
    <row r="64" spans="1:15" x14ac:dyDescent="0.35">
      <c r="A64" t="s">
        <v>66</v>
      </c>
      <c r="B64">
        <v>9.1300000000000008</v>
      </c>
      <c r="C64">
        <v>9.34</v>
      </c>
      <c r="D64">
        <v>13.84</v>
      </c>
      <c r="E64">
        <v>14.86</v>
      </c>
      <c r="F64">
        <v>3.06</v>
      </c>
      <c r="G64">
        <v>7.09</v>
      </c>
      <c r="H64">
        <v>4.7300000000000004</v>
      </c>
      <c r="I64">
        <v>80.989999999999995</v>
      </c>
      <c r="J64">
        <v>57.84</v>
      </c>
      <c r="K64">
        <v>69.414999999999992</v>
      </c>
      <c r="L64">
        <v>8.89</v>
      </c>
      <c r="M64">
        <v>76.72</v>
      </c>
      <c r="N64">
        <v>74.489999999999995</v>
      </c>
      <c r="O64">
        <v>74.66</v>
      </c>
    </row>
    <row r="65" spans="1:15" x14ac:dyDescent="0.35">
      <c r="A65" t="s">
        <v>67</v>
      </c>
      <c r="B65">
        <v>8.4600000000000009</v>
      </c>
      <c r="C65">
        <v>8.1199999999999992</v>
      </c>
      <c r="D65">
        <v>13.14</v>
      </c>
      <c r="E65">
        <v>13.91</v>
      </c>
      <c r="F65">
        <v>4.22</v>
      </c>
      <c r="G65">
        <v>2.98</v>
      </c>
      <c r="H65">
        <v>3.68</v>
      </c>
      <c r="I65">
        <v>84.1</v>
      </c>
      <c r="J65">
        <v>64.3</v>
      </c>
      <c r="K65">
        <v>74.199999999999989</v>
      </c>
      <c r="L65">
        <v>5.71</v>
      </c>
      <c r="M65">
        <v>74.64</v>
      </c>
      <c r="N65">
        <v>70.8</v>
      </c>
      <c r="O65">
        <v>71.14</v>
      </c>
    </row>
    <row r="66" spans="1:15" x14ac:dyDescent="0.35">
      <c r="A66" t="s">
        <v>68</v>
      </c>
      <c r="B66">
        <v>8.4</v>
      </c>
      <c r="C66">
        <v>8.1199999999999992</v>
      </c>
      <c r="D66">
        <v>13.15</v>
      </c>
      <c r="E66">
        <v>14.26</v>
      </c>
      <c r="F66">
        <v>4.42</v>
      </c>
      <c r="G66">
        <v>6.45</v>
      </c>
      <c r="H66">
        <v>5.25</v>
      </c>
      <c r="I66">
        <v>84.74</v>
      </c>
      <c r="J66">
        <v>58.83</v>
      </c>
      <c r="K66">
        <v>71.784999999999997</v>
      </c>
      <c r="L66">
        <v>14.29</v>
      </c>
      <c r="M66">
        <v>72.599999999999994</v>
      </c>
      <c r="N66">
        <v>67.45</v>
      </c>
      <c r="O66">
        <v>68.89</v>
      </c>
    </row>
    <row r="67" spans="1:15" x14ac:dyDescent="0.35">
      <c r="A67" t="s">
        <v>69</v>
      </c>
      <c r="B67">
        <v>8.77</v>
      </c>
      <c r="C67">
        <v>8.93</v>
      </c>
      <c r="D67">
        <v>12.83</v>
      </c>
      <c r="E67">
        <v>13.71</v>
      </c>
      <c r="F67">
        <v>1.93</v>
      </c>
      <c r="G67">
        <v>2.82</v>
      </c>
      <c r="H67">
        <v>2.2999999999999998</v>
      </c>
      <c r="I67">
        <v>87.17</v>
      </c>
      <c r="J67">
        <v>65.91</v>
      </c>
      <c r="K67">
        <v>76.539999999999992</v>
      </c>
      <c r="L67">
        <v>0</v>
      </c>
      <c r="M67">
        <v>74.11</v>
      </c>
      <c r="N67">
        <v>70.8</v>
      </c>
      <c r="O67">
        <v>71.5</v>
      </c>
    </row>
    <row r="68" spans="1:15" x14ac:dyDescent="0.35">
      <c r="A68" t="s">
        <v>70</v>
      </c>
      <c r="B68">
        <v>8.9700000000000006</v>
      </c>
      <c r="C68">
        <v>8.98</v>
      </c>
      <c r="D68">
        <v>12.52</v>
      </c>
      <c r="E68">
        <v>13.23</v>
      </c>
      <c r="F68">
        <v>5.3</v>
      </c>
      <c r="G68">
        <v>7.14</v>
      </c>
      <c r="H68">
        <v>6.02</v>
      </c>
      <c r="I68">
        <v>89.72</v>
      </c>
      <c r="J68">
        <v>58.76</v>
      </c>
      <c r="K68">
        <v>74.239999999999995</v>
      </c>
      <c r="L68">
        <v>6.67</v>
      </c>
      <c r="M68">
        <v>77.95</v>
      </c>
      <c r="N68">
        <v>69.930000000000007</v>
      </c>
      <c r="O68">
        <v>74.06</v>
      </c>
    </row>
    <row r="69" spans="1:15" x14ac:dyDescent="0.35">
      <c r="A69" t="s">
        <v>71</v>
      </c>
      <c r="B69">
        <v>9.14</v>
      </c>
      <c r="C69">
        <v>8.91</v>
      </c>
      <c r="D69">
        <v>13.25</v>
      </c>
      <c r="E69">
        <v>14.32</v>
      </c>
      <c r="F69">
        <v>6.05</v>
      </c>
      <c r="G69">
        <v>6.86</v>
      </c>
      <c r="H69">
        <v>6.34</v>
      </c>
      <c r="I69">
        <v>84.4</v>
      </c>
      <c r="J69">
        <v>49.48</v>
      </c>
      <c r="K69">
        <v>66.94</v>
      </c>
      <c r="L69">
        <v>10</v>
      </c>
      <c r="M69">
        <v>74.66</v>
      </c>
      <c r="N69">
        <v>67.430000000000007</v>
      </c>
      <c r="O69">
        <v>70.930000000000007</v>
      </c>
    </row>
    <row r="70" spans="1:15" x14ac:dyDescent="0.35">
      <c r="A70" t="s">
        <v>72</v>
      </c>
      <c r="B70">
        <v>11.72</v>
      </c>
      <c r="C70">
        <v>11.62</v>
      </c>
      <c r="D70">
        <v>16.37</v>
      </c>
      <c r="E70">
        <v>16.91</v>
      </c>
      <c r="F70">
        <v>8.43</v>
      </c>
      <c r="G70">
        <v>12.01</v>
      </c>
      <c r="H70">
        <v>9.8800000000000008</v>
      </c>
      <c r="I70">
        <v>80.180000000000007</v>
      </c>
      <c r="J70">
        <v>54.25</v>
      </c>
      <c r="K70">
        <v>67.215000000000003</v>
      </c>
      <c r="L70">
        <v>8.89</v>
      </c>
      <c r="M70">
        <v>88.15</v>
      </c>
      <c r="N70">
        <v>82.9</v>
      </c>
      <c r="O70">
        <v>83.99</v>
      </c>
    </row>
    <row r="71" spans="1:15" x14ac:dyDescent="0.35">
      <c r="A71" t="s">
        <v>73</v>
      </c>
      <c r="B71">
        <v>11.25</v>
      </c>
      <c r="C71">
        <v>11.53</v>
      </c>
      <c r="D71">
        <v>14.02</v>
      </c>
      <c r="E71">
        <v>14.81</v>
      </c>
      <c r="F71">
        <v>4.78</v>
      </c>
      <c r="G71">
        <v>2.14</v>
      </c>
      <c r="H71">
        <v>3.62</v>
      </c>
      <c r="I71">
        <v>79.77</v>
      </c>
      <c r="J71">
        <v>62.54</v>
      </c>
      <c r="K71">
        <v>71.155000000000001</v>
      </c>
      <c r="L71">
        <v>15</v>
      </c>
      <c r="M71">
        <v>82.18</v>
      </c>
      <c r="N71">
        <v>79.63</v>
      </c>
      <c r="O71">
        <v>80</v>
      </c>
    </row>
    <row r="72" spans="1:15" x14ac:dyDescent="0.35">
      <c r="A72" t="s">
        <v>74</v>
      </c>
      <c r="B72">
        <v>10.41</v>
      </c>
      <c r="C72">
        <v>10.68</v>
      </c>
      <c r="D72">
        <v>13.67</v>
      </c>
      <c r="E72">
        <v>14.42</v>
      </c>
      <c r="F72">
        <v>6.39</v>
      </c>
      <c r="G72">
        <v>4.43</v>
      </c>
      <c r="H72">
        <v>5.55</v>
      </c>
      <c r="I72">
        <v>83.7</v>
      </c>
      <c r="J72">
        <v>63.35</v>
      </c>
      <c r="K72">
        <v>73.525000000000006</v>
      </c>
      <c r="L72">
        <v>20</v>
      </c>
      <c r="M72">
        <v>78.22</v>
      </c>
      <c r="N72">
        <v>74.88</v>
      </c>
      <c r="O72">
        <v>75.13</v>
      </c>
    </row>
    <row r="73" spans="1:15" x14ac:dyDescent="0.35">
      <c r="A73" t="s">
        <v>75</v>
      </c>
      <c r="B73">
        <v>11.65</v>
      </c>
      <c r="C73">
        <v>12.23</v>
      </c>
      <c r="D73">
        <v>15.13</v>
      </c>
      <c r="E73">
        <v>16.07</v>
      </c>
      <c r="F73">
        <v>4.4400000000000004</v>
      </c>
      <c r="G73">
        <v>5.62</v>
      </c>
      <c r="H73">
        <v>4.9400000000000004</v>
      </c>
      <c r="I73">
        <v>76.349999999999994</v>
      </c>
      <c r="J73">
        <v>56.34</v>
      </c>
      <c r="K73">
        <v>66.344999999999999</v>
      </c>
      <c r="L73">
        <v>20</v>
      </c>
      <c r="M73">
        <v>80.33</v>
      </c>
      <c r="N73">
        <v>78.91</v>
      </c>
      <c r="O73">
        <v>80.17</v>
      </c>
    </row>
    <row r="74" spans="1:15" x14ac:dyDescent="0.35">
      <c r="A74" t="s">
        <v>76</v>
      </c>
      <c r="B74">
        <v>11.47</v>
      </c>
      <c r="C74">
        <v>11.81</v>
      </c>
      <c r="D74">
        <v>14.79</v>
      </c>
      <c r="E74">
        <v>15.53</v>
      </c>
      <c r="F74">
        <v>4.2</v>
      </c>
      <c r="G74">
        <v>5.45</v>
      </c>
      <c r="H74">
        <v>4.72</v>
      </c>
      <c r="I74">
        <v>82.67</v>
      </c>
      <c r="J74">
        <v>57.48</v>
      </c>
      <c r="K74">
        <v>70.075000000000003</v>
      </c>
      <c r="L74">
        <v>32</v>
      </c>
      <c r="M74">
        <v>83.01</v>
      </c>
      <c r="N74">
        <v>81.900000000000006</v>
      </c>
      <c r="O74">
        <v>82.51</v>
      </c>
    </row>
    <row r="75" spans="1:15" x14ac:dyDescent="0.35">
      <c r="A75" t="s">
        <v>77</v>
      </c>
      <c r="B75">
        <v>10.62</v>
      </c>
      <c r="C75">
        <v>11.07</v>
      </c>
      <c r="D75">
        <v>14.23</v>
      </c>
      <c r="E75">
        <v>14.96</v>
      </c>
      <c r="F75">
        <v>4.4000000000000004</v>
      </c>
      <c r="G75">
        <v>5.5</v>
      </c>
      <c r="H75">
        <v>4.87</v>
      </c>
      <c r="I75">
        <v>80.569999999999993</v>
      </c>
      <c r="J75">
        <v>60.51</v>
      </c>
      <c r="K75">
        <v>70.539999999999992</v>
      </c>
      <c r="L75">
        <v>12</v>
      </c>
      <c r="M75">
        <v>81.59</v>
      </c>
      <c r="N75">
        <v>80.72</v>
      </c>
      <c r="O75">
        <v>80.61</v>
      </c>
    </row>
    <row r="76" spans="1:15" x14ac:dyDescent="0.35">
      <c r="A76" t="s">
        <v>78</v>
      </c>
      <c r="B76">
        <v>10.9</v>
      </c>
      <c r="C76">
        <v>11.19</v>
      </c>
      <c r="D76">
        <v>14.75</v>
      </c>
      <c r="E76">
        <v>15.46</v>
      </c>
      <c r="F76">
        <v>4.3099999999999996</v>
      </c>
      <c r="G76">
        <v>6.71</v>
      </c>
      <c r="H76">
        <v>5.32</v>
      </c>
      <c r="I76">
        <v>80.540000000000006</v>
      </c>
      <c r="J76">
        <v>59.2</v>
      </c>
      <c r="K76">
        <v>69.87</v>
      </c>
      <c r="L76">
        <v>10</v>
      </c>
      <c r="M76">
        <v>80.06</v>
      </c>
      <c r="N76">
        <v>78.55</v>
      </c>
      <c r="O76">
        <v>78.88</v>
      </c>
    </row>
    <row r="77" spans="1:15" x14ac:dyDescent="0.35">
      <c r="A77" t="s">
        <v>80</v>
      </c>
      <c r="B77">
        <v>9.4</v>
      </c>
      <c r="C77">
        <v>8.98</v>
      </c>
      <c r="D77">
        <v>13.16</v>
      </c>
      <c r="E77">
        <v>13.72</v>
      </c>
      <c r="F77">
        <v>1.85</v>
      </c>
      <c r="G77">
        <v>3.68</v>
      </c>
      <c r="H77">
        <v>2.48</v>
      </c>
      <c r="I77">
        <v>85.13</v>
      </c>
      <c r="J77">
        <v>45.37</v>
      </c>
      <c r="K77">
        <v>65.25</v>
      </c>
      <c r="L77">
        <v>14.29</v>
      </c>
      <c r="M77">
        <v>76.44</v>
      </c>
      <c r="N77">
        <v>69.319999999999993</v>
      </c>
      <c r="O77">
        <v>72.33</v>
      </c>
    </row>
    <row r="78" spans="1:15" x14ac:dyDescent="0.35">
      <c r="A78" t="s">
        <v>81</v>
      </c>
      <c r="B78">
        <v>8.65</v>
      </c>
      <c r="C78">
        <v>8.3699999999999992</v>
      </c>
      <c r="D78">
        <v>12.53</v>
      </c>
      <c r="E78">
        <v>12.91</v>
      </c>
      <c r="F78">
        <v>1.75</v>
      </c>
      <c r="G78">
        <v>4.17</v>
      </c>
      <c r="H78">
        <v>2.5499999999999998</v>
      </c>
      <c r="I78">
        <v>85.03</v>
      </c>
      <c r="J78">
        <v>44.48</v>
      </c>
      <c r="K78">
        <v>64.754999999999995</v>
      </c>
      <c r="L78">
        <v>5</v>
      </c>
      <c r="M78">
        <v>76.08</v>
      </c>
      <c r="N78">
        <v>66.5</v>
      </c>
      <c r="O78">
        <v>71.48</v>
      </c>
    </row>
    <row r="79" spans="1:15" x14ac:dyDescent="0.35">
      <c r="A79" t="s">
        <v>82</v>
      </c>
      <c r="B79">
        <v>7.56</v>
      </c>
      <c r="C79">
        <v>7.32</v>
      </c>
      <c r="D79">
        <v>12.17</v>
      </c>
      <c r="E79">
        <v>12.63</v>
      </c>
      <c r="F79">
        <v>1.1499999999999999</v>
      </c>
      <c r="G79">
        <v>3.18</v>
      </c>
      <c r="H79">
        <v>1.86</v>
      </c>
      <c r="I79">
        <v>85.8</v>
      </c>
      <c r="J79">
        <v>49.29</v>
      </c>
      <c r="K79">
        <v>67.545000000000002</v>
      </c>
      <c r="L79">
        <v>17.78</v>
      </c>
      <c r="M79">
        <v>73.3</v>
      </c>
      <c r="N79">
        <v>61.35</v>
      </c>
      <c r="O79">
        <v>68.38</v>
      </c>
    </row>
    <row r="80" spans="1:15" x14ac:dyDescent="0.35">
      <c r="A80" t="s">
        <v>83</v>
      </c>
      <c r="B80">
        <v>9.17</v>
      </c>
      <c r="C80">
        <v>8.77</v>
      </c>
      <c r="D80">
        <v>12.57</v>
      </c>
      <c r="E80">
        <v>13.07</v>
      </c>
      <c r="F80">
        <v>1.7</v>
      </c>
      <c r="G80">
        <v>3.04</v>
      </c>
      <c r="H80">
        <v>2.13</v>
      </c>
      <c r="I80">
        <v>88.4</v>
      </c>
      <c r="J80">
        <v>44.74</v>
      </c>
      <c r="K80">
        <v>66.570000000000007</v>
      </c>
      <c r="L80">
        <v>5</v>
      </c>
      <c r="M80">
        <v>78.52</v>
      </c>
      <c r="N80">
        <v>70.23</v>
      </c>
      <c r="O80">
        <v>74.08</v>
      </c>
    </row>
    <row r="81" spans="1:15" x14ac:dyDescent="0.35">
      <c r="A81" t="s">
        <v>84</v>
      </c>
      <c r="B81">
        <v>10.1</v>
      </c>
      <c r="C81">
        <v>9.89</v>
      </c>
      <c r="D81">
        <v>13.02</v>
      </c>
      <c r="E81">
        <v>12.89</v>
      </c>
      <c r="F81">
        <v>3.01</v>
      </c>
      <c r="G81">
        <v>7.48</v>
      </c>
      <c r="H81">
        <v>4.53</v>
      </c>
      <c r="I81">
        <v>86.21</v>
      </c>
      <c r="J81">
        <v>46.91</v>
      </c>
      <c r="K81">
        <v>66.56</v>
      </c>
      <c r="L81">
        <v>5</v>
      </c>
      <c r="M81">
        <v>80.16</v>
      </c>
      <c r="N81">
        <v>71.37</v>
      </c>
      <c r="O81">
        <v>75.45</v>
      </c>
    </row>
    <row r="82" spans="1:15" x14ac:dyDescent="0.35">
      <c r="A82" t="s">
        <v>85</v>
      </c>
      <c r="B82">
        <v>9.81</v>
      </c>
      <c r="C82">
        <v>9.36</v>
      </c>
      <c r="D82">
        <v>13.56</v>
      </c>
      <c r="E82">
        <v>13.92</v>
      </c>
      <c r="F82">
        <v>3.56</v>
      </c>
      <c r="G82">
        <v>3.9</v>
      </c>
      <c r="H82">
        <v>3.67</v>
      </c>
      <c r="I82">
        <v>83.06</v>
      </c>
      <c r="J82">
        <v>43.57</v>
      </c>
      <c r="K82">
        <v>63.314999999999998</v>
      </c>
      <c r="L82">
        <v>11.11</v>
      </c>
      <c r="M82">
        <v>79.2</v>
      </c>
      <c r="N82">
        <v>71.42</v>
      </c>
      <c r="O82">
        <v>74.849999999999994</v>
      </c>
    </row>
    <row r="83" spans="1:15" x14ac:dyDescent="0.35">
      <c r="A83" t="s">
        <v>86</v>
      </c>
      <c r="B83">
        <v>9.11</v>
      </c>
      <c r="C83">
        <v>8.76</v>
      </c>
      <c r="D83">
        <v>13.42</v>
      </c>
      <c r="E83">
        <v>12.94</v>
      </c>
      <c r="F83">
        <v>2.12</v>
      </c>
      <c r="G83">
        <v>3.93</v>
      </c>
      <c r="H83">
        <v>2.73</v>
      </c>
      <c r="I83">
        <v>88.42</v>
      </c>
      <c r="J83">
        <v>47.03</v>
      </c>
      <c r="K83">
        <v>67.724999999999994</v>
      </c>
      <c r="L83">
        <v>6.67</v>
      </c>
      <c r="M83">
        <v>78.16</v>
      </c>
      <c r="N83">
        <v>64.91</v>
      </c>
      <c r="O83">
        <v>71.819999999999993</v>
      </c>
    </row>
    <row r="84" spans="1:15" x14ac:dyDescent="0.35">
      <c r="A84" t="s">
        <v>87</v>
      </c>
      <c r="B84">
        <v>10.02</v>
      </c>
      <c r="C84">
        <v>9.44</v>
      </c>
      <c r="D84">
        <v>13.4</v>
      </c>
      <c r="E84">
        <v>13.98</v>
      </c>
      <c r="F84">
        <v>5.63</v>
      </c>
      <c r="G84">
        <v>6.39</v>
      </c>
      <c r="H84">
        <v>5.88</v>
      </c>
      <c r="I84">
        <v>85.09</v>
      </c>
      <c r="J84">
        <v>44.56</v>
      </c>
      <c r="K84">
        <v>64.825000000000003</v>
      </c>
      <c r="L84">
        <v>15.56</v>
      </c>
      <c r="M84">
        <v>79.8</v>
      </c>
      <c r="N84">
        <v>71.75</v>
      </c>
      <c r="O84">
        <v>75.28</v>
      </c>
    </row>
    <row r="85" spans="1:15" x14ac:dyDescent="0.35">
      <c r="A85" t="s">
        <v>88</v>
      </c>
      <c r="B85">
        <v>8.8800000000000008</v>
      </c>
      <c r="C85">
        <v>8.3000000000000007</v>
      </c>
      <c r="D85">
        <v>12.74</v>
      </c>
      <c r="E85">
        <v>13.42</v>
      </c>
      <c r="F85">
        <v>3.92</v>
      </c>
      <c r="G85">
        <v>5.09</v>
      </c>
      <c r="H85">
        <v>4.3099999999999996</v>
      </c>
      <c r="I85">
        <v>85.85</v>
      </c>
      <c r="J85">
        <v>44.31</v>
      </c>
      <c r="K85">
        <v>65.08</v>
      </c>
      <c r="L85">
        <v>11.11</v>
      </c>
      <c r="M85">
        <v>76.05</v>
      </c>
      <c r="N85">
        <v>65.260000000000005</v>
      </c>
      <c r="O85">
        <v>71.2</v>
      </c>
    </row>
    <row r="86" spans="1:15" x14ac:dyDescent="0.35">
      <c r="A86" t="s">
        <v>89</v>
      </c>
      <c r="B86">
        <v>8.32</v>
      </c>
      <c r="C86">
        <v>7.92</v>
      </c>
      <c r="D86">
        <v>12.87</v>
      </c>
      <c r="E86">
        <v>13.02</v>
      </c>
      <c r="F86">
        <v>4.54</v>
      </c>
      <c r="G86">
        <v>4.45</v>
      </c>
      <c r="H86">
        <v>4.51</v>
      </c>
      <c r="I86">
        <v>83.36</v>
      </c>
      <c r="J86">
        <v>52.09</v>
      </c>
      <c r="K86">
        <v>67.724999999999994</v>
      </c>
      <c r="L86">
        <v>26.67</v>
      </c>
      <c r="M86">
        <v>72.52</v>
      </c>
      <c r="N86">
        <v>63.41</v>
      </c>
      <c r="O86">
        <v>67.92</v>
      </c>
    </row>
    <row r="87" spans="1:15" x14ac:dyDescent="0.35">
      <c r="A87" t="s">
        <v>90</v>
      </c>
      <c r="B87">
        <v>11.99</v>
      </c>
      <c r="C87">
        <v>11.95</v>
      </c>
      <c r="D87">
        <v>15.82</v>
      </c>
      <c r="E87">
        <v>15.86</v>
      </c>
      <c r="F87">
        <v>4.26</v>
      </c>
      <c r="G87">
        <v>5.17</v>
      </c>
      <c r="H87">
        <v>4.63</v>
      </c>
      <c r="I87">
        <v>80.58</v>
      </c>
      <c r="J87">
        <v>53.92</v>
      </c>
      <c r="K87">
        <v>67.25</v>
      </c>
      <c r="L87">
        <v>18</v>
      </c>
      <c r="M87">
        <v>86.64</v>
      </c>
      <c r="N87">
        <v>81.48</v>
      </c>
      <c r="O87">
        <v>82.89</v>
      </c>
    </row>
    <row r="88" spans="1:15" x14ac:dyDescent="0.35">
      <c r="A88" t="s">
        <v>91</v>
      </c>
      <c r="B88">
        <v>10.4</v>
      </c>
      <c r="C88">
        <v>10.28</v>
      </c>
      <c r="D88">
        <v>13.25</v>
      </c>
      <c r="E88">
        <v>13.78</v>
      </c>
      <c r="F88">
        <v>4.91</v>
      </c>
      <c r="G88">
        <v>4.16</v>
      </c>
      <c r="H88">
        <v>4.66</v>
      </c>
      <c r="I88">
        <v>84.75</v>
      </c>
      <c r="J88">
        <v>44.8</v>
      </c>
      <c r="K88">
        <v>64.775000000000006</v>
      </c>
      <c r="L88">
        <v>5.71</v>
      </c>
      <c r="M88">
        <v>80.14</v>
      </c>
      <c r="N88">
        <v>73.209999999999994</v>
      </c>
      <c r="O88">
        <v>76.19</v>
      </c>
    </row>
    <row r="89" spans="1:15" x14ac:dyDescent="0.35">
      <c r="A89" t="s">
        <v>93</v>
      </c>
      <c r="B89">
        <v>9.2899999999999991</v>
      </c>
      <c r="C89">
        <v>8.08</v>
      </c>
      <c r="D89">
        <v>14.08</v>
      </c>
      <c r="E89">
        <v>13.92</v>
      </c>
      <c r="F89">
        <v>0.64</v>
      </c>
      <c r="G89">
        <v>4.99</v>
      </c>
      <c r="H89">
        <v>2.5099999999999998</v>
      </c>
      <c r="I89">
        <v>88.64</v>
      </c>
      <c r="J89">
        <v>66.709999999999994</v>
      </c>
      <c r="K89">
        <v>77.674999999999997</v>
      </c>
      <c r="L89">
        <v>6.67</v>
      </c>
      <c r="M89">
        <v>78.400000000000006</v>
      </c>
      <c r="N89">
        <v>68.59</v>
      </c>
      <c r="O89">
        <v>73.11</v>
      </c>
    </row>
    <row r="90" spans="1:15" x14ac:dyDescent="0.35">
      <c r="A90" t="s">
        <v>94</v>
      </c>
      <c r="B90">
        <v>8.92</v>
      </c>
      <c r="C90">
        <v>7.98</v>
      </c>
      <c r="D90">
        <v>12.08</v>
      </c>
      <c r="E90">
        <v>12.49</v>
      </c>
      <c r="F90">
        <v>2.5299999999999998</v>
      </c>
      <c r="G90">
        <v>6.56</v>
      </c>
      <c r="H90">
        <v>4.18</v>
      </c>
      <c r="I90">
        <v>87.13</v>
      </c>
      <c r="J90">
        <v>62.03</v>
      </c>
      <c r="K90">
        <v>74.58</v>
      </c>
      <c r="L90">
        <v>2.86</v>
      </c>
      <c r="M90">
        <v>75.63</v>
      </c>
      <c r="N90">
        <v>67.19</v>
      </c>
      <c r="O90">
        <v>71.66</v>
      </c>
    </row>
    <row r="91" spans="1:15" x14ac:dyDescent="0.35">
      <c r="A91" t="s">
        <v>95</v>
      </c>
      <c r="B91">
        <v>8.65</v>
      </c>
      <c r="C91">
        <v>8.09</v>
      </c>
      <c r="D91">
        <v>12.45</v>
      </c>
      <c r="E91">
        <v>12.66</v>
      </c>
      <c r="F91">
        <v>2.71</v>
      </c>
      <c r="G91">
        <v>9.34</v>
      </c>
      <c r="H91">
        <v>5.03</v>
      </c>
      <c r="I91">
        <v>87.17</v>
      </c>
      <c r="J91">
        <v>48.41</v>
      </c>
      <c r="K91">
        <v>67.789999999999992</v>
      </c>
      <c r="L91">
        <v>13.33</v>
      </c>
      <c r="M91">
        <v>75.849999999999994</v>
      </c>
      <c r="N91">
        <v>69.78</v>
      </c>
      <c r="O91">
        <v>72.010000000000005</v>
      </c>
    </row>
    <row r="92" spans="1:15" x14ac:dyDescent="0.35">
      <c r="A92" t="s">
        <v>96</v>
      </c>
      <c r="B92">
        <v>8.7100000000000009</v>
      </c>
      <c r="C92">
        <v>8.2200000000000006</v>
      </c>
      <c r="D92">
        <v>12.97</v>
      </c>
      <c r="E92">
        <v>13.5</v>
      </c>
      <c r="F92">
        <v>3.11</v>
      </c>
      <c r="G92">
        <v>7.52</v>
      </c>
      <c r="H92">
        <v>4.49</v>
      </c>
      <c r="I92">
        <v>85.73</v>
      </c>
      <c r="J92">
        <v>40.47</v>
      </c>
      <c r="K92">
        <v>63.1</v>
      </c>
      <c r="L92">
        <v>20</v>
      </c>
      <c r="M92">
        <v>76.72</v>
      </c>
      <c r="N92">
        <v>65.94</v>
      </c>
      <c r="O92">
        <v>71.67</v>
      </c>
    </row>
    <row r="93" spans="1:15" x14ac:dyDescent="0.35">
      <c r="A93" t="s">
        <v>97</v>
      </c>
      <c r="B93">
        <v>8.92</v>
      </c>
      <c r="C93">
        <v>8.51</v>
      </c>
      <c r="D93">
        <v>12.95</v>
      </c>
      <c r="E93">
        <v>14.02</v>
      </c>
      <c r="F93">
        <v>1.5</v>
      </c>
      <c r="G93">
        <v>12.3</v>
      </c>
      <c r="H93">
        <v>5.27</v>
      </c>
      <c r="I93">
        <v>89.04</v>
      </c>
      <c r="J93">
        <v>50.6</v>
      </c>
      <c r="K93">
        <v>69.820000000000007</v>
      </c>
      <c r="L93">
        <v>10</v>
      </c>
      <c r="M93">
        <v>76.400000000000006</v>
      </c>
      <c r="N93">
        <v>63.01</v>
      </c>
      <c r="O93">
        <v>71.91</v>
      </c>
    </row>
    <row r="94" spans="1:15" x14ac:dyDescent="0.35">
      <c r="A94" t="s">
        <v>98</v>
      </c>
      <c r="B94">
        <v>7.99</v>
      </c>
      <c r="C94">
        <v>7.39</v>
      </c>
      <c r="D94">
        <v>11.88</v>
      </c>
      <c r="E94">
        <v>12.73</v>
      </c>
      <c r="F94">
        <v>1.1000000000000001</v>
      </c>
      <c r="G94">
        <v>4.17</v>
      </c>
      <c r="H94">
        <v>2.06</v>
      </c>
      <c r="I94">
        <v>88.69</v>
      </c>
      <c r="J94">
        <v>41.47</v>
      </c>
      <c r="K94">
        <v>65.08</v>
      </c>
      <c r="L94">
        <v>20</v>
      </c>
      <c r="M94">
        <v>72.19</v>
      </c>
      <c r="N94">
        <v>63.59</v>
      </c>
      <c r="O94">
        <v>67.540000000000006</v>
      </c>
    </row>
    <row r="95" spans="1:15" x14ac:dyDescent="0.35">
      <c r="A95" t="s">
        <v>99</v>
      </c>
      <c r="B95">
        <v>8.5299999999999994</v>
      </c>
      <c r="C95">
        <v>8.02</v>
      </c>
      <c r="D95">
        <v>12.68</v>
      </c>
      <c r="E95">
        <v>13.04</v>
      </c>
      <c r="F95">
        <v>3.28</v>
      </c>
      <c r="G95">
        <v>3.05</v>
      </c>
      <c r="H95">
        <v>3.2</v>
      </c>
      <c r="I95">
        <v>86.55</v>
      </c>
      <c r="J95">
        <v>47.76</v>
      </c>
      <c r="K95">
        <v>67.155000000000001</v>
      </c>
      <c r="L95">
        <v>14.29</v>
      </c>
      <c r="M95">
        <v>73.989999999999995</v>
      </c>
      <c r="N95">
        <v>64.02</v>
      </c>
      <c r="O95">
        <v>69.930000000000007</v>
      </c>
    </row>
    <row r="96" spans="1:15" x14ac:dyDescent="0.35">
      <c r="A96" t="s">
        <v>100</v>
      </c>
      <c r="B96">
        <v>8.35</v>
      </c>
      <c r="C96">
        <v>7.87</v>
      </c>
      <c r="D96">
        <v>12.66</v>
      </c>
      <c r="E96">
        <v>13.33</v>
      </c>
      <c r="F96">
        <v>1.93</v>
      </c>
      <c r="G96">
        <v>3.55</v>
      </c>
      <c r="H96">
        <v>2.5</v>
      </c>
      <c r="I96">
        <v>87.33</v>
      </c>
      <c r="J96">
        <v>50.09</v>
      </c>
      <c r="K96">
        <v>68.710000000000008</v>
      </c>
      <c r="L96">
        <v>8.57</v>
      </c>
      <c r="M96">
        <v>75.25</v>
      </c>
      <c r="N96">
        <v>69.13</v>
      </c>
      <c r="O96">
        <v>71.319999999999993</v>
      </c>
    </row>
    <row r="97" spans="1:15" x14ac:dyDescent="0.35">
      <c r="A97" t="s">
        <v>101</v>
      </c>
      <c r="B97">
        <v>9.1300000000000008</v>
      </c>
      <c r="C97">
        <v>8.07</v>
      </c>
      <c r="D97">
        <v>12.67</v>
      </c>
      <c r="E97">
        <v>12.93</v>
      </c>
      <c r="F97">
        <v>2.93</v>
      </c>
      <c r="G97">
        <v>7.77</v>
      </c>
      <c r="H97">
        <v>4.67</v>
      </c>
      <c r="I97">
        <v>85.79</v>
      </c>
      <c r="J97">
        <v>49.82</v>
      </c>
      <c r="K97">
        <v>67.805000000000007</v>
      </c>
      <c r="L97">
        <v>14.29</v>
      </c>
      <c r="M97">
        <v>76.739999999999995</v>
      </c>
      <c r="N97">
        <v>68.260000000000005</v>
      </c>
      <c r="O97">
        <v>71.92</v>
      </c>
    </row>
    <row r="98" spans="1:15" x14ac:dyDescent="0.35">
      <c r="A98" t="s">
        <v>102</v>
      </c>
      <c r="B98">
        <v>11.73</v>
      </c>
      <c r="C98">
        <v>11.29</v>
      </c>
      <c r="D98">
        <v>15.46</v>
      </c>
      <c r="E98">
        <v>15.71</v>
      </c>
      <c r="F98">
        <v>4.66</v>
      </c>
      <c r="G98">
        <v>11.68</v>
      </c>
      <c r="H98">
        <v>7.38</v>
      </c>
      <c r="I98">
        <v>81.180000000000007</v>
      </c>
      <c r="J98">
        <v>51.59</v>
      </c>
      <c r="K98">
        <v>66.385000000000005</v>
      </c>
      <c r="L98">
        <v>15.56</v>
      </c>
      <c r="M98">
        <v>84.24</v>
      </c>
      <c r="N98">
        <v>80.180000000000007</v>
      </c>
      <c r="O98">
        <v>81.040000000000006</v>
      </c>
    </row>
    <row r="99" spans="1:15" x14ac:dyDescent="0.35">
      <c r="A99" t="s">
        <v>103</v>
      </c>
      <c r="B99">
        <v>11.27</v>
      </c>
      <c r="C99">
        <v>10.33</v>
      </c>
      <c r="D99">
        <v>15.18</v>
      </c>
      <c r="E99">
        <v>14.84</v>
      </c>
      <c r="F99">
        <v>4.0199999999999996</v>
      </c>
      <c r="G99">
        <v>4.7</v>
      </c>
      <c r="H99">
        <v>4.3</v>
      </c>
      <c r="I99">
        <v>79.44</v>
      </c>
      <c r="J99">
        <v>53.3</v>
      </c>
      <c r="K99">
        <v>66.37</v>
      </c>
      <c r="L99">
        <v>0</v>
      </c>
      <c r="M99">
        <v>80.989999999999995</v>
      </c>
      <c r="N99">
        <v>76.7</v>
      </c>
      <c r="O99">
        <v>77.400000000000006</v>
      </c>
    </row>
    <row r="100" spans="1:15" x14ac:dyDescent="0.35">
      <c r="A100" t="s">
        <v>105</v>
      </c>
      <c r="B100">
        <v>8.9700000000000006</v>
      </c>
      <c r="C100">
        <v>8.74</v>
      </c>
      <c r="D100">
        <v>12.57</v>
      </c>
      <c r="E100">
        <v>13.19</v>
      </c>
      <c r="F100">
        <v>4.28</v>
      </c>
      <c r="G100">
        <v>3.69</v>
      </c>
      <c r="H100">
        <v>4.05</v>
      </c>
      <c r="I100">
        <v>84.94</v>
      </c>
      <c r="J100">
        <v>56.98</v>
      </c>
      <c r="K100">
        <v>70.959999999999994</v>
      </c>
      <c r="L100">
        <v>2.86</v>
      </c>
      <c r="M100">
        <v>75.069999999999993</v>
      </c>
      <c r="N100">
        <v>70.89</v>
      </c>
      <c r="O100">
        <v>71.55</v>
      </c>
    </row>
    <row r="101" spans="1:15" x14ac:dyDescent="0.35">
      <c r="A101" t="s">
        <v>106</v>
      </c>
      <c r="B101">
        <v>7.51</v>
      </c>
      <c r="C101">
        <v>6.9</v>
      </c>
      <c r="D101">
        <v>11.57</v>
      </c>
      <c r="E101">
        <v>12.42</v>
      </c>
      <c r="F101">
        <v>3.04</v>
      </c>
      <c r="G101">
        <v>4.0199999999999996</v>
      </c>
      <c r="H101">
        <v>3.38</v>
      </c>
      <c r="I101">
        <v>88.03</v>
      </c>
      <c r="J101">
        <v>50.5</v>
      </c>
      <c r="K101">
        <v>69.265000000000001</v>
      </c>
      <c r="L101">
        <v>13.33</v>
      </c>
      <c r="M101">
        <v>72.959999999999994</v>
      </c>
      <c r="N101">
        <v>67.56</v>
      </c>
      <c r="O101">
        <v>69.33</v>
      </c>
    </row>
    <row r="102" spans="1:15" x14ac:dyDescent="0.35">
      <c r="A102" t="s">
        <v>107</v>
      </c>
      <c r="B102">
        <v>8.68</v>
      </c>
      <c r="C102">
        <v>7.72</v>
      </c>
      <c r="D102">
        <v>11.81</v>
      </c>
      <c r="E102">
        <v>12.22</v>
      </c>
      <c r="F102">
        <v>3.85</v>
      </c>
      <c r="G102">
        <v>4.47</v>
      </c>
      <c r="H102">
        <v>4.09</v>
      </c>
      <c r="I102">
        <v>86.88</v>
      </c>
      <c r="J102">
        <v>57.73</v>
      </c>
      <c r="K102">
        <v>72.304999999999993</v>
      </c>
      <c r="L102">
        <v>15.56</v>
      </c>
      <c r="M102">
        <v>74.95</v>
      </c>
      <c r="N102">
        <v>67.56</v>
      </c>
      <c r="O102">
        <v>71</v>
      </c>
    </row>
    <row r="103" spans="1:15" x14ac:dyDescent="0.35">
      <c r="A103" t="s">
        <v>108</v>
      </c>
      <c r="B103">
        <v>8.94</v>
      </c>
      <c r="C103">
        <v>8.4499999999999993</v>
      </c>
      <c r="D103">
        <v>12.45</v>
      </c>
      <c r="E103">
        <v>13.03</v>
      </c>
      <c r="F103">
        <v>2.48</v>
      </c>
      <c r="G103">
        <v>4.05</v>
      </c>
      <c r="H103">
        <v>3.11</v>
      </c>
      <c r="I103">
        <v>85.02</v>
      </c>
      <c r="J103">
        <v>60.39</v>
      </c>
      <c r="K103">
        <v>72.704999999999998</v>
      </c>
      <c r="L103">
        <v>17.5</v>
      </c>
      <c r="M103">
        <v>73.08</v>
      </c>
      <c r="N103">
        <v>69.42</v>
      </c>
      <c r="O103">
        <v>69.77</v>
      </c>
    </row>
    <row r="104" spans="1:15" x14ac:dyDescent="0.35">
      <c r="A104" t="s">
        <v>109</v>
      </c>
      <c r="B104">
        <v>7.88</v>
      </c>
      <c r="C104">
        <v>7.42</v>
      </c>
      <c r="D104">
        <v>12.18</v>
      </c>
      <c r="E104">
        <v>12.4</v>
      </c>
      <c r="F104">
        <v>1.9</v>
      </c>
      <c r="G104">
        <v>2</v>
      </c>
      <c r="H104">
        <v>1.94</v>
      </c>
      <c r="I104">
        <v>89.56</v>
      </c>
      <c r="J104">
        <v>59.03</v>
      </c>
      <c r="K104">
        <v>74.295000000000002</v>
      </c>
      <c r="L104">
        <v>17.5</v>
      </c>
      <c r="M104">
        <v>73.349999999999994</v>
      </c>
      <c r="N104">
        <v>63.65</v>
      </c>
      <c r="O104">
        <v>68.95</v>
      </c>
    </row>
    <row r="105" spans="1:15" x14ac:dyDescent="0.35">
      <c r="A105" t="s">
        <v>110</v>
      </c>
      <c r="B105">
        <v>8.2100000000000009</v>
      </c>
      <c r="C105">
        <v>7.62</v>
      </c>
      <c r="D105">
        <v>12.33</v>
      </c>
      <c r="E105">
        <v>12.37</v>
      </c>
      <c r="F105">
        <v>1.58</v>
      </c>
      <c r="G105">
        <v>3.08</v>
      </c>
      <c r="H105">
        <v>2.13</v>
      </c>
      <c r="I105">
        <v>86.04</v>
      </c>
      <c r="J105">
        <v>52.71</v>
      </c>
      <c r="K105">
        <v>69.375</v>
      </c>
      <c r="L105">
        <v>11.11</v>
      </c>
      <c r="M105">
        <v>74.62</v>
      </c>
      <c r="N105">
        <v>62.52</v>
      </c>
      <c r="O105">
        <v>70.12</v>
      </c>
    </row>
    <row r="106" spans="1:15" x14ac:dyDescent="0.35">
      <c r="A106" t="s">
        <v>111</v>
      </c>
      <c r="B106">
        <v>7.93</v>
      </c>
      <c r="C106">
        <v>7.13</v>
      </c>
      <c r="D106">
        <v>11.97</v>
      </c>
      <c r="E106">
        <v>12.78</v>
      </c>
      <c r="F106">
        <v>1.39</v>
      </c>
      <c r="G106">
        <v>7.31</v>
      </c>
      <c r="H106">
        <v>3.24</v>
      </c>
      <c r="I106">
        <v>87.78</v>
      </c>
      <c r="J106">
        <v>41.94</v>
      </c>
      <c r="K106">
        <v>64.86</v>
      </c>
      <c r="L106">
        <v>13.33</v>
      </c>
      <c r="M106">
        <v>73.489999999999995</v>
      </c>
      <c r="N106">
        <v>66.069999999999993</v>
      </c>
      <c r="O106">
        <v>69.510000000000005</v>
      </c>
    </row>
    <row r="107" spans="1:15" x14ac:dyDescent="0.35">
      <c r="A107" t="s">
        <v>112</v>
      </c>
      <c r="B107">
        <v>8.49</v>
      </c>
      <c r="C107">
        <v>8.07</v>
      </c>
      <c r="D107">
        <v>11.81</v>
      </c>
      <c r="E107">
        <v>12.2</v>
      </c>
      <c r="F107">
        <v>1.01</v>
      </c>
      <c r="G107">
        <v>2.98</v>
      </c>
      <c r="H107">
        <v>1.8</v>
      </c>
      <c r="I107">
        <v>92.37</v>
      </c>
      <c r="J107">
        <v>66.58</v>
      </c>
      <c r="K107">
        <v>79.474999999999994</v>
      </c>
      <c r="L107">
        <v>12.82</v>
      </c>
      <c r="M107">
        <v>71.459999999999994</v>
      </c>
      <c r="N107">
        <v>66.05</v>
      </c>
      <c r="O107">
        <v>67.650000000000006</v>
      </c>
    </row>
    <row r="108" spans="1:15" x14ac:dyDescent="0.35">
      <c r="A108" t="s">
        <v>113</v>
      </c>
      <c r="B108">
        <v>8.2200000000000006</v>
      </c>
      <c r="C108">
        <v>7.72</v>
      </c>
      <c r="D108">
        <v>12.44</v>
      </c>
      <c r="E108">
        <v>12.62</v>
      </c>
      <c r="F108">
        <v>3.37</v>
      </c>
      <c r="G108">
        <v>3.56</v>
      </c>
      <c r="H108">
        <v>3.45</v>
      </c>
      <c r="I108">
        <v>89.67</v>
      </c>
      <c r="J108">
        <v>63.99</v>
      </c>
      <c r="K108">
        <v>76.83</v>
      </c>
      <c r="L108">
        <v>15.56</v>
      </c>
      <c r="M108">
        <v>74.53</v>
      </c>
      <c r="N108">
        <v>70.680000000000007</v>
      </c>
      <c r="O108">
        <v>71.55</v>
      </c>
    </row>
    <row r="109" spans="1:15" x14ac:dyDescent="0.35">
      <c r="A109" t="s">
        <v>114</v>
      </c>
      <c r="B109">
        <v>8.4</v>
      </c>
      <c r="C109">
        <v>7.88</v>
      </c>
      <c r="D109">
        <v>12.38</v>
      </c>
      <c r="E109">
        <v>12.59</v>
      </c>
      <c r="F109">
        <v>2.63</v>
      </c>
      <c r="G109">
        <v>2.69</v>
      </c>
      <c r="H109">
        <v>2.65</v>
      </c>
      <c r="I109">
        <v>88.71</v>
      </c>
      <c r="J109">
        <v>67.11</v>
      </c>
      <c r="K109">
        <v>77.91</v>
      </c>
      <c r="L109">
        <v>12.5</v>
      </c>
      <c r="M109">
        <v>70.040000000000006</v>
      </c>
      <c r="N109">
        <v>69.260000000000005</v>
      </c>
      <c r="O109">
        <v>69.400000000000006</v>
      </c>
    </row>
    <row r="110" spans="1:15" x14ac:dyDescent="0.35">
      <c r="A110" t="s">
        <v>115</v>
      </c>
      <c r="B110">
        <v>8.19</v>
      </c>
      <c r="C110">
        <v>7.53</v>
      </c>
      <c r="D110">
        <v>11.86</v>
      </c>
      <c r="E110">
        <v>12.56</v>
      </c>
      <c r="F110">
        <v>3.42</v>
      </c>
      <c r="G110">
        <v>2.08</v>
      </c>
      <c r="H110">
        <v>2.84</v>
      </c>
      <c r="I110">
        <v>85.96</v>
      </c>
      <c r="J110">
        <v>69.56</v>
      </c>
      <c r="K110">
        <v>77.759999999999991</v>
      </c>
      <c r="L110">
        <v>22.86</v>
      </c>
      <c r="M110">
        <v>71.02</v>
      </c>
      <c r="N110">
        <v>66.61</v>
      </c>
      <c r="O110">
        <v>67.25</v>
      </c>
    </row>
    <row r="111" spans="1:15" x14ac:dyDescent="0.35">
      <c r="A111" t="s">
        <v>116</v>
      </c>
      <c r="B111">
        <v>7.79</v>
      </c>
      <c r="C111">
        <v>6.87</v>
      </c>
      <c r="D111">
        <v>11.56</v>
      </c>
      <c r="E111">
        <v>12.64</v>
      </c>
      <c r="F111">
        <v>4.24</v>
      </c>
      <c r="G111">
        <v>3.04</v>
      </c>
      <c r="H111">
        <v>3.72</v>
      </c>
      <c r="I111">
        <v>88.09</v>
      </c>
      <c r="J111">
        <v>69.849999999999994</v>
      </c>
      <c r="K111">
        <v>78.97</v>
      </c>
      <c r="L111">
        <v>0</v>
      </c>
      <c r="M111">
        <v>70.489999999999995</v>
      </c>
      <c r="N111">
        <v>66</v>
      </c>
      <c r="O111">
        <v>67.48</v>
      </c>
    </row>
    <row r="112" spans="1:15" x14ac:dyDescent="0.35">
      <c r="A112" t="s">
        <v>117</v>
      </c>
      <c r="B112">
        <v>8.0399999999999991</v>
      </c>
      <c r="C112">
        <v>7.05</v>
      </c>
      <c r="D112">
        <v>11.9</v>
      </c>
      <c r="E112">
        <v>12.44</v>
      </c>
      <c r="F112">
        <v>4.29</v>
      </c>
      <c r="G112">
        <v>5.88</v>
      </c>
      <c r="H112">
        <v>4.91</v>
      </c>
      <c r="I112">
        <v>83.99</v>
      </c>
      <c r="J112">
        <v>55.97</v>
      </c>
      <c r="K112">
        <v>69.97999999999999</v>
      </c>
      <c r="L112">
        <v>0</v>
      </c>
      <c r="M112">
        <v>71.760000000000005</v>
      </c>
      <c r="N112">
        <v>66.53</v>
      </c>
      <c r="O112">
        <v>67.400000000000006</v>
      </c>
    </row>
    <row r="113" spans="1:15" x14ac:dyDescent="0.35">
      <c r="A113" t="s">
        <v>118</v>
      </c>
      <c r="B113">
        <v>11.08</v>
      </c>
      <c r="C113">
        <v>10.77</v>
      </c>
      <c r="D113">
        <v>14.5</v>
      </c>
      <c r="E113">
        <v>14.34</v>
      </c>
      <c r="F113">
        <v>8.09</v>
      </c>
      <c r="G113">
        <v>5.1100000000000003</v>
      </c>
      <c r="H113">
        <v>6.98</v>
      </c>
      <c r="I113">
        <v>79.03</v>
      </c>
      <c r="J113">
        <v>46.24</v>
      </c>
      <c r="K113">
        <v>62.635000000000005</v>
      </c>
      <c r="L113">
        <v>8</v>
      </c>
      <c r="M113">
        <v>82.43</v>
      </c>
      <c r="N113">
        <v>79.66</v>
      </c>
      <c r="O113">
        <v>80.569999999999993</v>
      </c>
    </row>
    <row r="114" spans="1:15" x14ac:dyDescent="0.35">
      <c r="A114" t="s">
        <v>119</v>
      </c>
      <c r="B114">
        <v>10.65</v>
      </c>
      <c r="C114">
        <v>10.029999999999999</v>
      </c>
      <c r="D114">
        <v>13.19</v>
      </c>
      <c r="E114">
        <v>13.99</v>
      </c>
      <c r="F114">
        <v>5.14</v>
      </c>
      <c r="G114">
        <v>4.67</v>
      </c>
      <c r="H114">
        <v>4.9400000000000004</v>
      </c>
      <c r="I114">
        <v>82.64</v>
      </c>
      <c r="J114">
        <v>58.38</v>
      </c>
      <c r="K114">
        <v>70.510000000000005</v>
      </c>
      <c r="L114">
        <v>26.67</v>
      </c>
      <c r="M114">
        <v>81.09</v>
      </c>
      <c r="N114">
        <v>76.3</v>
      </c>
      <c r="O114">
        <v>77.08</v>
      </c>
    </row>
    <row r="115" spans="1:15" x14ac:dyDescent="0.35">
      <c r="A115" t="s">
        <v>120</v>
      </c>
      <c r="B115">
        <v>9.58</v>
      </c>
      <c r="C115">
        <v>9.3800000000000008</v>
      </c>
      <c r="D115">
        <v>13.28</v>
      </c>
      <c r="E115">
        <v>13.99</v>
      </c>
      <c r="F115">
        <v>2.1800000000000002</v>
      </c>
      <c r="G115">
        <v>2.5499999999999998</v>
      </c>
      <c r="H115">
        <v>2.34</v>
      </c>
      <c r="I115">
        <v>88.35</v>
      </c>
      <c r="J115">
        <v>67.430000000000007</v>
      </c>
      <c r="K115">
        <v>77.89</v>
      </c>
      <c r="L115">
        <v>17.39</v>
      </c>
      <c r="M115">
        <v>74.17</v>
      </c>
      <c r="N115">
        <v>70.55</v>
      </c>
      <c r="O115">
        <v>71.19</v>
      </c>
    </row>
    <row r="116" spans="1:15" x14ac:dyDescent="0.35">
      <c r="A116" t="s">
        <v>121</v>
      </c>
      <c r="B116">
        <v>10.32</v>
      </c>
      <c r="C116">
        <v>9.69</v>
      </c>
      <c r="D116">
        <v>13.55</v>
      </c>
      <c r="E116">
        <v>14.31</v>
      </c>
      <c r="F116">
        <v>6.35</v>
      </c>
      <c r="G116">
        <v>3.84</v>
      </c>
      <c r="H116">
        <v>5.29</v>
      </c>
      <c r="I116">
        <v>82.51</v>
      </c>
      <c r="J116">
        <v>59.92</v>
      </c>
      <c r="K116">
        <v>71.215000000000003</v>
      </c>
      <c r="L116">
        <v>30</v>
      </c>
      <c r="M116">
        <v>80.150000000000006</v>
      </c>
      <c r="N116">
        <v>76.36</v>
      </c>
      <c r="O116">
        <v>76.819999999999993</v>
      </c>
    </row>
    <row r="117" spans="1:15" x14ac:dyDescent="0.35">
      <c r="A117" t="s">
        <v>124</v>
      </c>
      <c r="B117">
        <v>9.74</v>
      </c>
      <c r="C117">
        <v>9.1999999999999993</v>
      </c>
      <c r="D117">
        <v>13.66</v>
      </c>
      <c r="E117">
        <v>14.22</v>
      </c>
      <c r="F117">
        <v>3.64</v>
      </c>
      <c r="G117">
        <v>2.7</v>
      </c>
      <c r="H117">
        <v>3.25</v>
      </c>
      <c r="I117">
        <v>86.53</v>
      </c>
      <c r="J117">
        <v>61.98</v>
      </c>
      <c r="K117">
        <v>74.254999999999995</v>
      </c>
      <c r="L117">
        <v>4</v>
      </c>
      <c r="M117">
        <v>75.92</v>
      </c>
      <c r="N117">
        <v>71.94</v>
      </c>
      <c r="O117">
        <v>72.349999999999994</v>
      </c>
    </row>
    <row r="118" spans="1:15" x14ac:dyDescent="0.35">
      <c r="A118" t="s">
        <v>125</v>
      </c>
      <c r="B118">
        <v>8.99</v>
      </c>
      <c r="C118">
        <v>8.69</v>
      </c>
      <c r="D118">
        <v>13.87</v>
      </c>
      <c r="E118">
        <v>14.55</v>
      </c>
      <c r="F118">
        <v>2.74</v>
      </c>
      <c r="G118">
        <v>2</v>
      </c>
      <c r="H118">
        <v>2.4300000000000002</v>
      </c>
      <c r="I118">
        <v>85.73</v>
      </c>
      <c r="J118">
        <v>63.72</v>
      </c>
      <c r="K118">
        <v>74.724999999999994</v>
      </c>
      <c r="L118">
        <v>20</v>
      </c>
      <c r="M118">
        <v>76.16</v>
      </c>
      <c r="N118">
        <v>71.83</v>
      </c>
      <c r="O118">
        <v>72.92</v>
      </c>
    </row>
    <row r="119" spans="1:15" x14ac:dyDescent="0.35">
      <c r="A119" t="s">
        <v>126</v>
      </c>
      <c r="B119">
        <v>8.74</v>
      </c>
      <c r="C119">
        <v>7.94</v>
      </c>
      <c r="D119">
        <v>12.65</v>
      </c>
      <c r="E119">
        <v>13.32</v>
      </c>
      <c r="F119">
        <v>2.82</v>
      </c>
      <c r="G119">
        <v>2.99</v>
      </c>
      <c r="H119">
        <v>2.89</v>
      </c>
      <c r="I119">
        <v>86.86</v>
      </c>
      <c r="J119">
        <v>56.21</v>
      </c>
      <c r="K119">
        <v>71.534999999999997</v>
      </c>
      <c r="L119">
        <v>3.33</v>
      </c>
      <c r="M119">
        <v>75.069999999999993</v>
      </c>
      <c r="N119">
        <v>68.760000000000005</v>
      </c>
      <c r="O119">
        <v>71.11</v>
      </c>
    </row>
    <row r="120" spans="1:15" x14ac:dyDescent="0.35">
      <c r="A120" t="s">
        <v>127</v>
      </c>
      <c r="B120">
        <v>9.11</v>
      </c>
      <c r="C120">
        <v>8.2100000000000009</v>
      </c>
      <c r="D120">
        <v>13.35</v>
      </c>
      <c r="E120">
        <v>13.15</v>
      </c>
      <c r="F120">
        <v>3.95</v>
      </c>
      <c r="G120">
        <v>3.34</v>
      </c>
      <c r="H120">
        <v>3.71</v>
      </c>
      <c r="I120">
        <v>85.89</v>
      </c>
      <c r="J120">
        <v>56.42</v>
      </c>
      <c r="K120">
        <v>71.155000000000001</v>
      </c>
      <c r="L120">
        <v>16</v>
      </c>
      <c r="M120">
        <v>73.77</v>
      </c>
      <c r="N120">
        <v>64.7</v>
      </c>
      <c r="O120">
        <v>68.98</v>
      </c>
    </row>
    <row r="121" spans="1:15" x14ac:dyDescent="0.35">
      <c r="A121" t="s">
        <v>128</v>
      </c>
      <c r="B121">
        <v>8.56</v>
      </c>
      <c r="C121">
        <v>7.7</v>
      </c>
      <c r="D121">
        <v>13.29</v>
      </c>
      <c r="E121">
        <v>13.66</v>
      </c>
      <c r="F121">
        <v>1.55</v>
      </c>
      <c r="G121">
        <v>3.76</v>
      </c>
      <c r="H121">
        <v>2.38</v>
      </c>
      <c r="I121">
        <v>89.18</v>
      </c>
      <c r="J121">
        <v>56.69</v>
      </c>
      <c r="K121">
        <v>72.935000000000002</v>
      </c>
      <c r="L121">
        <v>13.33</v>
      </c>
      <c r="M121">
        <v>73.849999999999994</v>
      </c>
      <c r="N121">
        <v>63.81</v>
      </c>
      <c r="O121">
        <v>68.97</v>
      </c>
    </row>
    <row r="122" spans="1:15" x14ac:dyDescent="0.35">
      <c r="A122" t="s">
        <v>129</v>
      </c>
      <c r="B122">
        <v>8.94</v>
      </c>
      <c r="C122">
        <v>8.16</v>
      </c>
      <c r="D122">
        <v>12.8</v>
      </c>
      <c r="E122">
        <v>13.1</v>
      </c>
      <c r="F122">
        <v>1.73</v>
      </c>
      <c r="G122">
        <v>3.77</v>
      </c>
      <c r="H122">
        <v>2.41</v>
      </c>
      <c r="I122">
        <v>85.79</v>
      </c>
      <c r="J122">
        <v>45.95</v>
      </c>
      <c r="K122">
        <v>65.87</v>
      </c>
      <c r="L122">
        <v>0</v>
      </c>
      <c r="M122">
        <v>75.36</v>
      </c>
      <c r="N122">
        <v>64.14</v>
      </c>
      <c r="O122">
        <v>70.63</v>
      </c>
    </row>
    <row r="123" spans="1:15" x14ac:dyDescent="0.35">
      <c r="A123" t="s">
        <v>130</v>
      </c>
      <c r="B123">
        <v>8.73</v>
      </c>
      <c r="C123">
        <v>8.25</v>
      </c>
      <c r="D123">
        <v>12.6</v>
      </c>
      <c r="E123">
        <v>13.16</v>
      </c>
      <c r="F123">
        <v>1.81</v>
      </c>
      <c r="G123">
        <v>3.79</v>
      </c>
      <c r="H123">
        <v>2.5499999999999998</v>
      </c>
      <c r="I123">
        <v>87.7</v>
      </c>
      <c r="J123">
        <v>54.66</v>
      </c>
      <c r="K123">
        <v>71.180000000000007</v>
      </c>
      <c r="L123">
        <v>28</v>
      </c>
      <c r="M123">
        <v>73.37</v>
      </c>
      <c r="N123">
        <v>67.569999999999993</v>
      </c>
      <c r="O123">
        <v>69.27</v>
      </c>
    </row>
    <row r="124" spans="1:15" x14ac:dyDescent="0.35">
      <c r="A124" t="s">
        <v>131</v>
      </c>
      <c r="B124">
        <v>8.73</v>
      </c>
      <c r="C124">
        <v>8.1300000000000008</v>
      </c>
      <c r="D124">
        <v>13.04</v>
      </c>
      <c r="E124">
        <v>14.03</v>
      </c>
      <c r="F124">
        <v>1.98</v>
      </c>
      <c r="G124">
        <v>2.93</v>
      </c>
      <c r="H124">
        <v>2.37</v>
      </c>
      <c r="I124">
        <v>86.84</v>
      </c>
      <c r="J124">
        <v>65.56</v>
      </c>
      <c r="K124">
        <v>76.2</v>
      </c>
      <c r="L124">
        <v>4</v>
      </c>
      <c r="M124">
        <v>73.010000000000005</v>
      </c>
      <c r="N124">
        <v>70.150000000000006</v>
      </c>
      <c r="O124">
        <v>70.27</v>
      </c>
    </row>
    <row r="125" spans="1:15" x14ac:dyDescent="0.35">
      <c r="A125" t="s">
        <v>132</v>
      </c>
      <c r="B125">
        <v>8.2899999999999991</v>
      </c>
      <c r="C125">
        <v>7.12</v>
      </c>
      <c r="D125">
        <v>13.4</v>
      </c>
      <c r="E125">
        <v>13.56</v>
      </c>
      <c r="F125">
        <v>1.81</v>
      </c>
      <c r="G125">
        <v>3.92</v>
      </c>
      <c r="H125">
        <v>2.56</v>
      </c>
      <c r="I125">
        <v>86.52</v>
      </c>
      <c r="J125">
        <v>50.39</v>
      </c>
      <c r="K125">
        <v>68.454999999999998</v>
      </c>
      <c r="L125">
        <v>20</v>
      </c>
      <c r="M125">
        <v>74.400000000000006</v>
      </c>
      <c r="N125">
        <v>65.05</v>
      </c>
      <c r="O125">
        <v>69.84</v>
      </c>
    </row>
    <row r="126" spans="1:15" x14ac:dyDescent="0.35">
      <c r="A126" t="s">
        <v>133</v>
      </c>
      <c r="B126">
        <v>12.13</v>
      </c>
      <c r="C126">
        <v>11.84</v>
      </c>
      <c r="D126">
        <v>16.05</v>
      </c>
      <c r="E126">
        <v>16.48</v>
      </c>
      <c r="F126">
        <v>5.23</v>
      </c>
      <c r="G126">
        <v>4.6900000000000004</v>
      </c>
      <c r="H126">
        <v>5</v>
      </c>
      <c r="I126">
        <v>77.73</v>
      </c>
      <c r="J126">
        <v>59.29</v>
      </c>
      <c r="K126">
        <v>68.510000000000005</v>
      </c>
      <c r="L126">
        <v>22.86</v>
      </c>
      <c r="M126">
        <v>84.69</v>
      </c>
      <c r="N126">
        <v>81.41</v>
      </c>
      <c r="O126">
        <v>82.04</v>
      </c>
    </row>
    <row r="127" spans="1:15" x14ac:dyDescent="0.35">
      <c r="A127" t="s">
        <v>134</v>
      </c>
      <c r="B127">
        <v>8.73</v>
      </c>
      <c r="C127">
        <v>8.34</v>
      </c>
      <c r="D127">
        <v>12.21</v>
      </c>
      <c r="E127">
        <v>12.55</v>
      </c>
      <c r="F127">
        <v>1.39</v>
      </c>
      <c r="G127">
        <v>3.03</v>
      </c>
      <c r="H127">
        <v>2.09</v>
      </c>
      <c r="I127">
        <v>90.91</v>
      </c>
      <c r="J127">
        <v>74.069999999999993</v>
      </c>
      <c r="K127">
        <v>82.49</v>
      </c>
      <c r="L127">
        <v>14.29</v>
      </c>
      <c r="M127">
        <v>72.72</v>
      </c>
      <c r="N127">
        <v>68.010000000000005</v>
      </c>
      <c r="O127">
        <v>69.84</v>
      </c>
    </row>
    <row r="128" spans="1:15" x14ac:dyDescent="0.35">
      <c r="A128" t="s">
        <v>135</v>
      </c>
      <c r="B128">
        <v>7.75</v>
      </c>
      <c r="C128">
        <v>6.99</v>
      </c>
      <c r="D128">
        <v>11.88</v>
      </c>
      <c r="E128">
        <v>12.84</v>
      </c>
      <c r="F128">
        <v>2.35</v>
      </c>
      <c r="G128">
        <v>4.6900000000000004</v>
      </c>
      <c r="H128">
        <v>3.19</v>
      </c>
      <c r="I128">
        <v>87.83</v>
      </c>
      <c r="J128">
        <v>52.43</v>
      </c>
      <c r="K128">
        <v>70.13</v>
      </c>
      <c r="L128">
        <v>8.89</v>
      </c>
      <c r="M128">
        <v>72.290000000000006</v>
      </c>
      <c r="N128">
        <v>66.09</v>
      </c>
      <c r="O128">
        <v>68.52</v>
      </c>
    </row>
    <row r="129" spans="1:15" x14ac:dyDescent="0.35">
      <c r="A129" t="s">
        <v>136</v>
      </c>
      <c r="B129">
        <v>8.14</v>
      </c>
      <c r="C129">
        <v>7.48</v>
      </c>
      <c r="D129">
        <v>12.34</v>
      </c>
      <c r="E129">
        <v>12.91</v>
      </c>
      <c r="F129">
        <v>4.25</v>
      </c>
      <c r="G129">
        <v>5.86</v>
      </c>
      <c r="H129">
        <v>4.84</v>
      </c>
      <c r="I129">
        <v>83.37</v>
      </c>
      <c r="J129">
        <v>50.67</v>
      </c>
      <c r="K129">
        <v>67.02000000000001</v>
      </c>
      <c r="L129">
        <v>24</v>
      </c>
      <c r="M129">
        <v>73.989999999999995</v>
      </c>
      <c r="N129">
        <v>66.66</v>
      </c>
      <c r="O129">
        <v>70.28</v>
      </c>
    </row>
    <row r="130" spans="1:15" x14ac:dyDescent="0.35">
      <c r="A130" t="s">
        <v>137</v>
      </c>
      <c r="B130">
        <v>8.5500000000000007</v>
      </c>
      <c r="C130">
        <v>7.92</v>
      </c>
      <c r="D130">
        <v>13.19</v>
      </c>
      <c r="E130">
        <v>12.98</v>
      </c>
      <c r="F130">
        <v>2.93</v>
      </c>
      <c r="G130">
        <v>3.17</v>
      </c>
      <c r="H130">
        <v>3.02</v>
      </c>
      <c r="I130">
        <v>86.73</v>
      </c>
      <c r="J130">
        <v>50.62</v>
      </c>
      <c r="K130">
        <v>68.674999999999997</v>
      </c>
      <c r="L130">
        <v>14</v>
      </c>
      <c r="M130">
        <v>76.36</v>
      </c>
      <c r="N130">
        <v>68.36</v>
      </c>
      <c r="O130">
        <v>71.84</v>
      </c>
    </row>
    <row r="131" spans="1:15" x14ac:dyDescent="0.35">
      <c r="A131" t="s">
        <v>138</v>
      </c>
      <c r="B131">
        <v>8.4600000000000009</v>
      </c>
      <c r="C131">
        <v>7.57</v>
      </c>
      <c r="D131">
        <v>13.05</v>
      </c>
      <c r="E131">
        <v>13.28</v>
      </c>
      <c r="F131">
        <v>3.35</v>
      </c>
      <c r="G131">
        <v>3.31</v>
      </c>
      <c r="H131">
        <v>3.33</v>
      </c>
      <c r="I131">
        <v>85.62</v>
      </c>
      <c r="J131">
        <v>60.96</v>
      </c>
      <c r="K131">
        <v>73.290000000000006</v>
      </c>
      <c r="L131">
        <v>20</v>
      </c>
      <c r="M131">
        <v>76.319999999999993</v>
      </c>
      <c r="N131">
        <v>68.849999999999994</v>
      </c>
      <c r="O131">
        <v>72.37</v>
      </c>
    </row>
    <row r="132" spans="1:15" x14ac:dyDescent="0.35">
      <c r="A132" t="s">
        <v>139</v>
      </c>
      <c r="B132">
        <v>8.58</v>
      </c>
      <c r="C132">
        <v>8.2200000000000006</v>
      </c>
      <c r="D132">
        <v>12.56</v>
      </c>
      <c r="E132">
        <v>13.08</v>
      </c>
      <c r="F132">
        <v>3.73</v>
      </c>
      <c r="G132">
        <v>9.39</v>
      </c>
      <c r="H132">
        <v>5.85</v>
      </c>
      <c r="I132">
        <v>82.23</v>
      </c>
      <c r="J132">
        <v>50.44</v>
      </c>
      <c r="K132">
        <v>66.335000000000008</v>
      </c>
      <c r="L132">
        <v>6.67</v>
      </c>
      <c r="M132">
        <v>73.709999999999994</v>
      </c>
      <c r="N132">
        <v>66.319999999999993</v>
      </c>
      <c r="O132">
        <v>69.62</v>
      </c>
    </row>
    <row r="133" spans="1:15" x14ac:dyDescent="0.35">
      <c r="A133" t="s">
        <v>140</v>
      </c>
      <c r="B133">
        <v>8.11</v>
      </c>
      <c r="C133">
        <v>7.3</v>
      </c>
      <c r="D133">
        <v>12.26</v>
      </c>
      <c r="E133">
        <v>12.81</v>
      </c>
      <c r="F133">
        <v>3.11</v>
      </c>
      <c r="G133">
        <v>3.51</v>
      </c>
      <c r="H133">
        <v>3.27</v>
      </c>
      <c r="I133">
        <v>88.92</v>
      </c>
      <c r="J133">
        <v>57.9</v>
      </c>
      <c r="K133">
        <v>73.41</v>
      </c>
      <c r="L133">
        <v>20</v>
      </c>
      <c r="M133">
        <v>73.63</v>
      </c>
      <c r="N133">
        <v>65.349999999999994</v>
      </c>
      <c r="O133">
        <v>69.31</v>
      </c>
    </row>
    <row r="134" spans="1:15" x14ac:dyDescent="0.35">
      <c r="A134" t="s">
        <v>141</v>
      </c>
      <c r="B134">
        <v>8.35</v>
      </c>
      <c r="C134">
        <v>7.58</v>
      </c>
      <c r="D134">
        <v>11.89</v>
      </c>
      <c r="E134">
        <v>12.79</v>
      </c>
      <c r="F134">
        <v>2.17</v>
      </c>
      <c r="G134">
        <v>5.26</v>
      </c>
      <c r="H134">
        <v>3.23</v>
      </c>
      <c r="I134">
        <v>91.18</v>
      </c>
      <c r="J134">
        <v>50.58</v>
      </c>
      <c r="K134">
        <v>70.88</v>
      </c>
      <c r="L134">
        <v>25</v>
      </c>
      <c r="M134">
        <v>74.94</v>
      </c>
      <c r="N134">
        <v>67.69</v>
      </c>
      <c r="O134">
        <v>70.66</v>
      </c>
    </row>
    <row r="135" spans="1:15" x14ac:dyDescent="0.35">
      <c r="A135" t="s">
        <v>142</v>
      </c>
      <c r="B135">
        <v>8.3800000000000008</v>
      </c>
      <c r="C135">
        <v>7.75</v>
      </c>
      <c r="D135">
        <v>12.51</v>
      </c>
      <c r="E135">
        <v>12.97</v>
      </c>
      <c r="F135">
        <v>2.83</v>
      </c>
      <c r="G135">
        <v>6.95</v>
      </c>
      <c r="H135">
        <v>4.3600000000000003</v>
      </c>
      <c r="I135">
        <v>86.32</v>
      </c>
      <c r="J135">
        <v>54.13</v>
      </c>
      <c r="K135">
        <v>70.224999999999994</v>
      </c>
      <c r="L135">
        <v>15</v>
      </c>
      <c r="M135">
        <v>73.53</v>
      </c>
      <c r="N135">
        <v>64.94</v>
      </c>
      <c r="O135">
        <v>68.52</v>
      </c>
    </row>
    <row r="136" spans="1:15" x14ac:dyDescent="0.35">
      <c r="A136" t="s">
        <v>143</v>
      </c>
      <c r="B136">
        <v>8.76</v>
      </c>
      <c r="C136">
        <v>8.19</v>
      </c>
      <c r="D136">
        <v>12.77</v>
      </c>
      <c r="E136">
        <v>13.33</v>
      </c>
      <c r="F136">
        <v>3.29</v>
      </c>
      <c r="G136">
        <v>6.21</v>
      </c>
      <c r="H136">
        <v>4.3899999999999997</v>
      </c>
      <c r="I136">
        <v>89.44</v>
      </c>
      <c r="J136">
        <v>56.82</v>
      </c>
      <c r="K136">
        <v>73.13</v>
      </c>
      <c r="L136">
        <v>30</v>
      </c>
      <c r="M136">
        <v>76.62</v>
      </c>
      <c r="N136">
        <v>71.28</v>
      </c>
      <c r="O136">
        <v>72.290000000000006</v>
      </c>
    </row>
    <row r="137" spans="1:15" x14ac:dyDescent="0.35">
      <c r="A137" t="s">
        <v>144</v>
      </c>
      <c r="B137">
        <v>7.39</v>
      </c>
      <c r="C137">
        <v>6.95</v>
      </c>
      <c r="D137">
        <v>11.78</v>
      </c>
      <c r="E137">
        <v>11.9</v>
      </c>
      <c r="F137">
        <v>2.58</v>
      </c>
      <c r="G137">
        <v>3.36</v>
      </c>
      <c r="H137">
        <v>2.85</v>
      </c>
      <c r="I137">
        <v>88.42</v>
      </c>
      <c r="J137">
        <v>50.84</v>
      </c>
      <c r="K137">
        <v>69.63</v>
      </c>
      <c r="L137">
        <v>20</v>
      </c>
      <c r="M137">
        <v>70.650000000000006</v>
      </c>
      <c r="N137">
        <v>60.13</v>
      </c>
      <c r="O137">
        <v>66.459999999999994</v>
      </c>
    </row>
    <row r="138" spans="1:15" x14ac:dyDescent="0.35">
      <c r="A138" t="s">
        <v>145</v>
      </c>
      <c r="B138">
        <v>8.1199999999999992</v>
      </c>
      <c r="C138">
        <v>7.47</v>
      </c>
      <c r="D138">
        <v>11.98</v>
      </c>
      <c r="E138">
        <v>12.59</v>
      </c>
      <c r="F138">
        <v>4.0599999999999996</v>
      </c>
      <c r="G138">
        <v>4.21</v>
      </c>
      <c r="H138">
        <v>4.12</v>
      </c>
      <c r="I138">
        <v>89.17</v>
      </c>
      <c r="J138">
        <v>52.05</v>
      </c>
      <c r="K138">
        <v>70.61</v>
      </c>
      <c r="L138" t="e">
        <v>#N/A</v>
      </c>
      <c r="M138">
        <v>72.3</v>
      </c>
      <c r="N138">
        <v>64.42</v>
      </c>
      <c r="O138">
        <v>68.459999999999994</v>
      </c>
    </row>
    <row r="139" spans="1:15" x14ac:dyDescent="0.35">
      <c r="A139" t="s">
        <v>146</v>
      </c>
      <c r="B139">
        <v>8.9600000000000009</v>
      </c>
      <c r="C139">
        <v>8.59</v>
      </c>
      <c r="D139">
        <v>12.09</v>
      </c>
      <c r="E139">
        <v>12.48</v>
      </c>
      <c r="F139">
        <v>2.16</v>
      </c>
      <c r="G139">
        <v>4.47</v>
      </c>
      <c r="H139">
        <v>3.04</v>
      </c>
      <c r="I139">
        <v>86.12</v>
      </c>
      <c r="J139">
        <v>57.58</v>
      </c>
      <c r="K139">
        <v>71.849999999999994</v>
      </c>
      <c r="L139">
        <v>12</v>
      </c>
      <c r="M139">
        <v>69.36</v>
      </c>
      <c r="N139">
        <v>65.53</v>
      </c>
      <c r="O139">
        <v>66.73</v>
      </c>
    </row>
    <row r="140" spans="1:15" x14ac:dyDescent="0.35">
      <c r="A140" t="s">
        <v>147</v>
      </c>
      <c r="B140">
        <v>11.43</v>
      </c>
      <c r="C140">
        <v>10.77</v>
      </c>
      <c r="D140">
        <v>14.55</v>
      </c>
      <c r="E140">
        <v>14.93</v>
      </c>
      <c r="F140">
        <v>7.01</v>
      </c>
      <c r="G140">
        <v>8.1</v>
      </c>
      <c r="H140">
        <v>7.44</v>
      </c>
      <c r="I140">
        <v>79.91</v>
      </c>
      <c r="J140">
        <v>52.19</v>
      </c>
      <c r="K140">
        <v>66.05</v>
      </c>
      <c r="L140">
        <v>24.49</v>
      </c>
      <c r="M140">
        <v>82.91</v>
      </c>
      <c r="N140">
        <v>78.069999999999993</v>
      </c>
      <c r="O140">
        <v>79.19</v>
      </c>
    </row>
    <row r="141" spans="1:15" x14ac:dyDescent="0.35">
      <c r="A141" t="s">
        <v>148</v>
      </c>
      <c r="B141">
        <v>11.2</v>
      </c>
      <c r="C141">
        <v>10.96</v>
      </c>
      <c r="D141">
        <v>14.73</v>
      </c>
      <c r="E141">
        <v>14.94</v>
      </c>
      <c r="F141">
        <v>4</v>
      </c>
      <c r="G141">
        <v>3.29</v>
      </c>
      <c r="H141">
        <v>3.71</v>
      </c>
      <c r="I141">
        <v>81.53</v>
      </c>
      <c r="J141">
        <v>58.66</v>
      </c>
      <c r="K141">
        <v>70.094999999999999</v>
      </c>
      <c r="L141">
        <v>20</v>
      </c>
      <c r="M141">
        <v>81.53</v>
      </c>
      <c r="N141">
        <v>78.260000000000005</v>
      </c>
      <c r="O141">
        <v>78.930000000000007</v>
      </c>
    </row>
    <row r="142" spans="1:15" x14ac:dyDescent="0.35">
      <c r="A142" t="s">
        <v>150</v>
      </c>
      <c r="B142">
        <v>8.8699999999999992</v>
      </c>
      <c r="C142">
        <v>8.17</v>
      </c>
      <c r="D142">
        <v>13.04</v>
      </c>
      <c r="E142">
        <v>13.46</v>
      </c>
      <c r="F142">
        <v>2.68</v>
      </c>
      <c r="G142">
        <v>8.9</v>
      </c>
      <c r="H142">
        <v>4.91</v>
      </c>
      <c r="I142">
        <v>84.55</v>
      </c>
      <c r="J142">
        <v>50.26</v>
      </c>
      <c r="K142">
        <v>67.405000000000001</v>
      </c>
      <c r="L142">
        <v>14.29</v>
      </c>
      <c r="M142">
        <v>78.25</v>
      </c>
      <c r="N142">
        <v>69.7</v>
      </c>
      <c r="O142">
        <v>73.98</v>
      </c>
    </row>
    <row r="143" spans="1:15" x14ac:dyDescent="0.35">
      <c r="A143" t="s">
        <v>151</v>
      </c>
      <c r="B143">
        <v>9.1</v>
      </c>
      <c r="C143">
        <v>8.8000000000000007</v>
      </c>
      <c r="D143">
        <v>11.91</v>
      </c>
      <c r="E143">
        <v>12.3</v>
      </c>
      <c r="F143">
        <v>3.16</v>
      </c>
      <c r="G143">
        <v>5.22</v>
      </c>
      <c r="H143">
        <v>3.88</v>
      </c>
      <c r="I143">
        <v>87.1</v>
      </c>
      <c r="J143">
        <v>48.6</v>
      </c>
      <c r="K143">
        <v>67.849999999999994</v>
      </c>
      <c r="L143">
        <v>12</v>
      </c>
      <c r="M143">
        <v>78.069999999999993</v>
      </c>
      <c r="N143">
        <v>70.03</v>
      </c>
      <c r="O143">
        <v>74.47</v>
      </c>
    </row>
    <row r="144" spans="1:15" x14ac:dyDescent="0.35">
      <c r="A144" t="s">
        <v>152</v>
      </c>
      <c r="B144">
        <v>8.08</v>
      </c>
      <c r="C144">
        <v>7.44</v>
      </c>
      <c r="D144">
        <v>11.77</v>
      </c>
      <c r="E144">
        <v>12.05</v>
      </c>
      <c r="F144">
        <v>4.66</v>
      </c>
      <c r="G144">
        <v>5.27</v>
      </c>
      <c r="H144">
        <v>4.88</v>
      </c>
      <c r="I144">
        <v>87.44</v>
      </c>
      <c r="J144">
        <v>52.07</v>
      </c>
      <c r="K144">
        <v>69.754999999999995</v>
      </c>
      <c r="L144">
        <v>16.670000000000002</v>
      </c>
      <c r="M144">
        <v>75.150000000000006</v>
      </c>
      <c r="N144">
        <v>67.900000000000006</v>
      </c>
      <c r="O144">
        <v>70.67</v>
      </c>
    </row>
    <row r="145" spans="1:15" x14ac:dyDescent="0.35">
      <c r="A145" t="s">
        <v>153</v>
      </c>
      <c r="B145">
        <v>7.67</v>
      </c>
      <c r="C145">
        <v>6.96</v>
      </c>
      <c r="D145">
        <v>12.11</v>
      </c>
      <c r="E145">
        <v>12.79</v>
      </c>
      <c r="F145">
        <v>4.6100000000000003</v>
      </c>
      <c r="G145">
        <v>3.52</v>
      </c>
      <c r="H145">
        <v>4.2300000000000004</v>
      </c>
      <c r="I145">
        <v>88.18</v>
      </c>
      <c r="J145">
        <v>50.98</v>
      </c>
      <c r="K145">
        <v>69.58</v>
      </c>
      <c r="L145">
        <v>20</v>
      </c>
      <c r="M145">
        <v>75.95</v>
      </c>
      <c r="N145">
        <v>69.84</v>
      </c>
      <c r="O145">
        <v>71.900000000000006</v>
      </c>
    </row>
    <row r="146" spans="1:15" x14ac:dyDescent="0.35">
      <c r="A146" t="s">
        <v>154</v>
      </c>
      <c r="B146">
        <v>7.25</v>
      </c>
      <c r="C146">
        <v>6.74</v>
      </c>
      <c r="D146">
        <v>11.63</v>
      </c>
      <c r="E146">
        <v>12.09</v>
      </c>
      <c r="F146">
        <v>4.6100000000000003</v>
      </c>
      <c r="G146">
        <v>5.61</v>
      </c>
      <c r="H146">
        <v>4.9400000000000004</v>
      </c>
      <c r="I146">
        <v>89.97</v>
      </c>
      <c r="J146">
        <v>46.9</v>
      </c>
      <c r="K146">
        <v>68.435000000000002</v>
      </c>
      <c r="L146">
        <v>13.33</v>
      </c>
      <c r="M146">
        <v>73.3</v>
      </c>
      <c r="N146">
        <v>62.49</v>
      </c>
      <c r="O146">
        <v>68.86</v>
      </c>
    </row>
    <row r="147" spans="1:15" x14ac:dyDescent="0.35">
      <c r="A147" t="s">
        <v>155</v>
      </c>
      <c r="B147">
        <v>9.02</v>
      </c>
      <c r="C147">
        <v>8.9499999999999993</v>
      </c>
      <c r="D147">
        <v>11.66</v>
      </c>
      <c r="E147">
        <v>12.07</v>
      </c>
      <c r="F147">
        <v>2.7</v>
      </c>
      <c r="G147">
        <v>2.5</v>
      </c>
      <c r="H147">
        <v>2.63</v>
      </c>
      <c r="I147">
        <v>86.78</v>
      </c>
      <c r="J147">
        <v>53.19</v>
      </c>
      <c r="K147">
        <v>69.984999999999999</v>
      </c>
      <c r="L147">
        <v>0</v>
      </c>
      <c r="M147">
        <v>77.400000000000006</v>
      </c>
      <c r="N147">
        <v>67.87</v>
      </c>
      <c r="O147">
        <v>73.19</v>
      </c>
    </row>
    <row r="148" spans="1:15" x14ac:dyDescent="0.35">
      <c r="A148" t="s">
        <v>156</v>
      </c>
      <c r="B148">
        <v>11.01</v>
      </c>
      <c r="C148">
        <v>10.4</v>
      </c>
      <c r="D148">
        <v>13.48</v>
      </c>
      <c r="E148">
        <v>13.3</v>
      </c>
      <c r="F148">
        <v>5.52</v>
      </c>
      <c r="G148">
        <v>6.69</v>
      </c>
      <c r="H148">
        <v>5.98</v>
      </c>
      <c r="I148">
        <v>81.02</v>
      </c>
      <c r="J148">
        <v>52.73</v>
      </c>
      <c r="K148">
        <v>66.875</v>
      </c>
      <c r="L148">
        <v>13.33</v>
      </c>
      <c r="M148">
        <v>84.32</v>
      </c>
      <c r="N148">
        <v>79.11</v>
      </c>
      <c r="O148">
        <v>80.400000000000006</v>
      </c>
    </row>
    <row r="149" spans="1:15" x14ac:dyDescent="0.35">
      <c r="A149" t="s">
        <v>158</v>
      </c>
      <c r="B149">
        <v>9.09</v>
      </c>
      <c r="C149">
        <v>8.7200000000000006</v>
      </c>
      <c r="D149">
        <v>12.56</v>
      </c>
      <c r="E149">
        <v>12.95</v>
      </c>
      <c r="F149">
        <v>5.53</v>
      </c>
      <c r="G149">
        <v>5.5</v>
      </c>
      <c r="H149">
        <v>5.52</v>
      </c>
      <c r="I149">
        <v>83.04</v>
      </c>
      <c r="J149">
        <v>52.68</v>
      </c>
      <c r="K149">
        <v>67.86</v>
      </c>
      <c r="L149">
        <v>10</v>
      </c>
      <c r="M149">
        <v>78.59</v>
      </c>
      <c r="N149">
        <v>72</v>
      </c>
      <c r="O149">
        <v>74.28</v>
      </c>
    </row>
    <row r="150" spans="1:15" x14ac:dyDescent="0.35">
      <c r="A150" t="s">
        <v>159</v>
      </c>
      <c r="B150">
        <v>9.2100000000000009</v>
      </c>
      <c r="C150">
        <v>9.15</v>
      </c>
      <c r="D150">
        <v>13.34</v>
      </c>
      <c r="E150">
        <v>14.19</v>
      </c>
      <c r="F150">
        <v>3.06</v>
      </c>
      <c r="G150">
        <v>7.12</v>
      </c>
      <c r="H150">
        <v>4.53</v>
      </c>
      <c r="I150">
        <v>84.38</v>
      </c>
      <c r="J150">
        <v>50.91</v>
      </c>
      <c r="K150">
        <v>67.644999999999996</v>
      </c>
      <c r="L150">
        <v>40</v>
      </c>
      <c r="M150">
        <v>79.94</v>
      </c>
      <c r="N150">
        <v>75.180000000000007</v>
      </c>
      <c r="O150">
        <v>76.180000000000007</v>
      </c>
    </row>
    <row r="151" spans="1:15" x14ac:dyDescent="0.35">
      <c r="A151" t="s">
        <v>160</v>
      </c>
      <c r="B151">
        <v>9.65</v>
      </c>
      <c r="C151">
        <v>9.1199999999999992</v>
      </c>
      <c r="D151">
        <v>13.8</v>
      </c>
      <c r="E151">
        <v>14.03</v>
      </c>
      <c r="F151">
        <v>2.76</v>
      </c>
      <c r="G151">
        <v>5.63</v>
      </c>
      <c r="H151">
        <v>3.89</v>
      </c>
      <c r="I151">
        <v>85.75</v>
      </c>
      <c r="J151">
        <v>59.03</v>
      </c>
      <c r="K151">
        <v>72.39</v>
      </c>
      <c r="L151">
        <v>0</v>
      </c>
      <c r="M151">
        <v>78.349999999999994</v>
      </c>
      <c r="N151">
        <v>71.94</v>
      </c>
      <c r="O151">
        <v>74.56</v>
      </c>
    </row>
    <row r="152" spans="1:15" x14ac:dyDescent="0.35">
      <c r="A152" t="s">
        <v>161</v>
      </c>
      <c r="B152">
        <v>7.65</v>
      </c>
      <c r="C152">
        <v>7.45</v>
      </c>
      <c r="D152">
        <v>12.92</v>
      </c>
      <c r="E152">
        <v>12.63</v>
      </c>
      <c r="F152">
        <v>3.43</v>
      </c>
      <c r="G152">
        <v>3.27</v>
      </c>
      <c r="H152">
        <v>3.38</v>
      </c>
      <c r="I152">
        <v>81.3</v>
      </c>
      <c r="J152">
        <v>41.72</v>
      </c>
      <c r="K152">
        <v>61.51</v>
      </c>
      <c r="L152">
        <v>16</v>
      </c>
      <c r="M152">
        <v>72.290000000000006</v>
      </c>
      <c r="N152">
        <v>65.87</v>
      </c>
      <c r="O152">
        <v>68.19</v>
      </c>
    </row>
    <row r="153" spans="1:15" x14ac:dyDescent="0.35">
      <c r="A153" t="s">
        <v>162</v>
      </c>
      <c r="B153">
        <v>7.83</v>
      </c>
      <c r="C153">
        <v>7.49</v>
      </c>
      <c r="D153">
        <v>13</v>
      </c>
      <c r="E153">
        <v>13.32</v>
      </c>
      <c r="F153">
        <v>2.81</v>
      </c>
      <c r="G153">
        <v>1.72</v>
      </c>
      <c r="H153">
        <v>2.38</v>
      </c>
      <c r="I153">
        <v>80.5</v>
      </c>
      <c r="J153">
        <v>57.11</v>
      </c>
      <c r="K153">
        <v>68.805000000000007</v>
      </c>
      <c r="L153">
        <v>10</v>
      </c>
      <c r="M153">
        <v>74.72</v>
      </c>
      <c r="N153">
        <v>68.430000000000007</v>
      </c>
      <c r="O153">
        <v>70.930000000000007</v>
      </c>
    </row>
    <row r="154" spans="1:15" x14ac:dyDescent="0.35">
      <c r="A154" t="s">
        <v>163</v>
      </c>
      <c r="B154">
        <v>11.39</v>
      </c>
      <c r="C154">
        <v>11.08</v>
      </c>
      <c r="D154">
        <v>13.25</v>
      </c>
      <c r="E154">
        <v>13.63</v>
      </c>
      <c r="F154">
        <v>7.2</v>
      </c>
      <c r="G154">
        <v>8.49</v>
      </c>
      <c r="H154">
        <v>7.68</v>
      </c>
      <c r="I154">
        <v>87.98</v>
      </c>
      <c r="J154">
        <v>51.48</v>
      </c>
      <c r="K154">
        <v>69.73</v>
      </c>
      <c r="L154">
        <v>10</v>
      </c>
      <c r="M154">
        <v>85.69</v>
      </c>
      <c r="N154">
        <v>82.02</v>
      </c>
      <c r="O154">
        <v>82.86</v>
      </c>
    </row>
    <row r="155" spans="1:15" x14ac:dyDescent="0.35">
      <c r="A155" t="s">
        <v>164</v>
      </c>
      <c r="B155">
        <v>10.85</v>
      </c>
      <c r="C155">
        <v>10.66</v>
      </c>
      <c r="D155">
        <v>14.18</v>
      </c>
      <c r="E155">
        <v>14.63</v>
      </c>
      <c r="F155">
        <v>5.16</v>
      </c>
      <c r="G155">
        <v>4.0199999999999996</v>
      </c>
      <c r="H155">
        <v>4.6900000000000004</v>
      </c>
      <c r="I155">
        <v>81.03</v>
      </c>
      <c r="J155">
        <v>56.96</v>
      </c>
      <c r="K155">
        <v>68.995000000000005</v>
      </c>
      <c r="L155">
        <v>23.33</v>
      </c>
      <c r="M155">
        <v>82.9</v>
      </c>
      <c r="N155">
        <v>80.430000000000007</v>
      </c>
      <c r="O155">
        <v>80.63</v>
      </c>
    </row>
    <row r="156" spans="1:15" x14ac:dyDescent="0.35">
      <c r="A156" t="s">
        <v>166</v>
      </c>
      <c r="B156">
        <v>9.57</v>
      </c>
      <c r="C156">
        <v>8.9600000000000009</v>
      </c>
      <c r="D156">
        <v>13.17</v>
      </c>
      <c r="E156">
        <v>12.63</v>
      </c>
      <c r="F156">
        <v>6.95</v>
      </c>
      <c r="G156">
        <v>9.2899999999999991</v>
      </c>
      <c r="H156">
        <v>7.93</v>
      </c>
      <c r="I156">
        <v>84.91</v>
      </c>
      <c r="J156">
        <v>60.42</v>
      </c>
      <c r="K156">
        <v>72.664999999999992</v>
      </c>
      <c r="L156">
        <v>25.47</v>
      </c>
      <c r="M156">
        <v>78.16</v>
      </c>
      <c r="N156">
        <v>73.17</v>
      </c>
      <c r="O156">
        <v>74.17</v>
      </c>
    </row>
    <row r="157" spans="1:15" x14ac:dyDescent="0.35">
      <c r="A157" t="s">
        <v>167</v>
      </c>
      <c r="B157">
        <v>12.38</v>
      </c>
      <c r="C157">
        <v>11.7</v>
      </c>
      <c r="D157">
        <v>13.97</v>
      </c>
      <c r="E157">
        <v>13.94</v>
      </c>
      <c r="F157">
        <v>6.68</v>
      </c>
      <c r="G157">
        <v>2.92</v>
      </c>
      <c r="H157">
        <v>5.22</v>
      </c>
      <c r="I157">
        <v>79.2</v>
      </c>
      <c r="J157">
        <v>50.47</v>
      </c>
      <c r="K157">
        <v>64.835000000000008</v>
      </c>
      <c r="L157">
        <v>25.47</v>
      </c>
      <c r="M157">
        <v>88.3</v>
      </c>
      <c r="N157">
        <v>85.92</v>
      </c>
      <c r="O157">
        <v>86.94</v>
      </c>
    </row>
    <row r="158" spans="1:15" x14ac:dyDescent="0.35">
      <c r="A158" t="s">
        <v>168</v>
      </c>
      <c r="B158">
        <v>12.3</v>
      </c>
      <c r="C158">
        <v>11.83</v>
      </c>
      <c r="D158">
        <v>13.97</v>
      </c>
      <c r="E158">
        <v>14.22</v>
      </c>
      <c r="F158">
        <v>6.27</v>
      </c>
      <c r="G158">
        <v>7.99</v>
      </c>
      <c r="H158">
        <v>6.95</v>
      </c>
      <c r="I158">
        <v>78.900000000000006</v>
      </c>
      <c r="J158">
        <v>50.19</v>
      </c>
      <c r="K158">
        <v>64.545000000000002</v>
      </c>
      <c r="L158">
        <v>25.47</v>
      </c>
      <c r="M158">
        <v>87.57</v>
      </c>
      <c r="N158">
        <v>83.98</v>
      </c>
      <c r="O158">
        <v>84.65</v>
      </c>
    </row>
    <row r="159" spans="1:15" x14ac:dyDescent="0.35">
      <c r="A159" t="s">
        <v>169</v>
      </c>
      <c r="B159">
        <v>11.83</v>
      </c>
      <c r="C159">
        <v>11.4</v>
      </c>
      <c r="D159">
        <v>13.52</v>
      </c>
      <c r="E159">
        <v>13.31</v>
      </c>
      <c r="F159">
        <v>6.4</v>
      </c>
      <c r="G159">
        <v>5.99</v>
      </c>
      <c r="H159">
        <v>6.24</v>
      </c>
      <c r="I159">
        <v>79.489999999999995</v>
      </c>
      <c r="J159">
        <v>50.44</v>
      </c>
      <c r="K159">
        <v>64.965000000000003</v>
      </c>
      <c r="L159">
        <v>25.47</v>
      </c>
      <c r="M159">
        <v>85.26</v>
      </c>
      <c r="N159">
        <v>82.05</v>
      </c>
      <c r="O159">
        <v>83.01</v>
      </c>
    </row>
    <row r="160" spans="1:15" x14ac:dyDescent="0.35">
      <c r="A160" t="s">
        <v>170</v>
      </c>
      <c r="B160">
        <v>11.65</v>
      </c>
      <c r="C160">
        <v>10.83</v>
      </c>
      <c r="D160">
        <v>13.27</v>
      </c>
      <c r="E160">
        <v>13.14</v>
      </c>
      <c r="F160">
        <v>6.01</v>
      </c>
      <c r="G160">
        <v>6.46</v>
      </c>
      <c r="H160">
        <v>6.18</v>
      </c>
      <c r="I160">
        <v>79.81</v>
      </c>
      <c r="J160">
        <v>48.39</v>
      </c>
      <c r="K160">
        <v>64.099999999999994</v>
      </c>
      <c r="L160">
        <v>25.47</v>
      </c>
      <c r="M160">
        <v>85.98</v>
      </c>
      <c r="N160">
        <v>82.25</v>
      </c>
      <c r="O160">
        <v>83.64</v>
      </c>
    </row>
    <row r="161" spans="1:15" x14ac:dyDescent="0.35">
      <c r="A161" t="s">
        <v>171</v>
      </c>
      <c r="B161">
        <v>11.34</v>
      </c>
      <c r="C161">
        <v>10.43</v>
      </c>
      <c r="D161">
        <v>13</v>
      </c>
      <c r="E161">
        <v>12.65</v>
      </c>
      <c r="F161">
        <v>5.79</v>
      </c>
      <c r="G161">
        <v>6.82</v>
      </c>
      <c r="H161">
        <v>6.18</v>
      </c>
      <c r="I161">
        <v>83.1</v>
      </c>
      <c r="J161">
        <v>52.34</v>
      </c>
      <c r="K161">
        <v>67.72</v>
      </c>
      <c r="L161">
        <v>25.47</v>
      </c>
      <c r="M161">
        <v>85.24</v>
      </c>
      <c r="N161">
        <v>80.489999999999995</v>
      </c>
      <c r="O161">
        <v>81.39</v>
      </c>
    </row>
    <row r="162" spans="1:15" x14ac:dyDescent="0.35">
      <c r="A162" t="s">
        <v>173</v>
      </c>
      <c r="B162">
        <v>8.99</v>
      </c>
      <c r="C162">
        <v>8.0500000000000007</v>
      </c>
      <c r="D162">
        <v>12.91</v>
      </c>
      <c r="E162">
        <v>12.65</v>
      </c>
      <c r="F162">
        <v>7.86</v>
      </c>
      <c r="G162">
        <v>6.31</v>
      </c>
      <c r="H162">
        <v>7.34</v>
      </c>
      <c r="I162">
        <v>85.99</v>
      </c>
      <c r="J162">
        <v>45.57</v>
      </c>
      <c r="K162">
        <v>65.78</v>
      </c>
      <c r="L162">
        <v>9.09</v>
      </c>
      <c r="M162">
        <v>77.040000000000006</v>
      </c>
      <c r="N162">
        <v>69.47</v>
      </c>
      <c r="O162">
        <v>72.39</v>
      </c>
    </row>
    <row r="163" spans="1:15" x14ac:dyDescent="0.35">
      <c r="A163" t="s">
        <v>174</v>
      </c>
      <c r="B163">
        <v>7.84</v>
      </c>
      <c r="C163">
        <v>7.09</v>
      </c>
      <c r="D163">
        <v>12.66</v>
      </c>
      <c r="E163">
        <v>12.35</v>
      </c>
      <c r="F163">
        <v>6.87</v>
      </c>
      <c r="G163">
        <v>7.51</v>
      </c>
      <c r="H163">
        <v>7.11</v>
      </c>
      <c r="I163">
        <v>85.69</v>
      </c>
      <c r="J163">
        <v>53.44</v>
      </c>
      <c r="K163">
        <v>69.564999999999998</v>
      </c>
      <c r="L163">
        <v>18</v>
      </c>
      <c r="M163">
        <v>73.88</v>
      </c>
      <c r="N163">
        <v>65.45</v>
      </c>
      <c r="O163">
        <v>68.97</v>
      </c>
    </row>
    <row r="164" spans="1:15" x14ac:dyDescent="0.35">
      <c r="A164" t="s">
        <v>175</v>
      </c>
      <c r="B164">
        <v>7.54</v>
      </c>
      <c r="C164">
        <v>6.93</v>
      </c>
      <c r="D164">
        <v>12.32</v>
      </c>
      <c r="E164">
        <v>12</v>
      </c>
      <c r="F164">
        <v>6.58</v>
      </c>
      <c r="G164">
        <v>4.99</v>
      </c>
      <c r="H164">
        <v>5.99</v>
      </c>
      <c r="I164">
        <v>88.86</v>
      </c>
      <c r="J164">
        <v>55.61</v>
      </c>
      <c r="K164">
        <v>72.234999999999999</v>
      </c>
      <c r="L164">
        <v>22</v>
      </c>
      <c r="M164">
        <v>71.599999999999994</v>
      </c>
      <c r="N164">
        <v>61.18</v>
      </c>
      <c r="O164">
        <v>67.239999999999995</v>
      </c>
    </row>
    <row r="165" spans="1:15" x14ac:dyDescent="0.35">
      <c r="A165" t="s">
        <v>176</v>
      </c>
      <c r="B165">
        <v>9.34</v>
      </c>
      <c r="C165">
        <v>9.0299999999999994</v>
      </c>
      <c r="D165">
        <v>12.28</v>
      </c>
      <c r="E165">
        <v>13.12</v>
      </c>
      <c r="F165">
        <v>6.96</v>
      </c>
      <c r="G165">
        <v>5.35</v>
      </c>
      <c r="H165">
        <v>6.36</v>
      </c>
      <c r="I165">
        <v>82.71</v>
      </c>
      <c r="J165">
        <v>51.25</v>
      </c>
      <c r="K165">
        <v>66.97999999999999</v>
      </c>
      <c r="L165">
        <v>16.36</v>
      </c>
      <c r="M165">
        <v>77.16</v>
      </c>
      <c r="N165">
        <v>72.709999999999994</v>
      </c>
      <c r="O165">
        <v>74.27</v>
      </c>
    </row>
    <row r="166" spans="1:15" x14ac:dyDescent="0.35">
      <c r="A166" t="s">
        <v>177</v>
      </c>
      <c r="B166">
        <v>8.19</v>
      </c>
      <c r="C166">
        <v>7.5</v>
      </c>
      <c r="D166">
        <v>12.38</v>
      </c>
      <c r="E166">
        <v>12.11</v>
      </c>
      <c r="F166">
        <v>7.65</v>
      </c>
      <c r="G166">
        <v>5.87</v>
      </c>
      <c r="H166">
        <v>6.96</v>
      </c>
      <c r="I166">
        <v>85.54</v>
      </c>
      <c r="J166">
        <v>56.48</v>
      </c>
      <c r="K166">
        <v>71.010000000000005</v>
      </c>
      <c r="L166">
        <v>24</v>
      </c>
      <c r="M166">
        <v>73.16</v>
      </c>
      <c r="N166">
        <v>61.09</v>
      </c>
      <c r="O166">
        <v>68.790000000000006</v>
      </c>
    </row>
    <row r="167" spans="1:15" x14ac:dyDescent="0.35">
      <c r="A167" t="s">
        <v>178</v>
      </c>
      <c r="B167">
        <v>8.11</v>
      </c>
      <c r="C167">
        <v>7.84</v>
      </c>
      <c r="D167">
        <v>12.75</v>
      </c>
      <c r="E167">
        <v>12.64</v>
      </c>
      <c r="F167">
        <v>4.9000000000000004</v>
      </c>
      <c r="G167">
        <v>1.87</v>
      </c>
      <c r="H167">
        <v>3.74</v>
      </c>
      <c r="I167">
        <v>83.98</v>
      </c>
      <c r="J167">
        <v>53.26</v>
      </c>
      <c r="K167">
        <v>68.62</v>
      </c>
      <c r="L167">
        <v>12</v>
      </c>
      <c r="M167">
        <v>72.92</v>
      </c>
      <c r="N167">
        <v>63.51</v>
      </c>
      <c r="O167">
        <v>68.36</v>
      </c>
    </row>
    <row r="168" spans="1:15" x14ac:dyDescent="0.35">
      <c r="A168" t="s">
        <v>179</v>
      </c>
      <c r="B168">
        <v>8.32</v>
      </c>
      <c r="C168">
        <v>7.9</v>
      </c>
      <c r="D168">
        <v>14.69</v>
      </c>
      <c r="E168">
        <v>14.3</v>
      </c>
      <c r="F168">
        <v>4.7</v>
      </c>
      <c r="G168">
        <v>1.46</v>
      </c>
      <c r="H168">
        <v>3.37</v>
      </c>
      <c r="I168">
        <v>80.8</v>
      </c>
      <c r="J168">
        <v>55.64</v>
      </c>
      <c r="K168">
        <v>68.22</v>
      </c>
      <c r="L168">
        <v>10</v>
      </c>
      <c r="M168">
        <v>77.790000000000006</v>
      </c>
      <c r="N168">
        <v>68.05</v>
      </c>
      <c r="O168">
        <v>72.56</v>
      </c>
    </row>
    <row r="169" spans="1:15" x14ac:dyDescent="0.35">
      <c r="A169" t="s">
        <v>180</v>
      </c>
      <c r="B169">
        <v>8.17</v>
      </c>
      <c r="C169">
        <v>7.64</v>
      </c>
      <c r="D169">
        <v>12.94</v>
      </c>
      <c r="E169">
        <v>12.27</v>
      </c>
      <c r="F169">
        <v>8.57</v>
      </c>
      <c r="G169">
        <v>6.51</v>
      </c>
      <c r="H169">
        <v>7.78</v>
      </c>
      <c r="I169">
        <v>80.569999999999993</v>
      </c>
      <c r="J169">
        <v>50.85</v>
      </c>
      <c r="K169">
        <v>65.709999999999994</v>
      </c>
      <c r="L169">
        <v>32</v>
      </c>
      <c r="M169">
        <v>76.48</v>
      </c>
      <c r="N169">
        <v>66.959999999999994</v>
      </c>
      <c r="O169">
        <v>71.260000000000005</v>
      </c>
    </row>
    <row r="170" spans="1:15" x14ac:dyDescent="0.35">
      <c r="A170" t="s">
        <v>181</v>
      </c>
      <c r="B170">
        <v>8.07</v>
      </c>
      <c r="C170">
        <v>7.22</v>
      </c>
      <c r="D170">
        <v>12.42</v>
      </c>
      <c r="E170">
        <v>12.77</v>
      </c>
      <c r="F170">
        <v>7.43</v>
      </c>
      <c r="G170">
        <v>5.56</v>
      </c>
      <c r="H170">
        <v>6.74</v>
      </c>
      <c r="I170">
        <v>86.46</v>
      </c>
      <c r="J170">
        <v>51.86</v>
      </c>
      <c r="K170">
        <v>69.16</v>
      </c>
      <c r="L170">
        <v>28</v>
      </c>
      <c r="M170">
        <v>76.040000000000006</v>
      </c>
      <c r="N170">
        <v>64.44</v>
      </c>
      <c r="O170">
        <v>71.44</v>
      </c>
    </row>
    <row r="171" spans="1:15" x14ac:dyDescent="0.35">
      <c r="A171" t="s">
        <v>182</v>
      </c>
      <c r="B171">
        <v>7.84</v>
      </c>
      <c r="C171">
        <v>7.21</v>
      </c>
      <c r="D171">
        <v>12.49</v>
      </c>
      <c r="E171">
        <v>12.25</v>
      </c>
      <c r="F171">
        <v>3.81</v>
      </c>
      <c r="G171">
        <v>4.32</v>
      </c>
      <c r="H171">
        <v>4.01</v>
      </c>
      <c r="I171">
        <v>85.24</v>
      </c>
      <c r="J171">
        <v>54.11</v>
      </c>
      <c r="K171">
        <v>69.674999999999997</v>
      </c>
      <c r="L171">
        <v>14</v>
      </c>
      <c r="M171">
        <v>74.150000000000006</v>
      </c>
      <c r="N171">
        <v>64.63</v>
      </c>
      <c r="O171">
        <v>69.739999999999995</v>
      </c>
    </row>
    <row r="172" spans="1:15" x14ac:dyDescent="0.35">
      <c r="A172" t="s">
        <v>183</v>
      </c>
      <c r="B172">
        <v>8.9600000000000009</v>
      </c>
      <c r="C172">
        <v>8.49</v>
      </c>
      <c r="D172">
        <v>13</v>
      </c>
      <c r="E172">
        <v>13.68</v>
      </c>
      <c r="F172">
        <v>7.08</v>
      </c>
      <c r="G172">
        <v>4.7300000000000004</v>
      </c>
      <c r="H172">
        <v>6.16</v>
      </c>
      <c r="I172">
        <v>83.74</v>
      </c>
      <c r="J172">
        <v>54.65</v>
      </c>
      <c r="K172">
        <v>69.194999999999993</v>
      </c>
      <c r="L172">
        <v>24</v>
      </c>
      <c r="M172">
        <v>76.89</v>
      </c>
      <c r="N172">
        <v>73.47</v>
      </c>
      <c r="O172">
        <v>73.73</v>
      </c>
    </row>
    <row r="173" spans="1:15" x14ac:dyDescent="0.35">
      <c r="A173" t="s">
        <v>184</v>
      </c>
      <c r="B173">
        <v>7.51</v>
      </c>
      <c r="C173">
        <v>6.37</v>
      </c>
      <c r="D173">
        <v>12.01</v>
      </c>
      <c r="E173">
        <v>12.6</v>
      </c>
      <c r="F173">
        <v>6.58</v>
      </c>
      <c r="G173">
        <v>5.69</v>
      </c>
      <c r="H173">
        <v>6.25</v>
      </c>
      <c r="I173">
        <v>84.71</v>
      </c>
      <c r="J173">
        <v>48.21</v>
      </c>
      <c r="K173">
        <v>66.459999999999994</v>
      </c>
      <c r="L173">
        <v>28</v>
      </c>
      <c r="M173">
        <v>74.099999999999994</v>
      </c>
      <c r="N173">
        <v>65.97</v>
      </c>
      <c r="O173">
        <v>69.83</v>
      </c>
    </row>
    <row r="174" spans="1:15" x14ac:dyDescent="0.35">
      <c r="A174" t="s">
        <v>185</v>
      </c>
      <c r="B174">
        <v>7.91</v>
      </c>
      <c r="C174">
        <v>7.14</v>
      </c>
      <c r="D174">
        <v>12.1</v>
      </c>
      <c r="E174">
        <v>12.18</v>
      </c>
      <c r="F174">
        <v>6.25</v>
      </c>
      <c r="G174">
        <v>7.49</v>
      </c>
      <c r="H174">
        <v>6.73</v>
      </c>
      <c r="I174">
        <v>87.76</v>
      </c>
      <c r="J174">
        <v>55.83</v>
      </c>
      <c r="K174">
        <v>71.795000000000002</v>
      </c>
      <c r="L174">
        <v>22</v>
      </c>
      <c r="M174">
        <v>74.95</v>
      </c>
      <c r="N174">
        <v>68.62</v>
      </c>
      <c r="O174">
        <v>71.36</v>
      </c>
    </row>
    <row r="175" spans="1:15" x14ac:dyDescent="0.35">
      <c r="A175" t="s">
        <v>186</v>
      </c>
      <c r="B175">
        <v>8.81</v>
      </c>
      <c r="C175">
        <v>7.7</v>
      </c>
      <c r="D175">
        <v>12.25</v>
      </c>
      <c r="E175">
        <v>12.29</v>
      </c>
      <c r="F175">
        <v>8.57</v>
      </c>
      <c r="G175">
        <v>4.9800000000000004</v>
      </c>
      <c r="H175">
        <v>7.34</v>
      </c>
      <c r="I175">
        <v>86.62</v>
      </c>
      <c r="J175">
        <v>46.19</v>
      </c>
      <c r="K175">
        <v>66.405000000000001</v>
      </c>
      <c r="L175">
        <v>30</v>
      </c>
      <c r="M175">
        <v>77.55</v>
      </c>
      <c r="N175">
        <v>67.61</v>
      </c>
      <c r="O175">
        <v>72.650000000000006</v>
      </c>
    </row>
    <row r="176" spans="1:15" x14ac:dyDescent="0.35">
      <c r="A176" t="s">
        <v>187</v>
      </c>
      <c r="B176">
        <v>8.49</v>
      </c>
      <c r="C176">
        <v>7.49</v>
      </c>
      <c r="D176">
        <v>12.25</v>
      </c>
      <c r="E176">
        <v>12.21</v>
      </c>
      <c r="F176">
        <v>7.39</v>
      </c>
      <c r="G176">
        <v>9.32</v>
      </c>
      <c r="H176">
        <v>8.0399999999999991</v>
      </c>
      <c r="I176">
        <v>83.56</v>
      </c>
      <c r="J176">
        <v>43.48</v>
      </c>
      <c r="K176">
        <v>63.519999999999996</v>
      </c>
      <c r="L176">
        <v>16</v>
      </c>
      <c r="M176">
        <v>76.540000000000006</v>
      </c>
      <c r="N176">
        <v>69.83</v>
      </c>
      <c r="O176">
        <v>72.900000000000006</v>
      </c>
    </row>
    <row r="177" spans="1:15" x14ac:dyDescent="0.35">
      <c r="A177" t="s">
        <v>188</v>
      </c>
      <c r="B177">
        <v>9.99</v>
      </c>
      <c r="C177">
        <v>9.34</v>
      </c>
      <c r="D177">
        <v>13.13</v>
      </c>
      <c r="E177">
        <v>13.23</v>
      </c>
      <c r="F177">
        <v>9.17</v>
      </c>
      <c r="G177">
        <v>8.1199999999999992</v>
      </c>
      <c r="H177">
        <v>8.82</v>
      </c>
      <c r="I177">
        <v>85.51</v>
      </c>
      <c r="J177">
        <v>44.34</v>
      </c>
      <c r="K177">
        <v>64.925000000000011</v>
      </c>
      <c r="L177">
        <v>21.82</v>
      </c>
      <c r="M177">
        <v>80.77</v>
      </c>
      <c r="N177">
        <v>72.47</v>
      </c>
      <c r="O177">
        <v>76.44</v>
      </c>
    </row>
    <row r="178" spans="1:15" x14ac:dyDescent="0.35">
      <c r="A178" t="s">
        <v>189</v>
      </c>
      <c r="B178">
        <v>8.76</v>
      </c>
      <c r="C178">
        <v>7.87</v>
      </c>
      <c r="D178">
        <v>11.94</v>
      </c>
      <c r="E178">
        <v>12.18</v>
      </c>
      <c r="F178">
        <v>6.59</v>
      </c>
      <c r="G178">
        <v>6.92</v>
      </c>
      <c r="H178">
        <v>6.7</v>
      </c>
      <c r="I178">
        <v>87.12</v>
      </c>
      <c r="J178">
        <v>48.84</v>
      </c>
      <c r="K178">
        <v>67.98</v>
      </c>
      <c r="L178">
        <v>20</v>
      </c>
      <c r="M178">
        <v>74.91</v>
      </c>
      <c r="N178">
        <v>60.69</v>
      </c>
      <c r="O178">
        <v>70.03</v>
      </c>
    </row>
    <row r="179" spans="1:15" x14ac:dyDescent="0.35">
      <c r="A179" t="s">
        <v>190</v>
      </c>
      <c r="B179">
        <v>8.41</v>
      </c>
      <c r="C179">
        <v>7.88</v>
      </c>
      <c r="D179">
        <v>12.36</v>
      </c>
      <c r="E179">
        <v>12.31</v>
      </c>
      <c r="F179">
        <v>1.85</v>
      </c>
      <c r="G179">
        <v>1.24</v>
      </c>
      <c r="H179">
        <v>1.58</v>
      </c>
      <c r="I179">
        <v>91.31</v>
      </c>
      <c r="J179">
        <v>69.11</v>
      </c>
      <c r="K179">
        <v>80.210000000000008</v>
      </c>
      <c r="L179">
        <v>20</v>
      </c>
      <c r="M179">
        <v>74</v>
      </c>
      <c r="N179">
        <v>66.88</v>
      </c>
      <c r="O179">
        <v>69.849999999999994</v>
      </c>
    </row>
    <row r="180" spans="1:15" x14ac:dyDescent="0.35">
      <c r="A180" t="s">
        <v>191</v>
      </c>
      <c r="B180">
        <v>11.06</v>
      </c>
      <c r="C180">
        <v>10.36</v>
      </c>
      <c r="D180">
        <v>13.42</v>
      </c>
      <c r="E180">
        <v>13.7</v>
      </c>
      <c r="F180">
        <v>7.77</v>
      </c>
      <c r="G180">
        <v>8.74</v>
      </c>
      <c r="H180">
        <v>8.1300000000000008</v>
      </c>
      <c r="I180">
        <v>83.71</v>
      </c>
      <c r="J180">
        <v>50.69</v>
      </c>
      <c r="K180">
        <v>67.199999999999989</v>
      </c>
      <c r="L180">
        <v>26</v>
      </c>
      <c r="M180">
        <v>83.1</v>
      </c>
      <c r="N180">
        <v>75.84</v>
      </c>
      <c r="O180">
        <v>78.52</v>
      </c>
    </row>
    <row r="181" spans="1:15" x14ac:dyDescent="0.35">
      <c r="A181" t="s">
        <v>192</v>
      </c>
      <c r="B181">
        <v>10.71</v>
      </c>
      <c r="C181">
        <v>10.1</v>
      </c>
      <c r="D181">
        <v>14.43</v>
      </c>
      <c r="E181">
        <v>13.6</v>
      </c>
      <c r="F181">
        <v>9.08</v>
      </c>
      <c r="G181">
        <v>7.07</v>
      </c>
      <c r="H181">
        <v>8.34</v>
      </c>
      <c r="I181">
        <v>79.540000000000006</v>
      </c>
      <c r="J181">
        <v>45.67</v>
      </c>
      <c r="K181">
        <v>62.605000000000004</v>
      </c>
      <c r="L181">
        <v>20</v>
      </c>
      <c r="M181">
        <v>81.489999999999995</v>
      </c>
      <c r="N181">
        <v>75.45</v>
      </c>
      <c r="O181">
        <v>76.849999999999994</v>
      </c>
    </row>
    <row r="182" spans="1:15" x14ac:dyDescent="0.35">
      <c r="A182" t="s">
        <v>193</v>
      </c>
      <c r="B182">
        <v>11.43</v>
      </c>
      <c r="C182">
        <v>10.78</v>
      </c>
      <c r="D182">
        <v>14.24</v>
      </c>
      <c r="E182">
        <v>14.5</v>
      </c>
      <c r="F182">
        <v>7.23</v>
      </c>
      <c r="G182">
        <v>7.68</v>
      </c>
      <c r="H182">
        <v>7.4</v>
      </c>
      <c r="I182">
        <v>83.93</v>
      </c>
      <c r="J182">
        <v>51.96</v>
      </c>
      <c r="K182">
        <v>67.945000000000007</v>
      </c>
      <c r="L182">
        <v>16</v>
      </c>
      <c r="M182">
        <v>86.94</v>
      </c>
      <c r="N182">
        <v>82.48</v>
      </c>
      <c r="O182">
        <v>83.52</v>
      </c>
    </row>
    <row r="183" spans="1:15" x14ac:dyDescent="0.35">
      <c r="A183" t="s">
        <v>194</v>
      </c>
      <c r="B183">
        <v>10.83</v>
      </c>
      <c r="C183">
        <v>10.39</v>
      </c>
      <c r="D183">
        <v>12.84</v>
      </c>
      <c r="E183">
        <v>13.46</v>
      </c>
      <c r="F183">
        <v>6.27</v>
      </c>
      <c r="G183">
        <v>6.32</v>
      </c>
      <c r="H183">
        <v>6.29</v>
      </c>
      <c r="I183">
        <v>82.41</v>
      </c>
      <c r="J183">
        <v>54.77</v>
      </c>
      <c r="K183">
        <v>68.59</v>
      </c>
      <c r="L183">
        <v>34.29</v>
      </c>
      <c r="M183">
        <v>79.95</v>
      </c>
      <c r="N183">
        <v>76.62</v>
      </c>
      <c r="O183">
        <v>77.08</v>
      </c>
    </row>
    <row r="184" spans="1:15" x14ac:dyDescent="0.35">
      <c r="A184" t="s">
        <v>195</v>
      </c>
      <c r="B184">
        <v>12.29</v>
      </c>
      <c r="C184">
        <v>11.79</v>
      </c>
      <c r="D184">
        <v>14.35</v>
      </c>
      <c r="E184">
        <v>14.14</v>
      </c>
      <c r="F184">
        <v>8.82</v>
      </c>
      <c r="G184">
        <v>6.23</v>
      </c>
      <c r="H184">
        <v>7.82</v>
      </c>
      <c r="I184">
        <v>80.540000000000006</v>
      </c>
      <c r="J184">
        <v>50.63</v>
      </c>
      <c r="K184">
        <v>65.585000000000008</v>
      </c>
      <c r="L184">
        <v>20</v>
      </c>
      <c r="M184">
        <v>87.84</v>
      </c>
      <c r="N184">
        <v>82.24</v>
      </c>
      <c r="O184">
        <v>83.54</v>
      </c>
    </row>
    <row r="185" spans="1:15" x14ac:dyDescent="0.35">
      <c r="A185" t="s">
        <v>196</v>
      </c>
      <c r="B185">
        <v>11.94</v>
      </c>
      <c r="C185">
        <v>11.29</v>
      </c>
      <c r="D185">
        <v>13.97</v>
      </c>
      <c r="E185">
        <v>14.35</v>
      </c>
      <c r="F185">
        <v>6.55</v>
      </c>
      <c r="G185">
        <v>5.8</v>
      </c>
      <c r="H185">
        <v>6.27</v>
      </c>
      <c r="I185">
        <v>78.900000000000006</v>
      </c>
      <c r="J185">
        <v>46.83</v>
      </c>
      <c r="K185">
        <v>62.865000000000002</v>
      </c>
      <c r="L185">
        <v>24</v>
      </c>
      <c r="M185">
        <v>86.99</v>
      </c>
      <c r="N185">
        <v>81.510000000000005</v>
      </c>
      <c r="O185">
        <v>82.91</v>
      </c>
    </row>
    <row r="186" spans="1:15" x14ac:dyDescent="0.35">
      <c r="A186" t="s">
        <v>197</v>
      </c>
      <c r="B186">
        <v>11.78</v>
      </c>
      <c r="C186">
        <v>11.22</v>
      </c>
      <c r="D186">
        <v>14.27</v>
      </c>
      <c r="E186">
        <v>13.85</v>
      </c>
      <c r="F186">
        <v>8.5399999999999991</v>
      </c>
      <c r="G186">
        <v>9.69</v>
      </c>
      <c r="H186">
        <v>8.9700000000000006</v>
      </c>
      <c r="I186">
        <v>82.9</v>
      </c>
      <c r="J186">
        <v>49.99</v>
      </c>
      <c r="K186">
        <v>66.445000000000007</v>
      </c>
      <c r="L186">
        <v>26.67</v>
      </c>
      <c r="M186">
        <v>84.21</v>
      </c>
      <c r="N186">
        <v>77.709999999999994</v>
      </c>
      <c r="O186">
        <v>80.08</v>
      </c>
    </row>
    <row r="187" spans="1:15" x14ac:dyDescent="0.35">
      <c r="A187" t="s">
        <v>198</v>
      </c>
      <c r="B187">
        <v>9.7799999999999994</v>
      </c>
      <c r="C187">
        <v>9.4</v>
      </c>
      <c r="D187">
        <v>13.43</v>
      </c>
      <c r="E187">
        <v>13.82</v>
      </c>
      <c r="F187">
        <v>5.44</v>
      </c>
      <c r="G187">
        <v>8.1300000000000008</v>
      </c>
      <c r="H187">
        <v>6.49</v>
      </c>
      <c r="I187">
        <v>83.54</v>
      </c>
      <c r="J187">
        <v>54.03</v>
      </c>
      <c r="K187">
        <v>68.784999999999997</v>
      </c>
      <c r="L187">
        <v>16.28</v>
      </c>
      <c r="M187">
        <v>78.11</v>
      </c>
      <c r="N187">
        <v>72.03</v>
      </c>
      <c r="O187">
        <v>75.040000000000006</v>
      </c>
    </row>
    <row r="188" spans="1:15" x14ac:dyDescent="0.35">
      <c r="A188" t="s">
        <v>199</v>
      </c>
      <c r="B188">
        <v>9.25</v>
      </c>
      <c r="C188">
        <v>8.58</v>
      </c>
      <c r="D188">
        <v>13.6</v>
      </c>
      <c r="E188">
        <v>13.21</v>
      </c>
      <c r="F188">
        <v>4.6399999999999997</v>
      </c>
      <c r="G188">
        <v>6.71</v>
      </c>
      <c r="H188">
        <v>5.44</v>
      </c>
      <c r="I188">
        <v>82.35</v>
      </c>
      <c r="J188">
        <v>52.16</v>
      </c>
      <c r="K188">
        <v>67.254999999999995</v>
      </c>
      <c r="L188">
        <v>13.33</v>
      </c>
      <c r="M188">
        <v>78.540000000000006</v>
      </c>
      <c r="N188">
        <v>69.209999999999994</v>
      </c>
      <c r="O188">
        <v>73.64</v>
      </c>
    </row>
    <row r="189" spans="1:15" x14ac:dyDescent="0.35">
      <c r="A189" t="s">
        <v>202</v>
      </c>
      <c r="B189">
        <v>7.88</v>
      </c>
      <c r="C189">
        <v>6.98</v>
      </c>
      <c r="D189">
        <v>13.11</v>
      </c>
      <c r="E189">
        <v>12.69</v>
      </c>
      <c r="F189">
        <v>8.31</v>
      </c>
      <c r="G189">
        <v>7.05</v>
      </c>
      <c r="H189">
        <v>7.83</v>
      </c>
      <c r="I189">
        <v>83.55</v>
      </c>
      <c r="J189">
        <v>52.28</v>
      </c>
      <c r="K189">
        <v>67.914999999999992</v>
      </c>
      <c r="L189">
        <v>24</v>
      </c>
      <c r="M189">
        <v>77.3</v>
      </c>
      <c r="N189">
        <v>67.569999999999993</v>
      </c>
      <c r="O189">
        <v>72.38</v>
      </c>
    </row>
    <row r="190" spans="1:15" x14ac:dyDescent="0.35">
      <c r="A190" t="s">
        <v>203</v>
      </c>
      <c r="B190">
        <v>8.27</v>
      </c>
      <c r="C190">
        <v>7.58</v>
      </c>
      <c r="D190">
        <v>13.21</v>
      </c>
      <c r="E190">
        <v>13.46</v>
      </c>
      <c r="F190">
        <v>6.73</v>
      </c>
      <c r="G190">
        <v>5.26</v>
      </c>
      <c r="H190">
        <v>6.18</v>
      </c>
      <c r="I190">
        <v>85.44</v>
      </c>
      <c r="J190">
        <v>50.62</v>
      </c>
      <c r="K190">
        <v>68.03</v>
      </c>
      <c r="L190">
        <v>18</v>
      </c>
      <c r="M190">
        <v>78.58</v>
      </c>
      <c r="N190">
        <v>70.150000000000006</v>
      </c>
      <c r="O190">
        <v>74.52</v>
      </c>
    </row>
    <row r="191" spans="1:15" x14ac:dyDescent="0.35">
      <c r="A191" t="s">
        <v>204</v>
      </c>
      <c r="B191">
        <v>7.59</v>
      </c>
      <c r="C191">
        <v>7.13</v>
      </c>
      <c r="D191">
        <v>12.25</v>
      </c>
      <c r="E191">
        <v>12.01</v>
      </c>
      <c r="F191">
        <v>6.28</v>
      </c>
      <c r="G191">
        <v>3.1</v>
      </c>
      <c r="H191">
        <v>4.96</v>
      </c>
      <c r="I191">
        <v>86.48</v>
      </c>
      <c r="J191">
        <v>62.25</v>
      </c>
      <c r="K191">
        <v>74.365000000000009</v>
      </c>
      <c r="L191">
        <v>30</v>
      </c>
      <c r="M191">
        <v>74.23</v>
      </c>
      <c r="N191">
        <v>69.58</v>
      </c>
      <c r="O191">
        <v>70.69</v>
      </c>
    </row>
    <row r="192" spans="1:15" x14ac:dyDescent="0.35">
      <c r="A192" t="s">
        <v>205</v>
      </c>
      <c r="B192">
        <v>7.2</v>
      </c>
      <c r="C192">
        <v>6.62</v>
      </c>
      <c r="D192">
        <v>11.8</v>
      </c>
      <c r="E192">
        <v>12.03</v>
      </c>
      <c r="F192">
        <v>4.53</v>
      </c>
      <c r="G192">
        <v>7.14</v>
      </c>
      <c r="H192">
        <v>5.57</v>
      </c>
      <c r="I192">
        <v>87.45</v>
      </c>
      <c r="J192">
        <v>58.96</v>
      </c>
      <c r="K192">
        <v>73.204999999999998</v>
      </c>
      <c r="L192">
        <v>14</v>
      </c>
      <c r="M192">
        <v>71.56</v>
      </c>
      <c r="N192">
        <v>68.12</v>
      </c>
      <c r="O192">
        <v>69.599999999999994</v>
      </c>
    </row>
    <row r="193" spans="1:15" x14ac:dyDescent="0.35">
      <c r="A193" t="s">
        <v>206</v>
      </c>
      <c r="B193">
        <v>8.24</v>
      </c>
      <c r="C193">
        <v>7.44</v>
      </c>
      <c r="D193">
        <v>13.39</v>
      </c>
      <c r="E193">
        <v>13.58</v>
      </c>
      <c r="F193">
        <v>5.96</v>
      </c>
      <c r="G193">
        <v>3.87</v>
      </c>
      <c r="H193">
        <v>5.07</v>
      </c>
      <c r="I193">
        <v>88.08</v>
      </c>
      <c r="J193">
        <v>66.459999999999994</v>
      </c>
      <c r="K193">
        <v>77.27</v>
      </c>
      <c r="L193">
        <v>24</v>
      </c>
      <c r="M193">
        <v>75.53</v>
      </c>
      <c r="N193">
        <v>70.55</v>
      </c>
      <c r="O193">
        <v>71.930000000000007</v>
      </c>
    </row>
    <row r="194" spans="1:15" x14ac:dyDescent="0.35">
      <c r="A194" t="s">
        <v>207</v>
      </c>
      <c r="B194">
        <v>9.23</v>
      </c>
      <c r="C194">
        <v>8.11</v>
      </c>
      <c r="D194">
        <v>13.69</v>
      </c>
      <c r="E194">
        <v>13.55</v>
      </c>
      <c r="F194">
        <v>2.75</v>
      </c>
      <c r="G194">
        <v>5.41</v>
      </c>
      <c r="H194">
        <v>3.89</v>
      </c>
      <c r="I194">
        <v>84.64</v>
      </c>
      <c r="J194">
        <v>62.87</v>
      </c>
      <c r="K194">
        <v>73.754999999999995</v>
      </c>
      <c r="L194">
        <v>22.22</v>
      </c>
      <c r="M194">
        <v>77.55</v>
      </c>
      <c r="N194">
        <v>73.760000000000005</v>
      </c>
      <c r="O194">
        <v>75.11</v>
      </c>
    </row>
    <row r="195" spans="1:15" x14ac:dyDescent="0.35">
      <c r="A195" t="s">
        <v>208</v>
      </c>
      <c r="B195">
        <v>7.15</v>
      </c>
      <c r="C195">
        <v>6.72</v>
      </c>
      <c r="D195">
        <v>11.81</v>
      </c>
      <c r="E195">
        <v>11.83</v>
      </c>
      <c r="F195">
        <v>2.86</v>
      </c>
      <c r="G195">
        <v>5.7</v>
      </c>
      <c r="H195">
        <v>4.0199999999999996</v>
      </c>
      <c r="I195">
        <v>87.55</v>
      </c>
      <c r="J195">
        <v>61.97</v>
      </c>
      <c r="K195">
        <v>74.759999999999991</v>
      </c>
      <c r="L195">
        <v>11.11</v>
      </c>
      <c r="M195">
        <v>73.209999999999994</v>
      </c>
      <c r="N195">
        <v>68.099999999999994</v>
      </c>
      <c r="O195">
        <v>69.819999999999993</v>
      </c>
    </row>
    <row r="196" spans="1:15" x14ac:dyDescent="0.35">
      <c r="A196" t="s">
        <v>209</v>
      </c>
      <c r="B196">
        <v>8.36</v>
      </c>
      <c r="C196">
        <v>7.43</v>
      </c>
      <c r="D196">
        <v>12.6</v>
      </c>
      <c r="E196">
        <v>13.07</v>
      </c>
      <c r="F196">
        <v>4.13</v>
      </c>
      <c r="G196">
        <v>2.8</v>
      </c>
      <c r="H196">
        <v>3.55</v>
      </c>
      <c r="I196">
        <v>87.51</v>
      </c>
      <c r="J196">
        <v>67.900000000000006</v>
      </c>
      <c r="K196">
        <v>77.705000000000013</v>
      </c>
      <c r="L196">
        <v>10</v>
      </c>
      <c r="M196">
        <v>76.349999999999994</v>
      </c>
      <c r="N196">
        <v>70.67</v>
      </c>
      <c r="O196">
        <v>71.989999999999995</v>
      </c>
    </row>
    <row r="197" spans="1:15" x14ac:dyDescent="0.35">
      <c r="A197" t="s">
        <v>210</v>
      </c>
      <c r="B197">
        <v>8.82</v>
      </c>
      <c r="C197">
        <v>7.61</v>
      </c>
      <c r="D197">
        <v>12.39</v>
      </c>
      <c r="E197">
        <v>13.43</v>
      </c>
      <c r="F197">
        <v>3.14</v>
      </c>
      <c r="G197">
        <v>3.18</v>
      </c>
      <c r="H197">
        <v>3.16</v>
      </c>
      <c r="I197">
        <v>84.67</v>
      </c>
      <c r="J197">
        <v>65.849999999999994</v>
      </c>
      <c r="K197">
        <v>75.259999999999991</v>
      </c>
      <c r="L197">
        <v>26.53</v>
      </c>
      <c r="M197">
        <v>79.650000000000006</v>
      </c>
      <c r="N197">
        <v>75.5</v>
      </c>
      <c r="O197">
        <v>75.959999999999994</v>
      </c>
    </row>
    <row r="198" spans="1:15" x14ac:dyDescent="0.35">
      <c r="A198" t="s">
        <v>211</v>
      </c>
      <c r="B198">
        <v>9.91</v>
      </c>
      <c r="C198">
        <v>8.69</v>
      </c>
      <c r="D198">
        <v>13.41</v>
      </c>
      <c r="E198">
        <v>13.65</v>
      </c>
      <c r="F198">
        <v>3.05</v>
      </c>
      <c r="G198">
        <v>5.16</v>
      </c>
      <c r="H198">
        <v>3.97</v>
      </c>
      <c r="I198">
        <v>84.73</v>
      </c>
      <c r="J198">
        <v>64</v>
      </c>
      <c r="K198">
        <v>74.365000000000009</v>
      </c>
      <c r="L198">
        <v>22.45</v>
      </c>
      <c r="M198">
        <v>80.27</v>
      </c>
      <c r="N198">
        <v>76.98</v>
      </c>
      <c r="O198">
        <v>78.16</v>
      </c>
    </row>
    <row r="199" spans="1:15" x14ac:dyDescent="0.35">
      <c r="A199" t="s">
        <v>212</v>
      </c>
      <c r="B199">
        <v>10.14</v>
      </c>
      <c r="C199">
        <v>9.8699999999999992</v>
      </c>
      <c r="D199">
        <v>13.87</v>
      </c>
      <c r="E199">
        <v>14.52</v>
      </c>
      <c r="F199">
        <v>4.0999999999999996</v>
      </c>
      <c r="G199">
        <v>3.02</v>
      </c>
      <c r="H199">
        <v>3.65</v>
      </c>
      <c r="I199">
        <v>79.64</v>
      </c>
      <c r="J199">
        <v>56.92</v>
      </c>
      <c r="K199">
        <v>68.28</v>
      </c>
      <c r="L199">
        <v>15.56</v>
      </c>
      <c r="M199">
        <v>80.64</v>
      </c>
      <c r="N199">
        <v>79.09</v>
      </c>
      <c r="O199">
        <v>79.3</v>
      </c>
    </row>
    <row r="200" spans="1:15" x14ac:dyDescent="0.35">
      <c r="A200" t="s">
        <v>213</v>
      </c>
      <c r="B200">
        <v>8.19</v>
      </c>
      <c r="C200">
        <v>7.33</v>
      </c>
      <c r="D200">
        <v>12.56</v>
      </c>
      <c r="E200">
        <v>12.61</v>
      </c>
      <c r="F200">
        <v>2.31</v>
      </c>
      <c r="G200">
        <v>2.52</v>
      </c>
      <c r="H200">
        <v>2.4</v>
      </c>
      <c r="I200">
        <v>88</v>
      </c>
      <c r="J200">
        <v>67.63</v>
      </c>
      <c r="K200">
        <v>77.814999999999998</v>
      </c>
      <c r="L200">
        <v>24</v>
      </c>
      <c r="M200">
        <v>76.489999999999995</v>
      </c>
      <c r="N200">
        <v>70.66</v>
      </c>
      <c r="O200">
        <v>72.55</v>
      </c>
    </row>
    <row r="201" spans="1:15" x14ac:dyDescent="0.35">
      <c r="A201" t="s">
        <v>214</v>
      </c>
      <c r="B201">
        <v>9.73</v>
      </c>
      <c r="C201">
        <v>8.74</v>
      </c>
      <c r="D201">
        <v>13.38</v>
      </c>
      <c r="E201">
        <v>13.81</v>
      </c>
      <c r="F201">
        <v>4.67</v>
      </c>
      <c r="G201">
        <v>1.9</v>
      </c>
      <c r="H201">
        <v>3.47</v>
      </c>
      <c r="I201">
        <v>85.07</v>
      </c>
      <c r="J201">
        <v>64.27</v>
      </c>
      <c r="K201">
        <v>74.669999999999987</v>
      </c>
      <c r="L201">
        <v>18.18</v>
      </c>
      <c r="M201">
        <v>79.22</v>
      </c>
      <c r="N201">
        <v>76.97</v>
      </c>
      <c r="O201">
        <v>78.11</v>
      </c>
    </row>
    <row r="202" spans="1:15" x14ac:dyDescent="0.35">
      <c r="A202" t="s">
        <v>215</v>
      </c>
      <c r="B202">
        <v>8.4600000000000009</v>
      </c>
      <c r="C202">
        <v>7.39</v>
      </c>
      <c r="D202">
        <v>12.91</v>
      </c>
      <c r="E202">
        <v>12.97</v>
      </c>
      <c r="F202">
        <v>4.37</v>
      </c>
      <c r="G202">
        <v>2.46</v>
      </c>
      <c r="H202">
        <v>3.53</v>
      </c>
      <c r="I202">
        <v>84.19</v>
      </c>
      <c r="J202">
        <v>65.099999999999994</v>
      </c>
      <c r="K202">
        <v>74.644999999999996</v>
      </c>
      <c r="L202">
        <v>16</v>
      </c>
      <c r="M202">
        <v>79.44</v>
      </c>
      <c r="N202">
        <v>73.58</v>
      </c>
      <c r="O202">
        <v>75.53</v>
      </c>
    </row>
    <row r="203" spans="1:15" x14ac:dyDescent="0.35">
      <c r="A203" t="s">
        <v>216</v>
      </c>
      <c r="B203">
        <v>7.89</v>
      </c>
      <c r="C203">
        <v>6.78</v>
      </c>
      <c r="D203">
        <v>13.81</v>
      </c>
      <c r="E203">
        <v>12.48</v>
      </c>
      <c r="F203">
        <v>3.31</v>
      </c>
      <c r="G203">
        <v>3.13</v>
      </c>
      <c r="H203">
        <v>3.23</v>
      </c>
      <c r="I203">
        <v>90.17</v>
      </c>
      <c r="J203">
        <v>63.01</v>
      </c>
      <c r="K203">
        <v>76.59</v>
      </c>
      <c r="L203">
        <v>20</v>
      </c>
      <c r="M203">
        <v>78.45</v>
      </c>
      <c r="N203">
        <v>67.819999999999993</v>
      </c>
      <c r="O203">
        <v>72.02</v>
      </c>
    </row>
    <row r="204" spans="1:15" x14ac:dyDescent="0.35">
      <c r="A204" t="s">
        <v>217</v>
      </c>
      <c r="B204">
        <v>7.7</v>
      </c>
      <c r="C204">
        <v>6.96</v>
      </c>
      <c r="D204">
        <v>12.98</v>
      </c>
      <c r="E204">
        <v>12.6</v>
      </c>
      <c r="F204">
        <v>5.25</v>
      </c>
      <c r="G204">
        <v>1.5</v>
      </c>
      <c r="H204">
        <v>3.67</v>
      </c>
      <c r="I204">
        <v>85.38</v>
      </c>
      <c r="J204">
        <v>61.75</v>
      </c>
      <c r="K204">
        <v>73.564999999999998</v>
      </c>
      <c r="L204">
        <v>20</v>
      </c>
      <c r="M204">
        <v>76.459999999999994</v>
      </c>
      <c r="N204">
        <v>65.67</v>
      </c>
      <c r="O204">
        <v>71.39</v>
      </c>
    </row>
    <row r="205" spans="1:15" x14ac:dyDescent="0.35">
      <c r="A205" t="s">
        <v>218</v>
      </c>
      <c r="B205">
        <v>8.1999999999999993</v>
      </c>
      <c r="C205">
        <v>7.3</v>
      </c>
      <c r="D205">
        <v>12.3</v>
      </c>
      <c r="E205">
        <v>12.34</v>
      </c>
      <c r="F205">
        <v>3.84</v>
      </c>
      <c r="G205">
        <v>1.43</v>
      </c>
      <c r="H205">
        <v>2.84</v>
      </c>
      <c r="I205">
        <v>87.23</v>
      </c>
      <c r="J205">
        <v>61.76</v>
      </c>
      <c r="K205">
        <v>74.495000000000005</v>
      </c>
      <c r="L205">
        <v>13.33</v>
      </c>
      <c r="M205">
        <v>77.09</v>
      </c>
      <c r="N205">
        <v>67.86</v>
      </c>
      <c r="O205">
        <v>72.53</v>
      </c>
    </row>
    <row r="206" spans="1:15" x14ac:dyDescent="0.35">
      <c r="A206" t="s">
        <v>219</v>
      </c>
      <c r="B206">
        <v>8.4</v>
      </c>
      <c r="C206">
        <v>7.52</v>
      </c>
      <c r="D206">
        <v>13.1</v>
      </c>
      <c r="E206">
        <v>12.98</v>
      </c>
      <c r="F206">
        <v>3.98</v>
      </c>
      <c r="G206">
        <v>3.71</v>
      </c>
      <c r="H206">
        <v>3.87</v>
      </c>
      <c r="I206">
        <v>88.61</v>
      </c>
      <c r="J206">
        <v>65.08</v>
      </c>
      <c r="K206">
        <v>76.844999999999999</v>
      </c>
      <c r="L206">
        <v>14</v>
      </c>
      <c r="M206">
        <v>78.540000000000006</v>
      </c>
      <c r="N206">
        <v>72.69</v>
      </c>
      <c r="O206">
        <v>74.099999999999994</v>
      </c>
    </row>
    <row r="207" spans="1:15" x14ac:dyDescent="0.35">
      <c r="A207" t="s">
        <v>220</v>
      </c>
      <c r="B207">
        <v>9.65</v>
      </c>
      <c r="C207">
        <v>8.8800000000000008</v>
      </c>
      <c r="D207">
        <v>13.24</v>
      </c>
      <c r="E207">
        <v>13.55</v>
      </c>
      <c r="F207">
        <v>3.17</v>
      </c>
      <c r="G207">
        <v>3.21</v>
      </c>
      <c r="H207">
        <v>3.19</v>
      </c>
      <c r="I207">
        <v>83.36</v>
      </c>
      <c r="J207">
        <v>67.86</v>
      </c>
      <c r="K207">
        <v>75.61</v>
      </c>
      <c r="L207">
        <v>8.89</v>
      </c>
      <c r="M207">
        <v>80.790000000000006</v>
      </c>
      <c r="N207">
        <v>75.95</v>
      </c>
      <c r="O207">
        <v>77.22</v>
      </c>
    </row>
    <row r="208" spans="1:15" x14ac:dyDescent="0.35">
      <c r="A208" t="s">
        <v>221</v>
      </c>
      <c r="B208">
        <v>8.69</v>
      </c>
      <c r="C208">
        <v>7.87</v>
      </c>
      <c r="D208">
        <v>12.77</v>
      </c>
      <c r="E208">
        <v>13.2</v>
      </c>
      <c r="F208">
        <v>3.07</v>
      </c>
      <c r="G208">
        <v>3.74</v>
      </c>
      <c r="H208">
        <v>3.34</v>
      </c>
      <c r="I208">
        <v>86.16</v>
      </c>
      <c r="J208">
        <v>57.69</v>
      </c>
      <c r="K208">
        <v>71.924999999999997</v>
      </c>
      <c r="L208">
        <v>20</v>
      </c>
      <c r="M208">
        <v>78.260000000000005</v>
      </c>
      <c r="N208">
        <v>71.77</v>
      </c>
      <c r="O208">
        <v>74.319999999999993</v>
      </c>
    </row>
    <row r="209" spans="1:15" x14ac:dyDescent="0.35">
      <c r="A209" t="s">
        <v>222</v>
      </c>
      <c r="B209">
        <v>8.82</v>
      </c>
      <c r="C209">
        <v>7.79</v>
      </c>
      <c r="D209">
        <v>13.34</v>
      </c>
      <c r="E209">
        <v>13.57</v>
      </c>
      <c r="F209">
        <v>5.24</v>
      </c>
      <c r="G209">
        <v>4.0199999999999996</v>
      </c>
      <c r="H209">
        <v>4.75</v>
      </c>
      <c r="I209">
        <v>86.06</v>
      </c>
      <c r="J209">
        <v>58.56</v>
      </c>
      <c r="K209">
        <v>72.31</v>
      </c>
      <c r="L209">
        <v>10</v>
      </c>
      <c r="M209">
        <v>79.209999999999994</v>
      </c>
      <c r="N209">
        <v>72.28</v>
      </c>
      <c r="O209">
        <v>74.569999999999993</v>
      </c>
    </row>
    <row r="210" spans="1:15" x14ac:dyDescent="0.35">
      <c r="A210" t="s">
        <v>223</v>
      </c>
      <c r="B210">
        <v>8.58</v>
      </c>
      <c r="C210">
        <v>7.94</v>
      </c>
      <c r="D210">
        <v>13.21</v>
      </c>
      <c r="E210">
        <v>13.06</v>
      </c>
      <c r="F210">
        <v>4.32</v>
      </c>
      <c r="G210">
        <v>3.02</v>
      </c>
      <c r="H210">
        <v>3.73</v>
      </c>
      <c r="I210">
        <v>87.09</v>
      </c>
      <c r="J210">
        <v>71.67</v>
      </c>
      <c r="K210">
        <v>79.38</v>
      </c>
      <c r="L210">
        <v>16</v>
      </c>
      <c r="M210">
        <v>77.5</v>
      </c>
      <c r="N210">
        <v>74.97</v>
      </c>
      <c r="O210">
        <v>75.67</v>
      </c>
    </row>
    <row r="211" spans="1:15" x14ac:dyDescent="0.35">
      <c r="A211" t="s">
        <v>224</v>
      </c>
      <c r="B211">
        <v>7.64</v>
      </c>
      <c r="C211">
        <v>7.47</v>
      </c>
      <c r="D211">
        <v>12.54</v>
      </c>
      <c r="E211">
        <v>12.86</v>
      </c>
      <c r="F211">
        <v>2.1800000000000002</v>
      </c>
      <c r="G211">
        <v>2.57</v>
      </c>
      <c r="H211">
        <v>2.35</v>
      </c>
      <c r="I211">
        <v>87.61</v>
      </c>
      <c r="J211">
        <v>68.52</v>
      </c>
      <c r="K211">
        <v>78.064999999999998</v>
      </c>
      <c r="L211">
        <v>20.45</v>
      </c>
      <c r="M211">
        <v>73.900000000000006</v>
      </c>
      <c r="N211">
        <v>71.14</v>
      </c>
      <c r="O211">
        <v>71.87</v>
      </c>
    </row>
    <row r="212" spans="1:15" x14ac:dyDescent="0.35">
      <c r="A212" t="s">
        <v>225</v>
      </c>
      <c r="B212">
        <v>8.15</v>
      </c>
      <c r="C212">
        <v>7.36</v>
      </c>
      <c r="D212">
        <v>12.92</v>
      </c>
      <c r="E212">
        <v>13.4</v>
      </c>
      <c r="F212">
        <v>3.58</v>
      </c>
      <c r="G212">
        <v>6.91</v>
      </c>
      <c r="H212">
        <v>5.01</v>
      </c>
      <c r="I212">
        <v>87.16</v>
      </c>
      <c r="J212">
        <v>66.45</v>
      </c>
      <c r="K212">
        <v>76.805000000000007</v>
      </c>
      <c r="L212">
        <v>18</v>
      </c>
      <c r="M212">
        <v>77.540000000000006</v>
      </c>
      <c r="N212">
        <v>73.150000000000006</v>
      </c>
      <c r="O212">
        <v>74.34</v>
      </c>
    </row>
    <row r="213" spans="1:15" x14ac:dyDescent="0.35">
      <c r="A213" t="s">
        <v>226</v>
      </c>
      <c r="B213">
        <v>7.57</v>
      </c>
      <c r="C213">
        <v>6.78</v>
      </c>
      <c r="D213">
        <v>12</v>
      </c>
      <c r="E213">
        <v>12.45</v>
      </c>
      <c r="F213">
        <v>5.78</v>
      </c>
      <c r="G213">
        <v>5.51</v>
      </c>
      <c r="H213">
        <v>5.67</v>
      </c>
      <c r="I213">
        <v>88.96</v>
      </c>
      <c r="J213">
        <v>66.81</v>
      </c>
      <c r="K213">
        <v>77.884999999999991</v>
      </c>
      <c r="L213">
        <v>20</v>
      </c>
      <c r="M213">
        <v>74.45</v>
      </c>
      <c r="N213">
        <v>69</v>
      </c>
      <c r="O213">
        <v>70.739999999999995</v>
      </c>
    </row>
    <row r="214" spans="1:15" x14ac:dyDescent="0.35">
      <c r="A214" t="s">
        <v>227</v>
      </c>
      <c r="B214">
        <v>7.84</v>
      </c>
      <c r="C214">
        <v>7.16</v>
      </c>
      <c r="D214">
        <v>12.14</v>
      </c>
      <c r="E214">
        <v>13.03</v>
      </c>
      <c r="F214">
        <v>3.89</v>
      </c>
      <c r="G214">
        <v>2.4900000000000002</v>
      </c>
      <c r="H214">
        <v>3.3</v>
      </c>
      <c r="I214">
        <v>87.33</v>
      </c>
      <c r="J214">
        <v>65.13</v>
      </c>
      <c r="K214">
        <v>76.22999999999999</v>
      </c>
      <c r="L214">
        <v>17.78</v>
      </c>
      <c r="M214">
        <v>75.45</v>
      </c>
      <c r="N214">
        <v>70.14</v>
      </c>
      <c r="O214">
        <v>71.84</v>
      </c>
    </row>
    <row r="215" spans="1:15" x14ac:dyDescent="0.35">
      <c r="A215" t="s">
        <v>228</v>
      </c>
      <c r="B215">
        <v>7.03</v>
      </c>
      <c r="C215">
        <v>6.21</v>
      </c>
      <c r="D215">
        <v>12.24</v>
      </c>
      <c r="E215">
        <v>12.02</v>
      </c>
      <c r="F215">
        <v>6.11</v>
      </c>
      <c r="G215">
        <v>7.4</v>
      </c>
      <c r="H215">
        <v>6.63</v>
      </c>
      <c r="I215">
        <v>85.15</v>
      </c>
      <c r="J215">
        <v>59.09</v>
      </c>
      <c r="K215">
        <v>72.12</v>
      </c>
      <c r="L215">
        <v>30</v>
      </c>
      <c r="M215">
        <v>73.48</v>
      </c>
      <c r="N215">
        <v>64.2</v>
      </c>
      <c r="O215">
        <v>68.55</v>
      </c>
    </row>
    <row r="216" spans="1:15" x14ac:dyDescent="0.35">
      <c r="A216" t="s">
        <v>229</v>
      </c>
      <c r="B216">
        <v>7.83</v>
      </c>
      <c r="C216">
        <v>6.9</v>
      </c>
      <c r="D216">
        <v>13.28</v>
      </c>
      <c r="E216">
        <v>12.89</v>
      </c>
      <c r="F216">
        <v>6.57</v>
      </c>
      <c r="G216">
        <v>8.7899999999999991</v>
      </c>
      <c r="H216">
        <v>7.53</v>
      </c>
      <c r="I216">
        <v>82.33</v>
      </c>
      <c r="J216">
        <v>64.47</v>
      </c>
      <c r="K216">
        <v>73.400000000000006</v>
      </c>
      <c r="L216">
        <v>26</v>
      </c>
      <c r="M216">
        <v>75.7</v>
      </c>
      <c r="N216">
        <v>67.260000000000005</v>
      </c>
      <c r="O216">
        <v>70.77</v>
      </c>
    </row>
    <row r="217" spans="1:15" x14ac:dyDescent="0.35">
      <c r="A217" t="s">
        <v>230</v>
      </c>
      <c r="B217">
        <v>6.93</v>
      </c>
      <c r="C217">
        <v>5.91</v>
      </c>
      <c r="D217">
        <v>12.54</v>
      </c>
      <c r="E217">
        <v>12.43</v>
      </c>
      <c r="F217">
        <v>8.52</v>
      </c>
      <c r="G217">
        <v>8.07</v>
      </c>
      <c r="H217">
        <v>8.35</v>
      </c>
      <c r="I217">
        <v>88.09</v>
      </c>
      <c r="J217">
        <v>55.38</v>
      </c>
      <c r="K217">
        <v>71.734999999999999</v>
      </c>
      <c r="L217">
        <v>14</v>
      </c>
      <c r="M217">
        <v>72.95</v>
      </c>
      <c r="N217">
        <v>63.91</v>
      </c>
      <c r="O217">
        <v>68.459999999999994</v>
      </c>
    </row>
    <row r="218" spans="1:15" x14ac:dyDescent="0.35">
      <c r="A218" t="s">
        <v>231</v>
      </c>
      <c r="B218">
        <v>11.72</v>
      </c>
      <c r="C218">
        <v>11.29</v>
      </c>
      <c r="D218">
        <v>14.61</v>
      </c>
      <c r="E218">
        <v>14.68</v>
      </c>
      <c r="F218">
        <v>4.8899999999999997</v>
      </c>
      <c r="G218">
        <v>3.76</v>
      </c>
      <c r="H218">
        <v>4.4000000000000004</v>
      </c>
      <c r="I218">
        <v>77.91</v>
      </c>
      <c r="J218">
        <v>57.68</v>
      </c>
      <c r="K218">
        <v>67.795000000000002</v>
      </c>
      <c r="L218">
        <v>28</v>
      </c>
      <c r="M218">
        <v>84.08</v>
      </c>
      <c r="N218">
        <v>81.33</v>
      </c>
      <c r="O218">
        <v>82.15</v>
      </c>
    </row>
    <row r="219" spans="1:15" x14ac:dyDescent="0.35">
      <c r="A219" t="s">
        <v>232</v>
      </c>
      <c r="B219">
        <v>11.66</v>
      </c>
      <c r="C219">
        <v>11.08</v>
      </c>
      <c r="D219">
        <v>14.86</v>
      </c>
      <c r="E219">
        <v>15.23</v>
      </c>
      <c r="F219">
        <v>4.25</v>
      </c>
      <c r="G219">
        <v>5.0999999999999996</v>
      </c>
      <c r="H219">
        <v>4.6100000000000003</v>
      </c>
      <c r="I219">
        <v>78.930000000000007</v>
      </c>
      <c r="J219">
        <v>56.45</v>
      </c>
      <c r="K219">
        <v>67.69</v>
      </c>
      <c r="L219">
        <v>17.78</v>
      </c>
      <c r="M219">
        <v>85.28</v>
      </c>
      <c r="N219">
        <v>83.18</v>
      </c>
      <c r="O219">
        <v>84.4</v>
      </c>
    </row>
    <row r="220" spans="1:15" x14ac:dyDescent="0.35">
      <c r="A220" t="s">
        <v>233</v>
      </c>
      <c r="B220">
        <v>11.88</v>
      </c>
      <c r="C220">
        <v>11.22</v>
      </c>
      <c r="D220">
        <v>15.46</v>
      </c>
      <c r="E220">
        <v>15.52</v>
      </c>
      <c r="F220">
        <v>4.25</v>
      </c>
      <c r="G220">
        <v>3.38</v>
      </c>
      <c r="H220">
        <v>3.86</v>
      </c>
      <c r="I220">
        <v>80.180000000000007</v>
      </c>
      <c r="J220">
        <v>61.65</v>
      </c>
      <c r="K220">
        <v>70.915000000000006</v>
      </c>
      <c r="L220">
        <v>8</v>
      </c>
      <c r="M220">
        <v>88.76</v>
      </c>
      <c r="N220">
        <v>84.85</v>
      </c>
      <c r="O220">
        <v>85.72</v>
      </c>
    </row>
    <row r="221" spans="1:15" x14ac:dyDescent="0.35">
      <c r="A221" t="s">
        <v>234</v>
      </c>
      <c r="B221">
        <v>11.55</v>
      </c>
      <c r="C221">
        <v>10.76</v>
      </c>
      <c r="D221">
        <v>15.78</v>
      </c>
      <c r="E221">
        <v>15.56</v>
      </c>
      <c r="F221">
        <v>3.58</v>
      </c>
      <c r="G221">
        <v>8.68</v>
      </c>
      <c r="H221">
        <v>5.82</v>
      </c>
      <c r="I221">
        <v>79.92</v>
      </c>
      <c r="J221">
        <v>60.24</v>
      </c>
      <c r="K221">
        <v>70.08</v>
      </c>
      <c r="L221">
        <v>24</v>
      </c>
      <c r="M221">
        <v>87.03</v>
      </c>
      <c r="N221">
        <v>83.87</v>
      </c>
      <c r="O221">
        <v>85.25</v>
      </c>
    </row>
    <row r="222" spans="1:15" x14ac:dyDescent="0.35">
      <c r="A222" t="s">
        <v>235</v>
      </c>
      <c r="B222">
        <v>9.5500000000000007</v>
      </c>
      <c r="C222">
        <v>9.2200000000000006</v>
      </c>
      <c r="D222">
        <v>12.77</v>
      </c>
      <c r="E222">
        <v>13.13</v>
      </c>
      <c r="F222">
        <v>5.49</v>
      </c>
      <c r="G222">
        <v>4.16</v>
      </c>
      <c r="H222">
        <v>4.91</v>
      </c>
      <c r="I222">
        <v>85.54</v>
      </c>
      <c r="J222">
        <v>66.48</v>
      </c>
      <c r="K222">
        <v>76.010000000000005</v>
      </c>
      <c r="L222">
        <v>14.29</v>
      </c>
      <c r="M222">
        <v>80.150000000000006</v>
      </c>
      <c r="N222">
        <v>76.59</v>
      </c>
      <c r="O222">
        <v>77.22</v>
      </c>
    </row>
    <row r="223" spans="1:15" x14ac:dyDescent="0.35">
      <c r="A223" t="s">
        <v>236</v>
      </c>
      <c r="B223">
        <v>9.57</v>
      </c>
      <c r="C223">
        <v>9.08</v>
      </c>
      <c r="D223">
        <v>13.19</v>
      </c>
      <c r="E223">
        <v>13.41</v>
      </c>
      <c r="F223">
        <v>6.26</v>
      </c>
      <c r="G223">
        <v>5.3</v>
      </c>
      <c r="H223">
        <v>5.88</v>
      </c>
      <c r="I223">
        <v>83.51</v>
      </c>
      <c r="J223">
        <v>55.63</v>
      </c>
      <c r="K223">
        <v>69.570000000000007</v>
      </c>
      <c r="L223">
        <v>13.33</v>
      </c>
      <c r="M223">
        <v>81.17</v>
      </c>
      <c r="N223">
        <v>76.260000000000005</v>
      </c>
      <c r="O223">
        <v>77.430000000000007</v>
      </c>
    </row>
    <row r="224" spans="1:15" x14ac:dyDescent="0.35">
      <c r="A224" t="s">
        <v>238</v>
      </c>
      <c r="B224">
        <v>9.48</v>
      </c>
      <c r="C224">
        <v>8.92</v>
      </c>
      <c r="D224">
        <v>14.48</v>
      </c>
      <c r="E224">
        <v>15.43</v>
      </c>
      <c r="F224">
        <v>2.11</v>
      </c>
      <c r="G224">
        <v>1.9</v>
      </c>
      <c r="H224">
        <v>2.0099999999999998</v>
      </c>
      <c r="I224">
        <v>84.69</v>
      </c>
      <c r="J224">
        <v>72.66</v>
      </c>
      <c r="K224">
        <v>78.674999999999997</v>
      </c>
      <c r="L224">
        <v>17.5</v>
      </c>
      <c r="M224">
        <v>79.55</v>
      </c>
      <c r="N224">
        <v>75.8</v>
      </c>
      <c r="O224">
        <v>76.14</v>
      </c>
    </row>
    <row r="225" spans="1:15" x14ac:dyDescent="0.35">
      <c r="A225" t="s">
        <v>239</v>
      </c>
      <c r="B225">
        <v>10.130000000000001</v>
      </c>
      <c r="C225">
        <v>9.64</v>
      </c>
      <c r="D225">
        <v>15.92</v>
      </c>
      <c r="E225">
        <v>15.4</v>
      </c>
      <c r="F225">
        <v>4.2300000000000004</v>
      </c>
      <c r="G225">
        <v>2.88</v>
      </c>
      <c r="H225">
        <v>3.62</v>
      </c>
      <c r="I225">
        <v>82.77</v>
      </c>
      <c r="J225">
        <v>67.150000000000006</v>
      </c>
      <c r="K225">
        <v>74.960000000000008</v>
      </c>
      <c r="L225">
        <v>20</v>
      </c>
      <c r="M225">
        <v>84.22</v>
      </c>
      <c r="N225">
        <v>80.569999999999993</v>
      </c>
      <c r="O225">
        <v>81.739999999999995</v>
      </c>
    </row>
    <row r="226" spans="1:15" x14ac:dyDescent="0.35">
      <c r="A226" t="s">
        <v>240</v>
      </c>
      <c r="B226">
        <v>7.94</v>
      </c>
      <c r="C226">
        <v>7</v>
      </c>
      <c r="D226">
        <v>13.35</v>
      </c>
      <c r="E226">
        <v>13.54</v>
      </c>
      <c r="F226">
        <v>2.96</v>
      </c>
      <c r="G226">
        <v>1.18</v>
      </c>
      <c r="H226">
        <v>2.16</v>
      </c>
      <c r="I226">
        <v>86.6</v>
      </c>
      <c r="J226">
        <v>67.510000000000005</v>
      </c>
      <c r="K226">
        <v>77.055000000000007</v>
      </c>
      <c r="L226">
        <v>26.67</v>
      </c>
      <c r="M226">
        <v>77.739999999999995</v>
      </c>
      <c r="N226">
        <v>67.38</v>
      </c>
      <c r="O226">
        <v>71.89</v>
      </c>
    </row>
    <row r="227" spans="1:15" x14ac:dyDescent="0.35">
      <c r="A227" t="s">
        <v>241</v>
      </c>
      <c r="B227">
        <v>11.69</v>
      </c>
      <c r="C227">
        <v>11.01</v>
      </c>
      <c r="D227">
        <v>16.8</v>
      </c>
      <c r="E227">
        <v>16.78</v>
      </c>
      <c r="F227">
        <v>4.72</v>
      </c>
      <c r="G227">
        <v>3.39</v>
      </c>
      <c r="H227">
        <v>4.13</v>
      </c>
      <c r="I227">
        <v>82.86</v>
      </c>
      <c r="J227">
        <v>63.99</v>
      </c>
      <c r="K227">
        <v>73.424999999999997</v>
      </c>
      <c r="L227">
        <v>26</v>
      </c>
      <c r="M227">
        <v>87.28</v>
      </c>
      <c r="N227">
        <v>84.24</v>
      </c>
      <c r="O227">
        <v>85.61</v>
      </c>
    </row>
    <row r="228" spans="1:15" x14ac:dyDescent="0.35">
      <c r="A228" t="s">
        <v>242</v>
      </c>
      <c r="B228">
        <v>12.25</v>
      </c>
      <c r="C228">
        <v>11.92</v>
      </c>
      <c r="D228">
        <v>17.52</v>
      </c>
      <c r="E228">
        <v>17.690000000000001</v>
      </c>
      <c r="F228">
        <v>6.4</v>
      </c>
      <c r="G228">
        <v>5.13</v>
      </c>
      <c r="H228">
        <v>5.8</v>
      </c>
      <c r="I228">
        <v>77.430000000000007</v>
      </c>
      <c r="J228">
        <v>64.19</v>
      </c>
      <c r="K228">
        <v>70.81</v>
      </c>
      <c r="L228">
        <v>12.5</v>
      </c>
      <c r="M228">
        <v>89.3</v>
      </c>
      <c r="N228">
        <v>88.09</v>
      </c>
      <c r="O228">
        <v>88.77</v>
      </c>
    </row>
    <row r="229" spans="1:15" x14ac:dyDescent="0.35">
      <c r="A229" t="s">
        <v>244</v>
      </c>
      <c r="B229">
        <v>8.16</v>
      </c>
      <c r="C229">
        <v>7.52</v>
      </c>
      <c r="D229">
        <v>12.93</v>
      </c>
      <c r="E229">
        <v>12.56</v>
      </c>
      <c r="F229">
        <v>1.8</v>
      </c>
      <c r="G229">
        <v>1.29</v>
      </c>
      <c r="H229">
        <v>1.56</v>
      </c>
      <c r="I229">
        <v>90.3</v>
      </c>
      <c r="J229">
        <v>82.93</v>
      </c>
      <c r="K229">
        <v>86.615000000000009</v>
      </c>
      <c r="L229">
        <v>8.89</v>
      </c>
      <c r="M229">
        <v>75.75</v>
      </c>
      <c r="N229">
        <v>65.489999999999995</v>
      </c>
      <c r="O229">
        <v>70.739999999999995</v>
      </c>
    </row>
    <row r="230" spans="1:15" x14ac:dyDescent="0.35">
      <c r="A230" t="s">
        <v>245</v>
      </c>
      <c r="B230">
        <v>8.11</v>
      </c>
      <c r="C230">
        <v>7.48</v>
      </c>
      <c r="D230">
        <v>13.65</v>
      </c>
      <c r="E230">
        <v>13.79</v>
      </c>
      <c r="F230">
        <v>4.62</v>
      </c>
      <c r="G230">
        <v>3.68</v>
      </c>
      <c r="H230">
        <v>4.1900000000000004</v>
      </c>
      <c r="I230">
        <v>87.19</v>
      </c>
      <c r="J230">
        <v>70.459999999999994</v>
      </c>
      <c r="K230">
        <v>78.824999999999989</v>
      </c>
      <c r="L230">
        <v>17.78</v>
      </c>
      <c r="M230">
        <v>76.099999999999994</v>
      </c>
      <c r="N230">
        <v>71.989999999999995</v>
      </c>
      <c r="O230">
        <v>73.010000000000005</v>
      </c>
    </row>
    <row r="231" spans="1:15" x14ac:dyDescent="0.35">
      <c r="A231" t="s">
        <v>246</v>
      </c>
      <c r="B231">
        <v>8.2100000000000009</v>
      </c>
      <c r="C231">
        <v>7.62</v>
      </c>
      <c r="D231">
        <v>12.58</v>
      </c>
      <c r="E231">
        <v>12.66</v>
      </c>
      <c r="F231">
        <v>4.3600000000000003</v>
      </c>
      <c r="G231">
        <v>3.31</v>
      </c>
      <c r="H231">
        <v>3.9</v>
      </c>
      <c r="I231">
        <v>89.94</v>
      </c>
      <c r="J231">
        <v>70.27</v>
      </c>
      <c r="K231">
        <v>80.10499999999999</v>
      </c>
      <c r="L231">
        <v>11.11</v>
      </c>
      <c r="M231">
        <v>76.819999999999993</v>
      </c>
      <c r="N231">
        <v>71.2</v>
      </c>
      <c r="O231">
        <v>72.239999999999995</v>
      </c>
    </row>
    <row r="232" spans="1:15" x14ac:dyDescent="0.35">
      <c r="A232" t="s">
        <v>247</v>
      </c>
      <c r="B232">
        <v>8.9499999999999993</v>
      </c>
      <c r="C232">
        <v>8.4499999999999993</v>
      </c>
      <c r="D232">
        <v>13.36</v>
      </c>
      <c r="E232">
        <v>13.86</v>
      </c>
      <c r="F232">
        <v>4.6399999999999997</v>
      </c>
      <c r="G232">
        <v>3.4</v>
      </c>
      <c r="H232">
        <v>4.12</v>
      </c>
      <c r="I232">
        <v>87.99</v>
      </c>
      <c r="J232">
        <v>63.29</v>
      </c>
      <c r="K232">
        <v>75.64</v>
      </c>
      <c r="L232">
        <v>14</v>
      </c>
      <c r="M232">
        <v>77.97</v>
      </c>
      <c r="N232">
        <v>74.510000000000005</v>
      </c>
      <c r="O232">
        <v>75.09</v>
      </c>
    </row>
    <row r="233" spans="1:15" x14ac:dyDescent="0.35">
      <c r="A233" t="s">
        <v>248</v>
      </c>
      <c r="B233">
        <v>7.96</v>
      </c>
      <c r="C233">
        <v>7.79</v>
      </c>
      <c r="D233">
        <v>12.38</v>
      </c>
      <c r="E233">
        <v>13.08</v>
      </c>
      <c r="F233">
        <v>4.72</v>
      </c>
      <c r="G233">
        <v>4.8499999999999996</v>
      </c>
      <c r="H233">
        <v>4.7699999999999996</v>
      </c>
      <c r="I233">
        <v>87.26</v>
      </c>
      <c r="J233">
        <v>57.41</v>
      </c>
      <c r="K233">
        <v>72.335000000000008</v>
      </c>
      <c r="L233">
        <v>22</v>
      </c>
      <c r="M233">
        <v>76.75</v>
      </c>
      <c r="N233">
        <v>71.88</v>
      </c>
      <c r="O233">
        <v>73.09</v>
      </c>
    </row>
    <row r="234" spans="1:15" x14ac:dyDescent="0.35">
      <c r="A234" t="s">
        <v>249</v>
      </c>
      <c r="B234">
        <v>8.64</v>
      </c>
      <c r="C234">
        <v>7.89</v>
      </c>
      <c r="D234">
        <v>13.45</v>
      </c>
      <c r="E234">
        <v>13.72</v>
      </c>
      <c r="F234">
        <v>5.66</v>
      </c>
      <c r="G234">
        <v>4.21</v>
      </c>
      <c r="H234">
        <v>5.0999999999999996</v>
      </c>
      <c r="I234">
        <v>86.69</v>
      </c>
      <c r="J234">
        <v>55.76</v>
      </c>
      <c r="K234">
        <v>71.224999999999994</v>
      </c>
      <c r="L234">
        <v>22</v>
      </c>
      <c r="M234">
        <v>78.33</v>
      </c>
      <c r="N234">
        <v>73.17</v>
      </c>
      <c r="O234">
        <v>74.44</v>
      </c>
    </row>
    <row r="235" spans="1:15" x14ac:dyDescent="0.35">
      <c r="A235" t="s">
        <v>250</v>
      </c>
      <c r="B235">
        <v>8.15</v>
      </c>
      <c r="C235">
        <v>7.46</v>
      </c>
      <c r="D235">
        <v>13.49</v>
      </c>
      <c r="E235">
        <v>13.5</v>
      </c>
      <c r="F235">
        <v>5.47</v>
      </c>
      <c r="G235">
        <v>4.62</v>
      </c>
      <c r="H235">
        <v>5.13</v>
      </c>
      <c r="I235">
        <v>87.02</v>
      </c>
      <c r="J235">
        <v>58.74</v>
      </c>
      <c r="K235">
        <v>72.88</v>
      </c>
      <c r="L235">
        <v>18</v>
      </c>
      <c r="M235">
        <v>77.08</v>
      </c>
      <c r="N235">
        <v>68.53</v>
      </c>
      <c r="O235">
        <v>72.680000000000007</v>
      </c>
    </row>
    <row r="236" spans="1:15" x14ac:dyDescent="0.35">
      <c r="A236" t="s">
        <v>251</v>
      </c>
      <c r="B236">
        <v>7.68</v>
      </c>
      <c r="C236">
        <v>6.82</v>
      </c>
      <c r="D236">
        <v>12.33</v>
      </c>
      <c r="E236">
        <v>12.41</v>
      </c>
      <c r="F236">
        <v>3.44</v>
      </c>
      <c r="G236">
        <v>3.03</v>
      </c>
      <c r="H236">
        <v>3.28</v>
      </c>
      <c r="I236">
        <v>88.5</v>
      </c>
      <c r="J236">
        <v>53.91</v>
      </c>
      <c r="K236">
        <v>71.204999999999998</v>
      </c>
      <c r="L236">
        <v>28</v>
      </c>
      <c r="M236">
        <v>73.569999999999993</v>
      </c>
      <c r="N236">
        <v>65.790000000000006</v>
      </c>
      <c r="O236">
        <v>68.8</v>
      </c>
    </row>
    <row r="237" spans="1:15" x14ac:dyDescent="0.35">
      <c r="A237" t="s">
        <v>252</v>
      </c>
      <c r="B237">
        <v>7.23</v>
      </c>
      <c r="C237">
        <v>6.03</v>
      </c>
      <c r="D237">
        <v>13.67</v>
      </c>
      <c r="E237">
        <v>13.48</v>
      </c>
      <c r="F237">
        <v>3.07</v>
      </c>
      <c r="G237">
        <v>3.45</v>
      </c>
      <c r="H237">
        <v>3.23</v>
      </c>
      <c r="I237">
        <v>87.96</v>
      </c>
      <c r="J237">
        <v>59.84</v>
      </c>
      <c r="K237">
        <v>73.900000000000006</v>
      </c>
      <c r="L237">
        <v>22</v>
      </c>
      <c r="M237">
        <v>74.510000000000005</v>
      </c>
      <c r="N237">
        <v>63.92</v>
      </c>
      <c r="O237">
        <v>69.150000000000006</v>
      </c>
    </row>
    <row r="238" spans="1:15" x14ac:dyDescent="0.35">
      <c r="A238" t="s">
        <v>253</v>
      </c>
      <c r="B238">
        <v>8.25</v>
      </c>
      <c r="C238">
        <v>7.22</v>
      </c>
      <c r="D238">
        <v>12.93</v>
      </c>
      <c r="E238">
        <v>13.25</v>
      </c>
      <c r="F238">
        <v>4.46</v>
      </c>
      <c r="G238">
        <v>3.45</v>
      </c>
      <c r="H238">
        <v>4.03</v>
      </c>
      <c r="I238">
        <v>88.01</v>
      </c>
      <c r="J238">
        <v>62.87</v>
      </c>
      <c r="K238">
        <v>75.44</v>
      </c>
      <c r="L238">
        <v>34</v>
      </c>
      <c r="M238">
        <v>77.8</v>
      </c>
      <c r="N238">
        <v>68.13</v>
      </c>
      <c r="O238">
        <v>73.11</v>
      </c>
    </row>
    <row r="239" spans="1:15" x14ac:dyDescent="0.35">
      <c r="A239" t="s">
        <v>254</v>
      </c>
      <c r="B239">
        <v>7.15</v>
      </c>
      <c r="C239">
        <v>5.89</v>
      </c>
      <c r="D239">
        <v>13.58</v>
      </c>
      <c r="E239">
        <v>13.33</v>
      </c>
      <c r="F239">
        <v>4.59</v>
      </c>
      <c r="G239">
        <v>2.27</v>
      </c>
      <c r="H239">
        <v>3.63</v>
      </c>
      <c r="I239">
        <v>89.86</v>
      </c>
      <c r="J239">
        <v>60.97</v>
      </c>
      <c r="K239">
        <v>75.414999999999992</v>
      </c>
      <c r="L239">
        <v>17.78</v>
      </c>
      <c r="M239">
        <v>72.91</v>
      </c>
      <c r="N239">
        <v>66.510000000000005</v>
      </c>
      <c r="O239">
        <v>68.650000000000006</v>
      </c>
    </row>
    <row r="240" spans="1:15" x14ac:dyDescent="0.35">
      <c r="A240" t="s">
        <v>255</v>
      </c>
      <c r="B240">
        <v>7.67</v>
      </c>
      <c r="C240">
        <v>6.3</v>
      </c>
      <c r="D240">
        <v>13.52</v>
      </c>
      <c r="E240">
        <v>13.19</v>
      </c>
      <c r="F240">
        <v>3.81</v>
      </c>
      <c r="G240">
        <v>2.27</v>
      </c>
      <c r="H240">
        <v>3.15</v>
      </c>
      <c r="I240">
        <v>89.85</v>
      </c>
      <c r="J240">
        <v>64.13</v>
      </c>
      <c r="K240">
        <v>76.989999999999995</v>
      </c>
      <c r="L240">
        <v>20</v>
      </c>
      <c r="M240">
        <v>75.28</v>
      </c>
      <c r="N240">
        <v>66.040000000000006</v>
      </c>
      <c r="O240">
        <v>69.75</v>
      </c>
    </row>
    <row r="241" spans="1:15" x14ac:dyDescent="0.35">
      <c r="A241" t="s">
        <v>256</v>
      </c>
      <c r="B241">
        <v>6.94</v>
      </c>
      <c r="C241">
        <v>5.74</v>
      </c>
      <c r="D241">
        <v>12.78</v>
      </c>
      <c r="E241">
        <v>12.49</v>
      </c>
      <c r="F241">
        <v>3.65</v>
      </c>
      <c r="G241">
        <v>2.0499999999999998</v>
      </c>
      <c r="H241">
        <v>3</v>
      </c>
      <c r="I241">
        <v>88.74</v>
      </c>
      <c r="J241">
        <v>58.3</v>
      </c>
      <c r="K241">
        <v>73.52</v>
      </c>
      <c r="L241">
        <v>30</v>
      </c>
      <c r="M241">
        <v>73.459999999999994</v>
      </c>
      <c r="N241">
        <v>63.64</v>
      </c>
      <c r="O241">
        <v>68.290000000000006</v>
      </c>
    </row>
    <row r="242" spans="1:15" x14ac:dyDescent="0.35">
      <c r="A242" t="s">
        <v>257</v>
      </c>
      <c r="B242">
        <v>8.1300000000000008</v>
      </c>
      <c r="C242">
        <v>6.96</v>
      </c>
      <c r="D242">
        <v>12.78</v>
      </c>
      <c r="E242">
        <v>12.86</v>
      </c>
      <c r="F242">
        <v>4.99</v>
      </c>
      <c r="G242">
        <v>5.0599999999999996</v>
      </c>
      <c r="H242">
        <v>5.0199999999999996</v>
      </c>
      <c r="I242">
        <v>87.51</v>
      </c>
      <c r="J242">
        <v>63.27</v>
      </c>
      <c r="K242">
        <v>75.39</v>
      </c>
      <c r="L242">
        <v>14</v>
      </c>
      <c r="M242">
        <v>74.760000000000005</v>
      </c>
      <c r="N242">
        <v>68.16</v>
      </c>
      <c r="O242">
        <v>70.73</v>
      </c>
    </row>
    <row r="243" spans="1:15" x14ac:dyDescent="0.35">
      <c r="A243" t="s">
        <v>258</v>
      </c>
      <c r="B243">
        <v>11.11</v>
      </c>
      <c r="C243">
        <v>10.79</v>
      </c>
      <c r="D243">
        <v>15.09</v>
      </c>
      <c r="E243">
        <v>15.35</v>
      </c>
      <c r="F243">
        <v>6.64</v>
      </c>
      <c r="G243">
        <v>6.25</v>
      </c>
      <c r="H243">
        <v>6.49</v>
      </c>
      <c r="I243">
        <v>82.54</v>
      </c>
      <c r="J243">
        <v>54.23</v>
      </c>
      <c r="K243">
        <v>68.385000000000005</v>
      </c>
      <c r="L243">
        <v>14</v>
      </c>
      <c r="M243">
        <v>85.9</v>
      </c>
      <c r="N243">
        <v>81.52</v>
      </c>
      <c r="O243">
        <v>82.31</v>
      </c>
    </row>
    <row r="244" spans="1:15" x14ac:dyDescent="0.35">
      <c r="A244" t="s">
        <v>259</v>
      </c>
      <c r="B244">
        <v>9.6999999999999993</v>
      </c>
      <c r="C244">
        <v>8.65</v>
      </c>
      <c r="D244">
        <v>13.06</v>
      </c>
      <c r="E244">
        <v>12.99</v>
      </c>
      <c r="F244">
        <v>3.97</v>
      </c>
      <c r="G244">
        <v>3.73</v>
      </c>
      <c r="H244">
        <v>3.87</v>
      </c>
      <c r="I244">
        <v>87.06</v>
      </c>
      <c r="J244">
        <v>60.88</v>
      </c>
      <c r="K244">
        <v>73.97</v>
      </c>
      <c r="L244">
        <v>24</v>
      </c>
      <c r="M244">
        <v>80.28</v>
      </c>
      <c r="N244">
        <v>73.73</v>
      </c>
      <c r="O244">
        <v>75.98</v>
      </c>
    </row>
    <row r="245" spans="1:15" x14ac:dyDescent="0.35">
      <c r="A245" t="s">
        <v>260</v>
      </c>
      <c r="B245">
        <v>9.3000000000000007</v>
      </c>
      <c r="C245">
        <v>8.24</v>
      </c>
      <c r="D245">
        <v>13.43</v>
      </c>
      <c r="E245">
        <v>13.88</v>
      </c>
      <c r="F245">
        <v>4.4800000000000004</v>
      </c>
      <c r="G245">
        <v>2.67</v>
      </c>
      <c r="H245">
        <v>3.75</v>
      </c>
      <c r="I245">
        <v>85.48</v>
      </c>
      <c r="J245">
        <v>58.2</v>
      </c>
      <c r="K245">
        <v>71.84</v>
      </c>
      <c r="L245">
        <v>20</v>
      </c>
      <c r="M245">
        <v>79.319999999999993</v>
      </c>
      <c r="N245">
        <v>72.05</v>
      </c>
      <c r="O245">
        <v>75.099999999999994</v>
      </c>
    </row>
    <row r="246" spans="1:15" x14ac:dyDescent="0.35">
      <c r="A246" t="s">
        <v>261</v>
      </c>
      <c r="B246">
        <v>8.75</v>
      </c>
      <c r="C246">
        <v>7.85</v>
      </c>
      <c r="D246">
        <v>13.04</v>
      </c>
      <c r="E246">
        <v>13.84</v>
      </c>
      <c r="F246">
        <v>3.8</v>
      </c>
      <c r="G246">
        <v>3.98</v>
      </c>
      <c r="H246">
        <v>3.87</v>
      </c>
      <c r="I246">
        <v>84.35</v>
      </c>
      <c r="J246">
        <v>55.22</v>
      </c>
      <c r="K246">
        <v>69.784999999999997</v>
      </c>
      <c r="L246">
        <v>22</v>
      </c>
      <c r="M246">
        <v>78.31</v>
      </c>
      <c r="N246">
        <v>73.75</v>
      </c>
      <c r="O246">
        <v>74.23</v>
      </c>
    </row>
    <row r="247" spans="1:15" x14ac:dyDescent="0.35">
      <c r="A247" t="s">
        <v>262</v>
      </c>
      <c r="B247">
        <v>8.61</v>
      </c>
      <c r="C247">
        <v>7.8</v>
      </c>
      <c r="D247">
        <v>13.09</v>
      </c>
      <c r="E247">
        <v>13.75</v>
      </c>
      <c r="F247">
        <v>4.63</v>
      </c>
      <c r="G247">
        <v>3.94</v>
      </c>
      <c r="H247">
        <v>4.34</v>
      </c>
      <c r="I247">
        <v>85.4</v>
      </c>
      <c r="J247">
        <v>59.73</v>
      </c>
      <c r="K247">
        <v>72.564999999999998</v>
      </c>
      <c r="L247">
        <v>24.44</v>
      </c>
      <c r="M247">
        <v>77.430000000000007</v>
      </c>
      <c r="N247">
        <v>71.66</v>
      </c>
      <c r="O247">
        <v>73.739999999999995</v>
      </c>
    </row>
    <row r="248" spans="1:15" x14ac:dyDescent="0.35">
      <c r="A248" t="s">
        <v>263</v>
      </c>
      <c r="B248">
        <v>9.11</v>
      </c>
      <c r="C248">
        <v>8.35</v>
      </c>
      <c r="D248">
        <v>14.27</v>
      </c>
      <c r="E248">
        <v>14.08</v>
      </c>
      <c r="F248">
        <v>3.32</v>
      </c>
      <c r="G248">
        <v>3.24</v>
      </c>
      <c r="H248">
        <v>3.28</v>
      </c>
      <c r="I248">
        <v>86.42</v>
      </c>
      <c r="J248">
        <v>68.12</v>
      </c>
      <c r="K248">
        <v>77.27000000000001</v>
      </c>
      <c r="L248">
        <v>13.33</v>
      </c>
      <c r="M248">
        <v>79.52</v>
      </c>
      <c r="N248">
        <v>75.040000000000006</v>
      </c>
      <c r="O248">
        <v>75.87</v>
      </c>
    </row>
    <row r="249" spans="1:15" x14ac:dyDescent="0.35">
      <c r="A249" t="s">
        <v>264</v>
      </c>
      <c r="B249">
        <v>8.35</v>
      </c>
      <c r="C249">
        <v>7.47</v>
      </c>
      <c r="D249">
        <v>12.74</v>
      </c>
      <c r="E249">
        <v>13.5</v>
      </c>
      <c r="F249">
        <v>3.17</v>
      </c>
      <c r="G249">
        <v>1.42</v>
      </c>
      <c r="H249">
        <v>2.4</v>
      </c>
      <c r="I249">
        <v>86.19</v>
      </c>
      <c r="J249">
        <v>65.64</v>
      </c>
      <c r="K249">
        <v>75.914999999999992</v>
      </c>
      <c r="L249">
        <v>22.73</v>
      </c>
      <c r="M249">
        <v>76.86</v>
      </c>
      <c r="N249">
        <v>71.58</v>
      </c>
      <c r="O249">
        <v>73.09</v>
      </c>
    </row>
    <row r="250" spans="1:15" x14ac:dyDescent="0.35">
      <c r="A250" t="s">
        <v>265</v>
      </c>
      <c r="B250">
        <v>8.08</v>
      </c>
      <c r="C250">
        <v>7.1</v>
      </c>
      <c r="D250">
        <v>12.76</v>
      </c>
      <c r="E250">
        <v>13.29</v>
      </c>
      <c r="F250">
        <v>4.3899999999999997</v>
      </c>
      <c r="G250">
        <v>4.45</v>
      </c>
      <c r="H250">
        <v>4.42</v>
      </c>
      <c r="I250">
        <v>88.26</v>
      </c>
      <c r="J250">
        <v>59.53</v>
      </c>
      <c r="K250">
        <v>73.89500000000001</v>
      </c>
      <c r="L250">
        <v>18</v>
      </c>
      <c r="M250">
        <v>75.8</v>
      </c>
      <c r="N250">
        <v>69.31</v>
      </c>
      <c r="O250">
        <v>71.78</v>
      </c>
    </row>
    <row r="251" spans="1:15" x14ac:dyDescent="0.35">
      <c r="A251" t="s">
        <v>266</v>
      </c>
      <c r="B251">
        <v>8.01</v>
      </c>
      <c r="C251">
        <v>7.11</v>
      </c>
      <c r="D251">
        <v>12.41</v>
      </c>
      <c r="E251">
        <v>12.74</v>
      </c>
      <c r="F251">
        <v>4.3600000000000003</v>
      </c>
      <c r="G251">
        <v>4.16</v>
      </c>
      <c r="H251">
        <v>4.28</v>
      </c>
      <c r="I251">
        <v>89.92</v>
      </c>
      <c r="J251">
        <v>59.41</v>
      </c>
      <c r="K251">
        <v>74.664999999999992</v>
      </c>
      <c r="L251">
        <v>22</v>
      </c>
      <c r="M251">
        <v>76.03</v>
      </c>
      <c r="N251">
        <v>67.52</v>
      </c>
      <c r="O251">
        <v>71.23</v>
      </c>
    </row>
    <row r="252" spans="1:15" x14ac:dyDescent="0.35">
      <c r="A252" t="s">
        <v>267</v>
      </c>
      <c r="B252">
        <v>8.99</v>
      </c>
      <c r="C252">
        <v>8.0299999999999994</v>
      </c>
      <c r="D252">
        <v>13.67</v>
      </c>
      <c r="E252">
        <v>14.16</v>
      </c>
      <c r="F252">
        <v>5</v>
      </c>
      <c r="G252">
        <v>3.4</v>
      </c>
      <c r="H252">
        <v>4.34</v>
      </c>
      <c r="I252">
        <v>89</v>
      </c>
      <c r="J252">
        <v>60.78</v>
      </c>
      <c r="K252">
        <v>74.89</v>
      </c>
      <c r="L252">
        <v>16</v>
      </c>
      <c r="M252">
        <v>79.36</v>
      </c>
      <c r="N252">
        <v>71.510000000000005</v>
      </c>
      <c r="O252">
        <v>75.13</v>
      </c>
    </row>
    <row r="253" spans="1:15" x14ac:dyDescent="0.35">
      <c r="A253" t="s">
        <v>268</v>
      </c>
      <c r="B253">
        <v>10.34</v>
      </c>
      <c r="C253">
        <v>9.7799999999999994</v>
      </c>
      <c r="D253">
        <v>14.01</v>
      </c>
      <c r="E253">
        <v>13.98</v>
      </c>
      <c r="F253">
        <v>6.26</v>
      </c>
      <c r="G253">
        <v>6.75</v>
      </c>
      <c r="H253">
        <v>6.45</v>
      </c>
      <c r="I253">
        <v>86.8</v>
      </c>
      <c r="J253">
        <v>56.37</v>
      </c>
      <c r="K253">
        <v>71.584999999999994</v>
      </c>
      <c r="L253">
        <v>10</v>
      </c>
      <c r="M253">
        <v>82.96</v>
      </c>
      <c r="N253">
        <v>75.7</v>
      </c>
      <c r="O253">
        <v>78.45</v>
      </c>
    </row>
    <row r="254" spans="1:15" x14ac:dyDescent="0.35">
      <c r="A254" t="s">
        <v>269</v>
      </c>
      <c r="B254">
        <v>6.76</v>
      </c>
      <c r="C254">
        <v>5.41</v>
      </c>
      <c r="D254">
        <v>12.15</v>
      </c>
      <c r="E254">
        <v>11.87</v>
      </c>
      <c r="F254">
        <v>5.42</v>
      </c>
      <c r="G254">
        <v>5.25</v>
      </c>
      <c r="H254">
        <v>5.35</v>
      </c>
      <c r="I254">
        <v>84.17</v>
      </c>
      <c r="J254">
        <v>57.37</v>
      </c>
      <c r="K254">
        <v>70.77</v>
      </c>
      <c r="L254">
        <v>2</v>
      </c>
      <c r="M254">
        <v>71.44</v>
      </c>
      <c r="N254">
        <v>62.73</v>
      </c>
      <c r="O254">
        <v>66.27</v>
      </c>
    </row>
    <row r="255" spans="1:15" x14ac:dyDescent="0.35">
      <c r="A255" t="s">
        <v>270</v>
      </c>
      <c r="B255">
        <v>5.59</v>
      </c>
      <c r="C255">
        <v>4.6500000000000004</v>
      </c>
      <c r="D255">
        <v>12.58</v>
      </c>
      <c r="E255">
        <v>12.38</v>
      </c>
      <c r="F255">
        <v>3.3</v>
      </c>
      <c r="G255">
        <v>1.36</v>
      </c>
      <c r="H255">
        <v>2.5</v>
      </c>
      <c r="I255">
        <v>87.54</v>
      </c>
      <c r="J255">
        <v>60.1</v>
      </c>
      <c r="K255">
        <v>73.820000000000007</v>
      </c>
      <c r="L255">
        <v>8.89</v>
      </c>
      <c r="M255">
        <v>69.47</v>
      </c>
      <c r="N255">
        <v>60.55</v>
      </c>
      <c r="O255">
        <v>64.650000000000006</v>
      </c>
    </row>
    <row r="256" spans="1:15" x14ac:dyDescent="0.35">
      <c r="A256" t="s">
        <v>271</v>
      </c>
      <c r="B256">
        <v>7.96</v>
      </c>
      <c r="C256">
        <v>6.44</v>
      </c>
      <c r="D256">
        <v>13.97</v>
      </c>
      <c r="E256">
        <v>13.55</v>
      </c>
      <c r="F256">
        <v>1.94</v>
      </c>
      <c r="G256">
        <v>1.3</v>
      </c>
      <c r="H256">
        <v>1.64</v>
      </c>
      <c r="I256">
        <v>87.27</v>
      </c>
      <c r="J256">
        <v>71.42</v>
      </c>
      <c r="K256">
        <v>79.344999999999999</v>
      </c>
      <c r="L256">
        <v>2.2200000000000002</v>
      </c>
      <c r="M256">
        <v>73.62</v>
      </c>
      <c r="N256">
        <v>64.209999999999994</v>
      </c>
      <c r="O256">
        <v>68.489999999999995</v>
      </c>
    </row>
    <row r="257" spans="1:15" x14ac:dyDescent="0.35">
      <c r="A257" t="s">
        <v>272</v>
      </c>
      <c r="B257">
        <v>7.09</v>
      </c>
      <c r="C257">
        <v>5.43</v>
      </c>
      <c r="D257">
        <v>13.71</v>
      </c>
      <c r="E257">
        <v>13.37</v>
      </c>
      <c r="F257">
        <v>1.92</v>
      </c>
      <c r="G257">
        <v>1.42</v>
      </c>
      <c r="H257">
        <v>1.69</v>
      </c>
      <c r="I257">
        <v>87.24</v>
      </c>
      <c r="J257">
        <v>69.819999999999993</v>
      </c>
      <c r="K257">
        <v>78.53</v>
      </c>
      <c r="L257">
        <v>8</v>
      </c>
      <c r="M257">
        <v>74.959999999999994</v>
      </c>
      <c r="N257">
        <v>61.97</v>
      </c>
      <c r="O257">
        <v>69.260000000000005</v>
      </c>
    </row>
    <row r="258" spans="1:15" x14ac:dyDescent="0.35">
      <c r="A258" t="s">
        <v>273</v>
      </c>
      <c r="B258">
        <v>11.47</v>
      </c>
      <c r="C258">
        <v>10.5</v>
      </c>
      <c r="D258">
        <v>15.57</v>
      </c>
      <c r="E258">
        <v>15.71</v>
      </c>
      <c r="F258">
        <v>4.0199999999999996</v>
      </c>
      <c r="G258">
        <v>3.77</v>
      </c>
      <c r="H258">
        <v>3.91</v>
      </c>
      <c r="I258">
        <v>80.989999999999995</v>
      </c>
      <c r="J258">
        <v>60.55</v>
      </c>
      <c r="K258">
        <v>70.77</v>
      </c>
      <c r="L258">
        <v>27.59</v>
      </c>
      <c r="M258">
        <v>84.7</v>
      </c>
      <c r="N258">
        <v>80.28</v>
      </c>
      <c r="O258">
        <v>81.349999999999994</v>
      </c>
    </row>
    <row r="259" spans="1:15" x14ac:dyDescent="0.35">
      <c r="A259" t="s">
        <v>274</v>
      </c>
      <c r="B259">
        <v>11</v>
      </c>
      <c r="C259">
        <v>10.74</v>
      </c>
      <c r="D259">
        <v>14.72</v>
      </c>
      <c r="E259">
        <v>14.97</v>
      </c>
      <c r="F259">
        <v>4.82</v>
      </c>
      <c r="G259">
        <v>5.5</v>
      </c>
      <c r="H259">
        <v>5.1100000000000003</v>
      </c>
      <c r="I259">
        <v>82.02</v>
      </c>
      <c r="J259">
        <v>59.23</v>
      </c>
      <c r="K259">
        <v>70.625</v>
      </c>
      <c r="L259">
        <v>12</v>
      </c>
      <c r="M259">
        <v>82.72</v>
      </c>
      <c r="N259">
        <v>80.64</v>
      </c>
      <c r="O259">
        <v>81.27</v>
      </c>
    </row>
    <row r="260" spans="1:15" x14ac:dyDescent="0.35">
      <c r="A260" t="s">
        <v>275</v>
      </c>
      <c r="B260">
        <v>11.46</v>
      </c>
      <c r="C260">
        <v>11.14</v>
      </c>
      <c r="D260">
        <v>15.97</v>
      </c>
      <c r="E260">
        <v>15.78</v>
      </c>
      <c r="F260">
        <v>6.24</v>
      </c>
      <c r="G260">
        <v>5.89</v>
      </c>
      <c r="H260">
        <v>6.1</v>
      </c>
      <c r="I260">
        <v>79.5</v>
      </c>
      <c r="J260">
        <v>55.86</v>
      </c>
      <c r="K260">
        <v>67.680000000000007</v>
      </c>
      <c r="L260">
        <v>26.67</v>
      </c>
      <c r="M260">
        <v>87.06</v>
      </c>
      <c r="N260">
        <v>83.49</v>
      </c>
      <c r="O260">
        <v>84.06</v>
      </c>
    </row>
    <row r="261" spans="1:15" x14ac:dyDescent="0.35">
      <c r="A261" t="s">
        <v>276</v>
      </c>
      <c r="B261">
        <v>10.17</v>
      </c>
      <c r="C261">
        <v>9.4</v>
      </c>
      <c r="D261">
        <v>14.23</v>
      </c>
      <c r="E261">
        <v>13.81</v>
      </c>
      <c r="F261">
        <v>4.5199999999999996</v>
      </c>
      <c r="G261">
        <v>4.3</v>
      </c>
      <c r="H261">
        <v>4.4400000000000004</v>
      </c>
      <c r="I261">
        <v>82.44</v>
      </c>
      <c r="J261">
        <v>53.09</v>
      </c>
      <c r="K261">
        <v>67.765000000000001</v>
      </c>
      <c r="L261">
        <v>26.67</v>
      </c>
      <c r="M261">
        <v>77.77</v>
      </c>
      <c r="N261">
        <v>75.11</v>
      </c>
      <c r="O261">
        <v>76.27</v>
      </c>
    </row>
    <row r="262" spans="1:15" x14ac:dyDescent="0.35">
      <c r="A262" t="s">
        <v>277</v>
      </c>
      <c r="B262">
        <v>10.25</v>
      </c>
      <c r="C262">
        <v>9.34</v>
      </c>
      <c r="D262">
        <v>13.67</v>
      </c>
      <c r="E262">
        <v>13.89</v>
      </c>
      <c r="F262">
        <v>4.9000000000000004</v>
      </c>
      <c r="G262">
        <v>4.28</v>
      </c>
      <c r="H262">
        <v>4.63</v>
      </c>
      <c r="I262">
        <v>82.98</v>
      </c>
      <c r="J262">
        <v>62.58</v>
      </c>
      <c r="K262">
        <v>72.78</v>
      </c>
      <c r="L262">
        <v>16.670000000000002</v>
      </c>
      <c r="M262">
        <v>78.95</v>
      </c>
      <c r="N262">
        <v>76.569999999999993</v>
      </c>
      <c r="O262">
        <v>77.75</v>
      </c>
    </row>
    <row r="263" spans="1:15" x14ac:dyDescent="0.35">
      <c r="A263" t="s">
        <v>278</v>
      </c>
      <c r="B263">
        <v>11.73</v>
      </c>
      <c r="C263">
        <v>10.9</v>
      </c>
      <c r="D263">
        <v>14.42</v>
      </c>
      <c r="E263">
        <v>14.12</v>
      </c>
      <c r="F263">
        <v>3.41</v>
      </c>
      <c r="G263">
        <v>4.2300000000000004</v>
      </c>
      <c r="H263">
        <v>3.76</v>
      </c>
      <c r="I263">
        <v>84.06</v>
      </c>
      <c r="J263">
        <v>61.61</v>
      </c>
      <c r="K263">
        <v>72.835000000000008</v>
      </c>
      <c r="L263">
        <v>16</v>
      </c>
      <c r="M263">
        <v>84.72</v>
      </c>
      <c r="N263">
        <v>79.650000000000006</v>
      </c>
      <c r="O263">
        <v>80.92</v>
      </c>
    </row>
    <row r="264" spans="1:15" x14ac:dyDescent="0.35">
      <c r="A264" t="s">
        <v>279</v>
      </c>
      <c r="B264">
        <v>12.38</v>
      </c>
      <c r="C264">
        <v>11.74</v>
      </c>
      <c r="D264">
        <v>14.5</v>
      </c>
      <c r="E264">
        <v>14.9</v>
      </c>
      <c r="F264">
        <v>4.46</v>
      </c>
      <c r="G264">
        <v>4.1100000000000003</v>
      </c>
      <c r="H264">
        <v>4.3</v>
      </c>
      <c r="I264">
        <v>78.87</v>
      </c>
      <c r="J264">
        <v>62.81</v>
      </c>
      <c r="K264">
        <v>70.84</v>
      </c>
      <c r="L264">
        <v>20.69</v>
      </c>
      <c r="M264">
        <v>87</v>
      </c>
      <c r="N264">
        <v>82.88</v>
      </c>
      <c r="O264">
        <v>83.48</v>
      </c>
    </row>
    <row r="265" spans="1:15" x14ac:dyDescent="0.35">
      <c r="A265" t="s">
        <v>280</v>
      </c>
      <c r="B265">
        <v>11.25</v>
      </c>
      <c r="C265">
        <v>10.62</v>
      </c>
      <c r="D265">
        <v>15.13</v>
      </c>
      <c r="E265">
        <v>14.7</v>
      </c>
      <c r="F265">
        <v>4.8499999999999996</v>
      </c>
      <c r="G265">
        <v>4.99</v>
      </c>
      <c r="H265">
        <v>4.91</v>
      </c>
      <c r="I265">
        <v>81.92</v>
      </c>
      <c r="J265">
        <v>59.48</v>
      </c>
      <c r="K265">
        <v>70.7</v>
      </c>
      <c r="L265">
        <v>20</v>
      </c>
      <c r="M265">
        <v>87.13</v>
      </c>
      <c r="N265">
        <v>82.36</v>
      </c>
      <c r="O265">
        <v>84.14</v>
      </c>
    </row>
    <row r="266" spans="1:15" x14ac:dyDescent="0.35">
      <c r="A266" t="s">
        <v>281</v>
      </c>
      <c r="B266">
        <v>10.130000000000001</v>
      </c>
      <c r="C266">
        <v>9.69</v>
      </c>
      <c r="D266">
        <v>14.55</v>
      </c>
      <c r="E266">
        <v>14.58</v>
      </c>
      <c r="F266">
        <v>3.93</v>
      </c>
      <c r="G266">
        <v>3.19</v>
      </c>
      <c r="H266">
        <v>3.63</v>
      </c>
      <c r="I266">
        <v>87.33</v>
      </c>
      <c r="J266">
        <v>59.65</v>
      </c>
      <c r="K266">
        <v>73.489999999999995</v>
      </c>
      <c r="L266">
        <v>23.33</v>
      </c>
      <c r="M266">
        <v>82.85</v>
      </c>
      <c r="N266">
        <v>75.28</v>
      </c>
      <c r="O266">
        <v>78.790000000000006</v>
      </c>
    </row>
    <row r="267" spans="1:15" x14ac:dyDescent="0.35">
      <c r="A267" t="s">
        <v>283</v>
      </c>
      <c r="B267">
        <v>7.65</v>
      </c>
      <c r="C267">
        <v>6.74</v>
      </c>
      <c r="D267">
        <v>13.51</v>
      </c>
      <c r="E267">
        <v>14.15</v>
      </c>
      <c r="F267">
        <v>7.66</v>
      </c>
      <c r="G267">
        <v>8.84</v>
      </c>
      <c r="H267">
        <v>8.09</v>
      </c>
      <c r="I267">
        <v>83.45</v>
      </c>
      <c r="J267">
        <v>49.49</v>
      </c>
      <c r="K267">
        <v>66.47</v>
      </c>
      <c r="L267">
        <v>20</v>
      </c>
      <c r="M267">
        <v>72.069999999999993</v>
      </c>
      <c r="N267">
        <v>62.87</v>
      </c>
      <c r="O267">
        <v>66.989999999999995</v>
      </c>
    </row>
    <row r="268" spans="1:15" x14ac:dyDescent="0.35">
      <c r="A268" t="s">
        <v>284</v>
      </c>
      <c r="B268">
        <v>7.08</v>
      </c>
      <c r="C268">
        <v>6.27</v>
      </c>
      <c r="D268">
        <v>12.18</v>
      </c>
      <c r="E268">
        <v>12.09</v>
      </c>
      <c r="F268">
        <v>6.52</v>
      </c>
      <c r="G268">
        <v>5.75</v>
      </c>
      <c r="H268">
        <v>6.23</v>
      </c>
      <c r="I268">
        <v>87.26</v>
      </c>
      <c r="J268">
        <v>57.53</v>
      </c>
      <c r="K268">
        <v>72.39500000000001</v>
      </c>
      <c r="L268">
        <v>14</v>
      </c>
      <c r="M268">
        <v>70.59</v>
      </c>
      <c r="N268">
        <v>57.33</v>
      </c>
      <c r="O268">
        <v>65.86</v>
      </c>
    </row>
    <row r="269" spans="1:15" x14ac:dyDescent="0.35">
      <c r="A269" t="s">
        <v>285</v>
      </c>
      <c r="B269">
        <v>9.48</v>
      </c>
      <c r="C269">
        <v>8.57</v>
      </c>
      <c r="D269">
        <v>12.88</v>
      </c>
      <c r="E269">
        <v>12.94</v>
      </c>
      <c r="F269">
        <v>5.83</v>
      </c>
      <c r="G269">
        <v>6.48</v>
      </c>
      <c r="H269">
        <v>6.06</v>
      </c>
      <c r="I269">
        <v>84.29</v>
      </c>
      <c r="J269">
        <v>46.78</v>
      </c>
      <c r="K269">
        <v>65.534999999999997</v>
      </c>
      <c r="L269">
        <v>20</v>
      </c>
      <c r="M269">
        <v>78.31</v>
      </c>
      <c r="N269">
        <v>71.8</v>
      </c>
      <c r="O269">
        <v>74.09</v>
      </c>
    </row>
    <row r="270" spans="1:15" x14ac:dyDescent="0.35">
      <c r="A270" t="s">
        <v>286</v>
      </c>
      <c r="B270">
        <v>8.32</v>
      </c>
      <c r="C270">
        <v>7.51</v>
      </c>
      <c r="D270">
        <v>12.82</v>
      </c>
      <c r="E270">
        <v>13.2</v>
      </c>
      <c r="F270">
        <v>8.3699999999999992</v>
      </c>
      <c r="G270">
        <v>10.53</v>
      </c>
      <c r="H270">
        <v>9.18</v>
      </c>
      <c r="I270">
        <v>83.05</v>
      </c>
      <c r="J270">
        <v>51.86</v>
      </c>
      <c r="K270">
        <v>67.454999999999998</v>
      </c>
      <c r="L270">
        <v>12</v>
      </c>
      <c r="M270">
        <v>73.02</v>
      </c>
      <c r="N270">
        <v>67.569999999999993</v>
      </c>
      <c r="O270">
        <v>69.03</v>
      </c>
    </row>
    <row r="271" spans="1:15" x14ac:dyDescent="0.35">
      <c r="A271" t="s">
        <v>287</v>
      </c>
      <c r="B271">
        <v>11.52</v>
      </c>
      <c r="C271">
        <v>10.81</v>
      </c>
      <c r="D271">
        <v>13.9</v>
      </c>
      <c r="E271">
        <v>13.96</v>
      </c>
      <c r="F271">
        <v>5.57</v>
      </c>
      <c r="G271">
        <v>6.49</v>
      </c>
      <c r="H271">
        <v>5.92</v>
      </c>
      <c r="I271">
        <v>82.13</v>
      </c>
      <c r="J271">
        <v>49.79</v>
      </c>
      <c r="K271">
        <v>65.959999999999994</v>
      </c>
      <c r="L271">
        <v>12</v>
      </c>
      <c r="M271">
        <v>83.38</v>
      </c>
      <c r="N271">
        <v>79.17</v>
      </c>
      <c r="O271">
        <v>80.02</v>
      </c>
    </row>
    <row r="272" spans="1:15" x14ac:dyDescent="0.35">
      <c r="A272" t="s">
        <v>288</v>
      </c>
      <c r="B272">
        <v>10.69</v>
      </c>
      <c r="C272">
        <v>10.06</v>
      </c>
      <c r="D272">
        <v>13.22</v>
      </c>
      <c r="E272">
        <v>14.72</v>
      </c>
      <c r="F272">
        <v>5.93</v>
      </c>
      <c r="G272">
        <v>6.37</v>
      </c>
      <c r="H272">
        <v>6.08</v>
      </c>
      <c r="I272">
        <v>78.06</v>
      </c>
      <c r="J272">
        <v>43.26</v>
      </c>
      <c r="K272">
        <v>60.66</v>
      </c>
      <c r="L272">
        <v>10</v>
      </c>
      <c r="M272">
        <v>79.94</v>
      </c>
      <c r="N272">
        <v>70.58</v>
      </c>
      <c r="O272">
        <v>75.14</v>
      </c>
    </row>
    <row r="273" spans="1:15" x14ac:dyDescent="0.35">
      <c r="A273" t="s">
        <v>289</v>
      </c>
      <c r="B273">
        <v>9.6</v>
      </c>
      <c r="C273">
        <v>8.52</v>
      </c>
      <c r="D273">
        <v>12.96</v>
      </c>
      <c r="E273">
        <v>12.83</v>
      </c>
      <c r="F273">
        <v>6.95</v>
      </c>
      <c r="G273">
        <v>7.4</v>
      </c>
      <c r="H273">
        <v>7.12</v>
      </c>
      <c r="I273">
        <v>84.38</v>
      </c>
      <c r="J273">
        <v>53.21</v>
      </c>
      <c r="K273">
        <v>68.795000000000002</v>
      </c>
      <c r="L273">
        <v>8.89</v>
      </c>
      <c r="M273">
        <v>78.400000000000006</v>
      </c>
      <c r="N273">
        <v>72.61</v>
      </c>
      <c r="O273">
        <v>73.989999999999995</v>
      </c>
    </row>
    <row r="274" spans="1:15" x14ac:dyDescent="0.35">
      <c r="A274" t="s">
        <v>290</v>
      </c>
      <c r="B274">
        <v>12.13</v>
      </c>
      <c r="C274">
        <v>11.29</v>
      </c>
      <c r="D274">
        <v>14.52</v>
      </c>
      <c r="E274">
        <v>14.84</v>
      </c>
      <c r="F274">
        <v>4.76</v>
      </c>
      <c r="G274">
        <v>5.7</v>
      </c>
      <c r="H274">
        <v>5.09</v>
      </c>
      <c r="I274">
        <v>76.58</v>
      </c>
      <c r="J274">
        <v>40.01</v>
      </c>
      <c r="K274">
        <v>58.295000000000002</v>
      </c>
      <c r="L274">
        <v>26</v>
      </c>
      <c r="M274">
        <v>86.38</v>
      </c>
      <c r="N274">
        <v>81.599999999999994</v>
      </c>
      <c r="O274">
        <v>82.89</v>
      </c>
    </row>
    <row r="275" spans="1:15" x14ac:dyDescent="0.35">
      <c r="A275" t="s">
        <v>292</v>
      </c>
      <c r="B275">
        <v>9.41</v>
      </c>
      <c r="C275">
        <v>8.11</v>
      </c>
      <c r="D275">
        <v>12.96</v>
      </c>
      <c r="E275">
        <v>13.12</v>
      </c>
      <c r="F275">
        <v>1.69</v>
      </c>
      <c r="G275">
        <v>1.35</v>
      </c>
      <c r="H275">
        <v>1.53</v>
      </c>
      <c r="I275">
        <v>86.78</v>
      </c>
      <c r="J275">
        <v>73.489999999999995</v>
      </c>
      <c r="K275">
        <v>80.134999999999991</v>
      </c>
      <c r="L275">
        <v>17.14</v>
      </c>
      <c r="M275">
        <v>77.209999999999994</v>
      </c>
      <c r="N275">
        <v>73.27</v>
      </c>
      <c r="O275">
        <v>74.599999999999994</v>
      </c>
    </row>
    <row r="276" spans="1:15" x14ac:dyDescent="0.35">
      <c r="A276" t="s">
        <v>293</v>
      </c>
      <c r="B276">
        <v>10.25</v>
      </c>
      <c r="C276">
        <v>8.8699999999999992</v>
      </c>
      <c r="D276">
        <v>13.34</v>
      </c>
      <c r="E276">
        <v>13.24</v>
      </c>
      <c r="F276">
        <v>1.32</v>
      </c>
      <c r="G276">
        <v>2.48</v>
      </c>
      <c r="H276">
        <v>1.85</v>
      </c>
      <c r="I276">
        <v>83.17</v>
      </c>
      <c r="J276">
        <v>67.59</v>
      </c>
      <c r="K276">
        <v>75.38</v>
      </c>
      <c r="L276">
        <v>20</v>
      </c>
      <c r="M276">
        <v>79.92</v>
      </c>
      <c r="N276">
        <v>76.680000000000007</v>
      </c>
      <c r="O276">
        <v>78.42</v>
      </c>
    </row>
    <row r="277" spans="1:15" x14ac:dyDescent="0.35">
      <c r="A277" t="s">
        <v>294</v>
      </c>
      <c r="B277">
        <v>11.45</v>
      </c>
      <c r="C277">
        <v>10.76</v>
      </c>
      <c r="D277">
        <v>14.52</v>
      </c>
      <c r="E277">
        <v>14.05</v>
      </c>
      <c r="F277">
        <v>2.16</v>
      </c>
      <c r="G277">
        <v>1.43</v>
      </c>
      <c r="H277">
        <v>1.83</v>
      </c>
      <c r="I277">
        <v>83.16</v>
      </c>
      <c r="J277">
        <v>68.069999999999993</v>
      </c>
      <c r="K277">
        <v>75.614999999999995</v>
      </c>
      <c r="L277">
        <v>8.89</v>
      </c>
      <c r="M277">
        <v>86.03</v>
      </c>
      <c r="N277">
        <v>82.73</v>
      </c>
      <c r="O277">
        <v>83.87</v>
      </c>
    </row>
    <row r="278" spans="1:15" x14ac:dyDescent="0.35">
      <c r="A278" t="s">
        <v>295</v>
      </c>
      <c r="B278">
        <v>10.44</v>
      </c>
      <c r="C278">
        <v>9.1999999999999993</v>
      </c>
      <c r="D278">
        <v>14.09</v>
      </c>
      <c r="E278">
        <v>14.16</v>
      </c>
      <c r="F278">
        <v>2.3199999999999998</v>
      </c>
      <c r="G278">
        <v>1.59</v>
      </c>
      <c r="H278">
        <v>1.98</v>
      </c>
      <c r="I278">
        <v>83.7</v>
      </c>
      <c r="J278">
        <v>69.459999999999994</v>
      </c>
      <c r="K278">
        <v>76.58</v>
      </c>
      <c r="L278">
        <v>17.78</v>
      </c>
      <c r="M278">
        <v>82.16</v>
      </c>
      <c r="N278">
        <v>78.17</v>
      </c>
      <c r="O278">
        <v>79.819999999999993</v>
      </c>
    </row>
    <row r="279" spans="1:15" x14ac:dyDescent="0.35">
      <c r="A279" t="s">
        <v>296</v>
      </c>
      <c r="B279">
        <v>9.61</v>
      </c>
      <c r="C279">
        <v>7.89</v>
      </c>
      <c r="D279">
        <v>13.95</v>
      </c>
      <c r="E279">
        <v>13.13</v>
      </c>
      <c r="F279">
        <v>1.22</v>
      </c>
      <c r="G279">
        <v>1.25</v>
      </c>
      <c r="H279">
        <v>1.23</v>
      </c>
      <c r="I279">
        <v>82.89</v>
      </c>
      <c r="J279">
        <v>71.58</v>
      </c>
      <c r="K279">
        <v>77.234999999999999</v>
      </c>
      <c r="L279">
        <v>10</v>
      </c>
      <c r="M279">
        <v>78.5</v>
      </c>
      <c r="N279">
        <v>72.36</v>
      </c>
      <c r="O279">
        <v>74.040000000000006</v>
      </c>
    </row>
    <row r="280" spans="1:15" x14ac:dyDescent="0.35">
      <c r="A280" t="s">
        <v>297</v>
      </c>
      <c r="B280">
        <v>8.24</v>
      </c>
      <c r="C280">
        <v>7.16</v>
      </c>
      <c r="D280">
        <v>12.99</v>
      </c>
      <c r="E280">
        <v>12.42</v>
      </c>
      <c r="F280">
        <v>1.24</v>
      </c>
      <c r="G280">
        <v>0.15</v>
      </c>
      <c r="H280">
        <v>0.74</v>
      </c>
      <c r="I280">
        <v>88.02</v>
      </c>
      <c r="J280">
        <v>76.489999999999995</v>
      </c>
      <c r="K280">
        <v>82.254999999999995</v>
      </c>
      <c r="L280">
        <v>13.33</v>
      </c>
      <c r="M280">
        <v>75.58</v>
      </c>
      <c r="N280">
        <v>69.97</v>
      </c>
      <c r="O280">
        <v>71.34</v>
      </c>
    </row>
    <row r="281" spans="1:15" x14ac:dyDescent="0.35">
      <c r="A281" t="s">
        <v>298</v>
      </c>
      <c r="B281">
        <v>7.47</v>
      </c>
      <c r="C281">
        <v>5.68</v>
      </c>
      <c r="D281">
        <v>12.64</v>
      </c>
      <c r="E281">
        <v>13.02</v>
      </c>
      <c r="F281">
        <v>1.7</v>
      </c>
      <c r="G281">
        <v>1.56</v>
      </c>
      <c r="H281">
        <v>1.63</v>
      </c>
      <c r="I281">
        <v>87.41</v>
      </c>
      <c r="J281">
        <v>80.11</v>
      </c>
      <c r="K281">
        <v>83.759999999999991</v>
      </c>
      <c r="L281">
        <v>13.33</v>
      </c>
      <c r="M281">
        <v>73.849999999999994</v>
      </c>
      <c r="N281">
        <v>66.959999999999994</v>
      </c>
      <c r="O281">
        <v>69.739999999999995</v>
      </c>
    </row>
    <row r="282" spans="1:15" x14ac:dyDescent="0.35">
      <c r="A282" t="s">
        <v>299</v>
      </c>
      <c r="B282">
        <v>8.43</v>
      </c>
      <c r="C282">
        <v>7.03</v>
      </c>
      <c r="D282">
        <v>13.5</v>
      </c>
      <c r="E282">
        <v>13.19</v>
      </c>
      <c r="F282">
        <v>2.59</v>
      </c>
      <c r="G282">
        <v>1.46</v>
      </c>
      <c r="H282">
        <v>2.06</v>
      </c>
      <c r="I282">
        <v>84.77</v>
      </c>
      <c r="J282">
        <v>74.78</v>
      </c>
      <c r="K282">
        <v>79.775000000000006</v>
      </c>
      <c r="L282">
        <v>11.11</v>
      </c>
      <c r="M282">
        <v>78.78</v>
      </c>
      <c r="N282">
        <v>72.67</v>
      </c>
      <c r="O282">
        <v>74.52</v>
      </c>
    </row>
    <row r="283" spans="1:15" x14ac:dyDescent="0.35">
      <c r="A283" t="s">
        <v>300</v>
      </c>
      <c r="B283">
        <v>11.92</v>
      </c>
      <c r="C283">
        <v>11.2</v>
      </c>
      <c r="D283">
        <v>14.21</v>
      </c>
      <c r="E283">
        <v>14.13</v>
      </c>
      <c r="F283">
        <v>1.96</v>
      </c>
      <c r="G283">
        <v>2.31</v>
      </c>
      <c r="H283">
        <v>2.11</v>
      </c>
      <c r="I283">
        <v>78.8</v>
      </c>
      <c r="J283">
        <v>60.5</v>
      </c>
      <c r="K283">
        <v>69.650000000000006</v>
      </c>
      <c r="L283">
        <v>8.89</v>
      </c>
      <c r="M283">
        <v>86.92</v>
      </c>
      <c r="N283">
        <v>84.11</v>
      </c>
      <c r="O283">
        <v>85.22</v>
      </c>
    </row>
    <row r="284" spans="1:15" x14ac:dyDescent="0.35">
      <c r="A284" t="s">
        <v>302</v>
      </c>
      <c r="B284">
        <v>7.62</v>
      </c>
      <c r="C284">
        <v>6.32</v>
      </c>
      <c r="D284">
        <v>14.05</v>
      </c>
      <c r="E284">
        <v>13.88</v>
      </c>
      <c r="F284">
        <v>2.61</v>
      </c>
      <c r="G284">
        <v>2.94</v>
      </c>
      <c r="H284">
        <v>2.75</v>
      </c>
      <c r="I284">
        <v>87.97</v>
      </c>
      <c r="J284">
        <v>64.47</v>
      </c>
      <c r="K284">
        <v>76.22</v>
      </c>
      <c r="L284">
        <v>11.11</v>
      </c>
      <c r="M284">
        <v>75.52</v>
      </c>
      <c r="N284">
        <v>68.47</v>
      </c>
      <c r="O284">
        <v>70.67</v>
      </c>
    </row>
    <row r="285" spans="1:15" x14ac:dyDescent="0.35">
      <c r="A285" t="s">
        <v>303</v>
      </c>
      <c r="B285">
        <v>7.35</v>
      </c>
      <c r="C285">
        <v>6.17</v>
      </c>
      <c r="D285">
        <v>14.28</v>
      </c>
      <c r="E285">
        <v>13.69</v>
      </c>
      <c r="F285">
        <v>3.19</v>
      </c>
      <c r="G285">
        <v>1.76</v>
      </c>
      <c r="H285">
        <v>2.5499999999999998</v>
      </c>
      <c r="I285">
        <v>86.88</v>
      </c>
      <c r="J285">
        <v>71.38</v>
      </c>
      <c r="K285">
        <v>79.13</v>
      </c>
      <c r="L285">
        <v>12</v>
      </c>
      <c r="M285">
        <v>73.900000000000006</v>
      </c>
      <c r="N285">
        <v>65.61</v>
      </c>
      <c r="O285">
        <v>69.17</v>
      </c>
    </row>
    <row r="286" spans="1:15" x14ac:dyDescent="0.35">
      <c r="A286" t="s">
        <v>304</v>
      </c>
      <c r="B286">
        <v>7.8</v>
      </c>
      <c r="C286">
        <v>6.98</v>
      </c>
      <c r="D286">
        <v>14.07</v>
      </c>
      <c r="E286">
        <v>14.2</v>
      </c>
      <c r="F286">
        <v>2.35</v>
      </c>
      <c r="G286">
        <v>2.75</v>
      </c>
      <c r="H286">
        <v>2.5299999999999998</v>
      </c>
      <c r="I286">
        <v>86.95</v>
      </c>
      <c r="J286">
        <v>69.94</v>
      </c>
      <c r="K286">
        <v>78.444999999999993</v>
      </c>
      <c r="L286">
        <v>14</v>
      </c>
      <c r="M286">
        <v>72.56</v>
      </c>
      <c r="N286">
        <v>67.040000000000006</v>
      </c>
      <c r="O286">
        <v>69.23</v>
      </c>
    </row>
    <row r="287" spans="1:15" x14ac:dyDescent="0.35">
      <c r="A287" t="s">
        <v>305</v>
      </c>
      <c r="B287">
        <v>8.89</v>
      </c>
      <c r="C287">
        <v>8.36</v>
      </c>
      <c r="D287">
        <v>13.32</v>
      </c>
      <c r="E287">
        <v>13.42</v>
      </c>
      <c r="F287">
        <v>3.17</v>
      </c>
      <c r="G287">
        <v>2.0499999999999998</v>
      </c>
      <c r="H287">
        <v>2.67</v>
      </c>
      <c r="I287">
        <v>83.45</v>
      </c>
      <c r="J287">
        <v>64.459999999999994</v>
      </c>
      <c r="K287">
        <v>73.954999999999998</v>
      </c>
      <c r="L287">
        <v>15.56</v>
      </c>
      <c r="M287">
        <v>73.23</v>
      </c>
      <c r="N287">
        <v>69.540000000000006</v>
      </c>
      <c r="O287">
        <v>70.55</v>
      </c>
    </row>
    <row r="288" spans="1:15" x14ac:dyDescent="0.35">
      <c r="A288" t="s">
        <v>306</v>
      </c>
      <c r="B288">
        <v>9.52</v>
      </c>
      <c r="C288">
        <v>8.4499999999999993</v>
      </c>
      <c r="D288">
        <v>13.62</v>
      </c>
      <c r="E288">
        <v>14.4</v>
      </c>
      <c r="F288">
        <v>3.19</v>
      </c>
      <c r="G288">
        <v>2.12</v>
      </c>
      <c r="H288">
        <v>2.7</v>
      </c>
      <c r="I288">
        <v>86.66</v>
      </c>
      <c r="J288">
        <v>73.959999999999994</v>
      </c>
      <c r="K288">
        <v>80.31</v>
      </c>
      <c r="L288">
        <v>6.67</v>
      </c>
      <c r="M288">
        <v>75.36</v>
      </c>
      <c r="N288">
        <v>68.97</v>
      </c>
      <c r="O288">
        <v>70.78</v>
      </c>
    </row>
    <row r="289" spans="1:15" x14ac:dyDescent="0.35">
      <c r="A289" t="s">
        <v>307</v>
      </c>
      <c r="B289">
        <v>8.91</v>
      </c>
      <c r="C289">
        <v>8.2799999999999994</v>
      </c>
      <c r="D289">
        <v>13.69</v>
      </c>
      <c r="E289">
        <v>13.29</v>
      </c>
      <c r="F289">
        <v>1.52</v>
      </c>
      <c r="G289">
        <v>3.04</v>
      </c>
      <c r="H289">
        <v>2.19</v>
      </c>
      <c r="I289">
        <v>86.81</v>
      </c>
      <c r="J289">
        <v>69.23</v>
      </c>
      <c r="K289">
        <v>78.02000000000001</v>
      </c>
      <c r="L289">
        <v>17.78</v>
      </c>
      <c r="M289">
        <v>72.59</v>
      </c>
      <c r="N289">
        <v>67.02</v>
      </c>
      <c r="O289">
        <v>68.94</v>
      </c>
    </row>
    <row r="290" spans="1:15" x14ac:dyDescent="0.35">
      <c r="A290" t="s">
        <v>308</v>
      </c>
      <c r="B290">
        <v>9.39</v>
      </c>
      <c r="C290">
        <v>8.61</v>
      </c>
      <c r="D290">
        <v>14.04</v>
      </c>
      <c r="E290">
        <v>13.49</v>
      </c>
      <c r="F290">
        <v>3.12</v>
      </c>
      <c r="G290">
        <v>3.07</v>
      </c>
      <c r="H290">
        <v>3.1</v>
      </c>
      <c r="I290">
        <v>87.81</v>
      </c>
      <c r="J290">
        <v>63.59</v>
      </c>
      <c r="K290">
        <v>75.7</v>
      </c>
      <c r="L290">
        <v>12</v>
      </c>
      <c r="M290">
        <v>77.45</v>
      </c>
      <c r="N290">
        <v>72.5</v>
      </c>
      <c r="O290">
        <v>73.86</v>
      </c>
    </row>
    <row r="291" spans="1:15" x14ac:dyDescent="0.35">
      <c r="A291" t="s">
        <v>309</v>
      </c>
      <c r="B291">
        <v>7.21</v>
      </c>
      <c r="C291">
        <v>5.54</v>
      </c>
      <c r="D291">
        <v>13.45</v>
      </c>
      <c r="E291">
        <v>12.73</v>
      </c>
      <c r="F291">
        <v>1.8</v>
      </c>
      <c r="G291">
        <v>1.93</v>
      </c>
      <c r="H291">
        <v>1.85</v>
      </c>
      <c r="I291">
        <v>91.84</v>
      </c>
      <c r="J291">
        <v>69.91</v>
      </c>
      <c r="K291">
        <v>80.875</v>
      </c>
      <c r="L291">
        <v>3.33</v>
      </c>
      <c r="M291">
        <v>72.22</v>
      </c>
      <c r="N291">
        <v>62.14</v>
      </c>
      <c r="O291">
        <v>67.239999999999995</v>
      </c>
    </row>
    <row r="292" spans="1:15" x14ac:dyDescent="0.35">
      <c r="A292" t="s">
        <v>310</v>
      </c>
      <c r="B292">
        <v>10.61</v>
      </c>
      <c r="C292">
        <v>9.2899999999999991</v>
      </c>
      <c r="D292">
        <v>15.74</v>
      </c>
      <c r="E292">
        <v>15.65</v>
      </c>
      <c r="F292">
        <v>5.28</v>
      </c>
      <c r="G292">
        <v>4.29</v>
      </c>
      <c r="H292">
        <v>4.8499999999999996</v>
      </c>
      <c r="I292">
        <v>82.48</v>
      </c>
      <c r="J292">
        <v>61.41</v>
      </c>
      <c r="K292">
        <v>71.944999999999993</v>
      </c>
      <c r="L292">
        <v>25</v>
      </c>
      <c r="M292">
        <v>84.33</v>
      </c>
      <c r="N292">
        <v>78.7</v>
      </c>
      <c r="O292">
        <v>80.599999999999994</v>
      </c>
    </row>
    <row r="293" spans="1:15" x14ac:dyDescent="0.35">
      <c r="A293" t="s">
        <v>311</v>
      </c>
      <c r="B293">
        <v>11.28</v>
      </c>
      <c r="C293">
        <v>10.66</v>
      </c>
      <c r="D293">
        <v>14.96</v>
      </c>
      <c r="E293">
        <v>15.69</v>
      </c>
      <c r="F293">
        <v>3.22</v>
      </c>
      <c r="G293">
        <v>3.33</v>
      </c>
      <c r="H293">
        <v>3.27</v>
      </c>
      <c r="I293">
        <v>82.15</v>
      </c>
      <c r="J293">
        <v>64.58</v>
      </c>
      <c r="K293">
        <v>73.365000000000009</v>
      </c>
      <c r="L293">
        <v>24</v>
      </c>
      <c r="M293">
        <v>79.73</v>
      </c>
      <c r="N293">
        <v>77.239999999999995</v>
      </c>
      <c r="O293">
        <v>78.040000000000006</v>
      </c>
    </row>
    <row r="294" spans="1:15" x14ac:dyDescent="0.35">
      <c r="A294" t="s">
        <v>313</v>
      </c>
      <c r="B294">
        <v>7.49</v>
      </c>
      <c r="C294">
        <v>6.81</v>
      </c>
      <c r="D294">
        <v>13.18</v>
      </c>
      <c r="E294">
        <v>13.77</v>
      </c>
      <c r="F294">
        <v>2.25</v>
      </c>
      <c r="G294">
        <v>4.34</v>
      </c>
      <c r="H294">
        <v>3.21</v>
      </c>
      <c r="I294">
        <v>81.47</v>
      </c>
      <c r="J294">
        <v>72.69</v>
      </c>
      <c r="K294">
        <v>77.08</v>
      </c>
      <c r="L294">
        <v>16</v>
      </c>
      <c r="M294">
        <v>68.63</v>
      </c>
      <c r="N294">
        <v>65.239999999999995</v>
      </c>
      <c r="O294">
        <v>66.06</v>
      </c>
    </row>
    <row r="295" spans="1:15" x14ac:dyDescent="0.35">
      <c r="A295" t="s">
        <v>314</v>
      </c>
      <c r="B295">
        <v>7.77</v>
      </c>
      <c r="C295">
        <v>7.64</v>
      </c>
      <c r="D295">
        <v>12.85</v>
      </c>
      <c r="E295">
        <v>13.16</v>
      </c>
      <c r="F295">
        <v>3.42</v>
      </c>
      <c r="G295">
        <v>3.52</v>
      </c>
      <c r="H295">
        <v>3.46</v>
      </c>
      <c r="I295">
        <v>81.34</v>
      </c>
      <c r="J295">
        <v>67.17</v>
      </c>
      <c r="K295">
        <v>74.254999999999995</v>
      </c>
      <c r="L295">
        <v>3.33</v>
      </c>
      <c r="M295">
        <v>69.95</v>
      </c>
      <c r="N295">
        <v>67.319999999999993</v>
      </c>
      <c r="O295">
        <v>67.680000000000007</v>
      </c>
    </row>
    <row r="296" spans="1:15" x14ac:dyDescent="0.35">
      <c r="A296" t="s">
        <v>315</v>
      </c>
      <c r="B296">
        <v>7.84</v>
      </c>
      <c r="C296">
        <v>7.48</v>
      </c>
      <c r="D296">
        <v>13.85</v>
      </c>
      <c r="E296">
        <v>13.94</v>
      </c>
      <c r="F296">
        <v>2.68</v>
      </c>
      <c r="G296">
        <v>4.3899999999999997</v>
      </c>
      <c r="H296">
        <v>3.36</v>
      </c>
      <c r="I296">
        <v>82.91</v>
      </c>
      <c r="J296">
        <v>55.44</v>
      </c>
      <c r="K296">
        <v>69.174999999999997</v>
      </c>
      <c r="L296">
        <v>8.57</v>
      </c>
      <c r="M296">
        <v>70.56</v>
      </c>
      <c r="N296">
        <v>62.82</v>
      </c>
      <c r="O296">
        <v>66.569999999999993</v>
      </c>
    </row>
    <row r="297" spans="1:15" x14ac:dyDescent="0.35">
      <c r="A297" t="s">
        <v>316</v>
      </c>
      <c r="B297">
        <v>7.21</v>
      </c>
      <c r="C297">
        <v>6.9</v>
      </c>
      <c r="D297">
        <v>12.33</v>
      </c>
      <c r="E297">
        <v>14.81</v>
      </c>
      <c r="F297">
        <v>3</v>
      </c>
      <c r="G297">
        <v>2.23</v>
      </c>
      <c r="H297">
        <v>2.63</v>
      </c>
      <c r="I297">
        <v>93.2</v>
      </c>
      <c r="J297">
        <v>81.81</v>
      </c>
      <c r="K297">
        <v>87.504999999999995</v>
      </c>
      <c r="L297">
        <v>5</v>
      </c>
      <c r="M297">
        <v>67.05</v>
      </c>
      <c r="N297">
        <v>64.34</v>
      </c>
      <c r="O297">
        <v>64.36</v>
      </c>
    </row>
    <row r="298" spans="1:15" x14ac:dyDescent="0.35">
      <c r="A298" t="s">
        <v>317</v>
      </c>
      <c r="B298">
        <v>8.33</v>
      </c>
      <c r="C298">
        <v>8.11</v>
      </c>
      <c r="D298">
        <v>12.99</v>
      </c>
      <c r="E298">
        <v>14.02</v>
      </c>
      <c r="F298">
        <v>1.35</v>
      </c>
      <c r="G298">
        <v>2.33</v>
      </c>
      <c r="H298">
        <v>1.82</v>
      </c>
      <c r="I298">
        <v>86.81</v>
      </c>
      <c r="J298">
        <v>78.52</v>
      </c>
      <c r="K298">
        <v>82.664999999999992</v>
      </c>
      <c r="L298">
        <v>13.33</v>
      </c>
      <c r="M298">
        <v>67.84</v>
      </c>
      <c r="N298">
        <v>65.180000000000007</v>
      </c>
      <c r="O298">
        <v>65.83</v>
      </c>
    </row>
    <row r="299" spans="1:15" x14ac:dyDescent="0.35">
      <c r="A299" t="s">
        <v>318</v>
      </c>
      <c r="B299">
        <v>7.62</v>
      </c>
      <c r="C299">
        <v>7.37</v>
      </c>
      <c r="D299">
        <v>12.01</v>
      </c>
      <c r="E299">
        <v>12.68</v>
      </c>
      <c r="F299">
        <v>4.22</v>
      </c>
      <c r="G299">
        <v>6.92</v>
      </c>
      <c r="H299">
        <v>5.41</v>
      </c>
      <c r="I299">
        <v>89.36</v>
      </c>
      <c r="J299">
        <v>70.44</v>
      </c>
      <c r="K299">
        <v>79.900000000000006</v>
      </c>
      <c r="L299">
        <v>16.670000000000002</v>
      </c>
      <c r="M299">
        <v>65.930000000000007</v>
      </c>
      <c r="N299">
        <v>64.12</v>
      </c>
      <c r="O299">
        <v>64.430000000000007</v>
      </c>
    </row>
    <row r="300" spans="1:15" x14ac:dyDescent="0.35">
      <c r="A300" t="s">
        <v>319</v>
      </c>
      <c r="B300">
        <v>8.93</v>
      </c>
      <c r="C300">
        <v>8.32</v>
      </c>
      <c r="D300">
        <v>12.57</v>
      </c>
      <c r="E300">
        <v>12.37</v>
      </c>
      <c r="F300">
        <v>1.79</v>
      </c>
      <c r="G300">
        <v>2.77</v>
      </c>
      <c r="H300">
        <v>2.27</v>
      </c>
      <c r="I300">
        <v>84.31</v>
      </c>
      <c r="J300">
        <v>78.13</v>
      </c>
      <c r="K300">
        <v>81.22</v>
      </c>
      <c r="L300">
        <v>6.67</v>
      </c>
      <c r="M300">
        <v>67.459999999999994</v>
      </c>
      <c r="N300">
        <v>62.57</v>
      </c>
      <c r="O300">
        <v>63.82</v>
      </c>
    </row>
    <row r="301" spans="1:15" x14ac:dyDescent="0.35">
      <c r="A301" t="s">
        <v>320</v>
      </c>
      <c r="B301">
        <v>9.1199999999999992</v>
      </c>
      <c r="C301">
        <v>7.62</v>
      </c>
      <c r="D301">
        <v>12.47</v>
      </c>
      <c r="E301">
        <v>12.8</v>
      </c>
      <c r="F301">
        <v>2.15</v>
      </c>
      <c r="G301">
        <v>2.2000000000000002</v>
      </c>
      <c r="H301">
        <v>2.1800000000000002</v>
      </c>
      <c r="I301">
        <v>88.57</v>
      </c>
      <c r="J301">
        <v>79.08</v>
      </c>
      <c r="K301">
        <v>83.824999999999989</v>
      </c>
      <c r="L301">
        <v>0</v>
      </c>
      <c r="M301">
        <v>71.05</v>
      </c>
      <c r="N301">
        <v>65.150000000000006</v>
      </c>
      <c r="O301">
        <v>66.62</v>
      </c>
    </row>
    <row r="302" spans="1:15" x14ac:dyDescent="0.35">
      <c r="A302" t="s">
        <v>321</v>
      </c>
      <c r="B302">
        <v>8.67</v>
      </c>
      <c r="C302">
        <v>7.57</v>
      </c>
      <c r="D302">
        <v>13</v>
      </c>
      <c r="E302">
        <v>12.95</v>
      </c>
      <c r="F302">
        <v>3.34</v>
      </c>
      <c r="G302">
        <v>3.84</v>
      </c>
      <c r="H302">
        <v>3.58</v>
      </c>
      <c r="I302">
        <v>81.56</v>
      </c>
      <c r="J302">
        <v>67.42</v>
      </c>
      <c r="K302">
        <v>74.490000000000009</v>
      </c>
      <c r="L302">
        <v>0</v>
      </c>
      <c r="M302">
        <v>70.34</v>
      </c>
      <c r="N302">
        <v>64.819999999999993</v>
      </c>
      <c r="O302">
        <v>66.290000000000006</v>
      </c>
    </row>
    <row r="303" spans="1:15" x14ac:dyDescent="0.35">
      <c r="A303" t="s">
        <v>322</v>
      </c>
      <c r="B303">
        <v>7.32</v>
      </c>
      <c r="C303">
        <v>6.85</v>
      </c>
      <c r="D303">
        <v>13.55</v>
      </c>
      <c r="E303">
        <v>13.97</v>
      </c>
      <c r="F303">
        <v>1.78</v>
      </c>
      <c r="G303">
        <v>2.96</v>
      </c>
      <c r="H303">
        <v>2.33</v>
      </c>
      <c r="I303">
        <v>82.23</v>
      </c>
      <c r="J303">
        <v>66.47</v>
      </c>
      <c r="K303">
        <v>74.349999999999994</v>
      </c>
      <c r="L303">
        <v>11.43</v>
      </c>
      <c r="M303">
        <v>71.959999999999994</v>
      </c>
      <c r="N303">
        <v>64.55</v>
      </c>
      <c r="O303">
        <v>67.41</v>
      </c>
    </row>
    <row r="304" spans="1:15" x14ac:dyDescent="0.35">
      <c r="A304" t="s">
        <v>323</v>
      </c>
      <c r="B304">
        <v>8.6199999999999992</v>
      </c>
      <c r="C304">
        <v>8.1300000000000008</v>
      </c>
      <c r="D304">
        <v>14.09</v>
      </c>
      <c r="E304">
        <v>13.82</v>
      </c>
      <c r="F304">
        <v>1.97</v>
      </c>
      <c r="G304">
        <v>2.14</v>
      </c>
      <c r="H304">
        <v>2.0499999999999998</v>
      </c>
      <c r="I304">
        <v>82.04</v>
      </c>
      <c r="J304">
        <v>72.86</v>
      </c>
      <c r="K304">
        <v>77.45</v>
      </c>
      <c r="L304">
        <v>6.67</v>
      </c>
      <c r="M304">
        <v>70.84</v>
      </c>
      <c r="N304">
        <v>68.239999999999995</v>
      </c>
      <c r="O304">
        <v>69.11</v>
      </c>
    </row>
    <row r="305" spans="1:15" x14ac:dyDescent="0.35">
      <c r="A305" t="s">
        <v>324</v>
      </c>
      <c r="B305">
        <v>8.84</v>
      </c>
      <c r="C305">
        <v>8.76</v>
      </c>
      <c r="D305">
        <v>12.44</v>
      </c>
      <c r="E305">
        <v>13.06</v>
      </c>
      <c r="F305">
        <v>3.39</v>
      </c>
      <c r="G305">
        <v>1.96</v>
      </c>
      <c r="H305">
        <v>2.68</v>
      </c>
      <c r="I305">
        <v>89.36</v>
      </c>
      <c r="J305">
        <v>83.57</v>
      </c>
      <c r="K305">
        <v>86.465000000000003</v>
      </c>
      <c r="L305">
        <v>0</v>
      </c>
      <c r="M305">
        <v>71.819999999999993</v>
      </c>
      <c r="N305">
        <v>69.2</v>
      </c>
      <c r="O305">
        <v>69.52</v>
      </c>
    </row>
    <row r="306" spans="1:15" x14ac:dyDescent="0.35">
      <c r="A306" t="s">
        <v>325</v>
      </c>
      <c r="B306">
        <v>8.5399999999999991</v>
      </c>
      <c r="C306">
        <v>7.36</v>
      </c>
      <c r="D306">
        <v>13.5</v>
      </c>
      <c r="E306">
        <v>14.31</v>
      </c>
      <c r="F306">
        <v>1.21</v>
      </c>
      <c r="G306">
        <v>1.1200000000000001</v>
      </c>
      <c r="H306">
        <v>1.17</v>
      </c>
      <c r="I306">
        <v>88.28</v>
      </c>
      <c r="J306">
        <v>78.040000000000006</v>
      </c>
      <c r="K306">
        <v>83.16</v>
      </c>
      <c r="L306">
        <v>8.57</v>
      </c>
      <c r="M306">
        <v>71.8</v>
      </c>
      <c r="N306">
        <v>63.96</v>
      </c>
      <c r="O306">
        <v>67.28</v>
      </c>
    </row>
    <row r="307" spans="1:15" x14ac:dyDescent="0.35">
      <c r="A307" t="s">
        <v>326</v>
      </c>
      <c r="B307">
        <v>8.32</v>
      </c>
      <c r="C307">
        <v>7.7</v>
      </c>
      <c r="D307">
        <v>13.24</v>
      </c>
      <c r="E307">
        <v>13.07</v>
      </c>
      <c r="F307">
        <v>2.35</v>
      </c>
      <c r="G307">
        <v>2.52</v>
      </c>
      <c r="H307">
        <v>2.42</v>
      </c>
      <c r="I307">
        <v>82.42</v>
      </c>
      <c r="J307">
        <v>61.14</v>
      </c>
      <c r="K307">
        <v>71.78</v>
      </c>
      <c r="L307">
        <v>0</v>
      </c>
      <c r="M307">
        <v>69.72</v>
      </c>
      <c r="N307">
        <v>59.68</v>
      </c>
      <c r="O307">
        <v>64.59</v>
      </c>
    </row>
    <row r="308" spans="1:15" x14ac:dyDescent="0.35">
      <c r="A308" t="s">
        <v>327</v>
      </c>
      <c r="B308">
        <v>8.41</v>
      </c>
      <c r="C308">
        <v>7.91</v>
      </c>
      <c r="D308">
        <v>12.64</v>
      </c>
      <c r="E308">
        <v>12.54</v>
      </c>
      <c r="F308">
        <v>3.59</v>
      </c>
      <c r="G308">
        <v>3.32</v>
      </c>
      <c r="H308">
        <v>3.47</v>
      </c>
      <c r="I308">
        <v>83.81</v>
      </c>
      <c r="J308">
        <v>69.56</v>
      </c>
      <c r="K308">
        <v>76.685000000000002</v>
      </c>
      <c r="L308">
        <v>10</v>
      </c>
      <c r="M308">
        <v>71.41</v>
      </c>
      <c r="N308">
        <v>63.58</v>
      </c>
      <c r="O308">
        <v>66.650000000000006</v>
      </c>
    </row>
    <row r="309" spans="1:15" x14ac:dyDescent="0.35">
      <c r="A309" t="s">
        <v>328</v>
      </c>
      <c r="B309">
        <v>7.37</v>
      </c>
      <c r="C309">
        <v>7.14</v>
      </c>
      <c r="D309">
        <v>13.1</v>
      </c>
      <c r="E309">
        <v>13.43</v>
      </c>
      <c r="F309">
        <v>1.08</v>
      </c>
      <c r="G309">
        <v>2.94</v>
      </c>
      <c r="H309">
        <v>1.89</v>
      </c>
      <c r="I309">
        <v>83.82</v>
      </c>
      <c r="J309">
        <v>69.099999999999994</v>
      </c>
      <c r="K309">
        <v>76.459999999999994</v>
      </c>
      <c r="L309">
        <v>10</v>
      </c>
      <c r="M309">
        <v>67.959999999999994</v>
      </c>
      <c r="N309">
        <v>62.01</v>
      </c>
      <c r="O309">
        <v>64.31</v>
      </c>
    </row>
    <row r="310" spans="1:15" x14ac:dyDescent="0.35">
      <c r="A310" t="s">
        <v>329</v>
      </c>
      <c r="B310">
        <v>6.48</v>
      </c>
      <c r="C310">
        <v>6.38</v>
      </c>
      <c r="D310">
        <v>13.06</v>
      </c>
      <c r="E310">
        <v>13.5</v>
      </c>
      <c r="F310">
        <v>3.58</v>
      </c>
      <c r="G310">
        <v>1.45</v>
      </c>
      <c r="H310">
        <v>2.64</v>
      </c>
      <c r="I310">
        <v>86.28</v>
      </c>
      <c r="J310">
        <v>70.78</v>
      </c>
      <c r="K310">
        <v>78.53</v>
      </c>
      <c r="L310">
        <v>8.57</v>
      </c>
      <c r="M310">
        <v>65.05</v>
      </c>
      <c r="N310">
        <v>63.98</v>
      </c>
      <c r="O310">
        <v>64.27</v>
      </c>
    </row>
    <row r="311" spans="1:15" x14ac:dyDescent="0.35">
      <c r="A311" t="s">
        <v>330</v>
      </c>
      <c r="B311">
        <v>8.41</v>
      </c>
      <c r="C311">
        <v>8.1</v>
      </c>
      <c r="D311">
        <v>12.9</v>
      </c>
      <c r="E311">
        <v>12.69</v>
      </c>
      <c r="F311">
        <v>2.19</v>
      </c>
      <c r="G311">
        <v>2.14</v>
      </c>
      <c r="H311">
        <v>2.17</v>
      </c>
      <c r="I311">
        <v>85.11</v>
      </c>
      <c r="J311">
        <v>67.33</v>
      </c>
      <c r="K311">
        <v>76.22</v>
      </c>
      <c r="L311">
        <v>8</v>
      </c>
      <c r="M311">
        <v>68.459999999999994</v>
      </c>
      <c r="N311">
        <v>67.33</v>
      </c>
      <c r="O311">
        <v>67.72</v>
      </c>
    </row>
    <row r="312" spans="1:15" x14ac:dyDescent="0.35">
      <c r="A312" t="s">
        <v>331</v>
      </c>
      <c r="B312">
        <v>8.08</v>
      </c>
      <c r="C312">
        <v>7.84</v>
      </c>
      <c r="D312">
        <v>12.66</v>
      </c>
      <c r="E312">
        <v>12.85</v>
      </c>
      <c r="F312">
        <v>0.73</v>
      </c>
      <c r="G312">
        <v>0.25</v>
      </c>
      <c r="H312">
        <v>0.51</v>
      </c>
      <c r="I312">
        <v>88.16</v>
      </c>
      <c r="J312">
        <v>78.47</v>
      </c>
      <c r="K312">
        <v>83.314999999999998</v>
      </c>
      <c r="L312">
        <v>3.33</v>
      </c>
      <c r="M312">
        <v>67.98</v>
      </c>
      <c r="N312">
        <v>62.52</v>
      </c>
      <c r="O312">
        <v>64.2</v>
      </c>
    </row>
    <row r="313" spans="1:15" x14ac:dyDescent="0.35">
      <c r="A313" t="s">
        <v>332</v>
      </c>
      <c r="B313">
        <v>7.09</v>
      </c>
      <c r="C313">
        <v>6.98</v>
      </c>
      <c r="D313">
        <v>13.19</v>
      </c>
      <c r="E313">
        <v>13.4</v>
      </c>
      <c r="F313">
        <v>3.68</v>
      </c>
      <c r="G313">
        <v>4.38</v>
      </c>
      <c r="H313">
        <v>3.99</v>
      </c>
      <c r="I313">
        <v>82.85</v>
      </c>
      <c r="J313">
        <v>71.680000000000007</v>
      </c>
      <c r="K313">
        <v>77.265000000000001</v>
      </c>
      <c r="L313">
        <v>10</v>
      </c>
      <c r="M313">
        <v>62.95</v>
      </c>
      <c r="N313">
        <v>58.18</v>
      </c>
      <c r="O313">
        <v>59.58</v>
      </c>
    </row>
    <row r="314" spans="1:15" x14ac:dyDescent="0.35">
      <c r="A314" t="s">
        <v>333</v>
      </c>
      <c r="B314">
        <v>7.48</v>
      </c>
      <c r="C314">
        <v>7.01</v>
      </c>
      <c r="D314">
        <v>12.43</v>
      </c>
      <c r="E314">
        <v>13.09</v>
      </c>
      <c r="F314">
        <v>1.19</v>
      </c>
      <c r="G314">
        <v>2.02</v>
      </c>
      <c r="H314">
        <v>1.58</v>
      </c>
      <c r="I314">
        <v>76.63</v>
      </c>
      <c r="J314">
        <v>67.680000000000007</v>
      </c>
      <c r="K314">
        <v>72.155000000000001</v>
      </c>
      <c r="L314">
        <v>16</v>
      </c>
      <c r="M314">
        <v>66.64</v>
      </c>
      <c r="N314">
        <v>60.5</v>
      </c>
      <c r="O314">
        <v>62.73</v>
      </c>
    </row>
    <row r="315" spans="1:15" x14ac:dyDescent="0.35">
      <c r="A315" t="s">
        <v>334</v>
      </c>
      <c r="B315">
        <v>12.05</v>
      </c>
      <c r="C315">
        <v>11.51</v>
      </c>
      <c r="D315">
        <v>16.440000000000001</v>
      </c>
      <c r="E315">
        <v>17.100000000000001</v>
      </c>
      <c r="F315">
        <v>7.9</v>
      </c>
      <c r="G315">
        <v>9.6199999999999992</v>
      </c>
      <c r="H315">
        <v>8.6</v>
      </c>
      <c r="I315">
        <v>79.099999999999994</v>
      </c>
      <c r="J315">
        <v>54.86</v>
      </c>
      <c r="K315">
        <v>66.97999999999999</v>
      </c>
      <c r="L315">
        <v>12.5</v>
      </c>
      <c r="M315">
        <v>83.63</v>
      </c>
      <c r="N315">
        <v>80.680000000000007</v>
      </c>
      <c r="O315">
        <v>81.08</v>
      </c>
    </row>
    <row r="316" spans="1:15" x14ac:dyDescent="0.35">
      <c r="A316" t="s">
        <v>336</v>
      </c>
      <c r="B316">
        <v>7.4</v>
      </c>
      <c r="C316">
        <v>6.15</v>
      </c>
      <c r="D316">
        <v>12.76</v>
      </c>
      <c r="E316">
        <v>13.38</v>
      </c>
      <c r="F316">
        <v>5.16</v>
      </c>
      <c r="G316">
        <v>4.74</v>
      </c>
      <c r="H316">
        <v>4.99</v>
      </c>
      <c r="I316">
        <v>85.2</v>
      </c>
      <c r="J316">
        <v>59.91</v>
      </c>
      <c r="K316">
        <v>72.555000000000007</v>
      </c>
      <c r="L316">
        <v>20</v>
      </c>
      <c r="M316">
        <v>74</v>
      </c>
      <c r="N316">
        <v>65.41</v>
      </c>
      <c r="O316">
        <v>69.31</v>
      </c>
    </row>
    <row r="317" spans="1:15" x14ac:dyDescent="0.35">
      <c r="A317" t="s">
        <v>337</v>
      </c>
      <c r="B317">
        <v>7.75</v>
      </c>
      <c r="C317">
        <v>6.87</v>
      </c>
      <c r="D317">
        <v>12.16</v>
      </c>
      <c r="E317">
        <v>12.45</v>
      </c>
      <c r="F317">
        <v>3.04</v>
      </c>
      <c r="G317">
        <v>2.41</v>
      </c>
      <c r="H317">
        <v>2.81</v>
      </c>
      <c r="I317">
        <v>86.85</v>
      </c>
      <c r="J317">
        <v>56.88</v>
      </c>
      <c r="K317">
        <v>71.864999999999995</v>
      </c>
      <c r="L317">
        <v>23.33</v>
      </c>
      <c r="M317">
        <v>74.36</v>
      </c>
      <c r="N317">
        <v>62.51</v>
      </c>
      <c r="O317">
        <v>70.3</v>
      </c>
    </row>
    <row r="318" spans="1:15" x14ac:dyDescent="0.35">
      <c r="A318" t="s">
        <v>338</v>
      </c>
      <c r="B318">
        <v>8.1999999999999993</v>
      </c>
      <c r="C318">
        <v>7.18</v>
      </c>
      <c r="D318">
        <v>12.54</v>
      </c>
      <c r="E318">
        <v>12.97</v>
      </c>
      <c r="F318">
        <v>2.23</v>
      </c>
      <c r="G318">
        <v>2.19</v>
      </c>
      <c r="H318">
        <v>2.2200000000000002</v>
      </c>
      <c r="I318">
        <v>85.61</v>
      </c>
      <c r="J318">
        <v>56.55</v>
      </c>
      <c r="K318">
        <v>71.08</v>
      </c>
      <c r="L318">
        <v>20</v>
      </c>
      <c r="M318">
        <v>73.31</v>
      </c>
      <c r="N318">
        <v>65.77</v>
      </c>
      <c r="O318">
        <v>69.08</v>
      </c>
    </row>
    <row r="319" spans="1:15" x14ac:dyDescent="0.35">
      <c r="A319" t="s">
        <v>339</v>
      </c>
      <c r="B319">
        <v>7.6</v>
      </c>
      <c r="C319">
        <v>6.96</v>
      </c>
      <c r="D319">
        <v>12.7</v>
      </c>
      <c r="E319">
        <v>13.46</v>
      </c>
      <c r="F319">
        <v>6.91</v>
      </c>
      <c r="G319">
        <v>6.56</v>
      </c>
      <c r="H319">
        <v>6.78</v>
      </c>
      <c r="I319">
        <v>88.88</v>
      </c>
      <c r="J319">
        <v>56.54</v>
      </c>
      <c r="K319">
        <v>72.709999999999994</v>
      </c>
      <c r="L319" t="e">
        <v>#N/A</v>
      </c>
      <c r="M319">
        <v>73.11</v>
      </c>
      <c r="N319">
        <v>65.09</v>
      </c>
      <c r="O319">
        <v>68.56</v>
      </c>
    </row>
    <row r="320" spans="1:15" x14ac:dyDescent="0.35">
      <c r="A320" t="s">
        <v>340</v>
      </c>
      <c r="B320">
        <v>7.95</v>
      </c>
      <c r="C320">
        <v>7.17</v>
      </c>
      <c r="D320">
        <v>11.88</v>
      </c>
      <c r="E320">
        <v>11.98</v>
      </c>
      <c r="F320">
        <v>3.96</v>
      </c>
      <c r="G320">
        <v>3.27</v>
      </c>
      <c r="H320">
        <v>3.71</v>
      </c>
      <c r="I320">
        <v>87.44</v>
      </c>
      <c r="J320">
        <v>54.67</v>
      </c>
      <c r="K320">
        <v>71.055000000000007</v>
      </c>
      <c r="L320">
        <v>10</v>
      </c>
      <c r="M320">
        <v>73.260000000000005</v>
      </c>
      <c r="N320">
        <v>60.83</v>
      </c>
      <c r="O320">
        <v>68.430000000000007</v>
      </c>
    </row>
    <row r="321" spans="1:15" x14ac:dyDescent="0.35">
      <c r="A321" t="s">
        <v>341</v>
      </c>
      <c r="B321">
        <v>8.1199999999999992</v>
      </c>
      <c r="C321">
        <v>7.63</v>
      </c>
      <c r="D321">
        <v>12.03</v>
      </c>
      <c r="E321">
        <v>11.89</v>
      </c>
      <c r="F321">
        <v>6.33</v>
      </c>
      <c r="G321">
        <v>6.44</v>
      </c>
      <c r="H321">
        <v>6.36</v>
      </c>
      <c r="I321">
        <v>89.57</v>
      </c>
      <c r="J321">
        <v>41.81</v>
      </c>
      <c r="K321">
        <v>65.69</v>
      </c>
      <c r="L321">
        <v>6.67</v>
      </c>
      <c r="M321">
        <v>73.510000000000005</v>
      </c>
      <c r="N321">
        <v>65.87</v>
      </c>
      <c r="O321">
        <v>69.42</v>
      </c>
    </row>
    <row r="322" spans="1:15" x14ac:dyDescent="0.35">
      <c r="A322" t="s">
        <v>342</v>
      </c>
      <c r="B322">
        <v>7.99</v>
      </c>
      <c r="C322">
        <v>7.2</v>
      </c>
      <c r="D322">
        <v>11.99</v>
      </c>
      <c r="E322">
        <v>12.66</v>
      </c>
      <c r="F322">
        <v>3.33</v>
      </c>
      <c r="G322">
        <v>2.15</v>
      </c>
      <c r="H322">
        <v>2.85</v>
      </c>
      <c r="I322">
        <v>85.87</v>
      </c>
      <c r="J322">
        <v>63.22</v>
      </c>
      <c r="K322">
        <v>74.545000000000002</v>
      </c>
      <c r="L322">
        <v>10</v>
      </c>
      <c r="M322">
        <v>73.41</v>
      </c>
      <c r="N322">
        <v>64.64</v>
      </c>
      <c r="O322">
        <v>69.42</v>
      </c>
    </row>
    <row r="323" spans="1:15" x14ac:dyDescent="0.35">
      <c r="A323" t="s">
        <v>343</v>
      </c>
      <c r="B323">
        <v>8.42</v>
      </c>
      <c r="C323">
        <v>7.76</v>
      </c>
      <c r="D323">
        <v>12.75</v>
      </c>
      <c r="E323">
        <v>12.23</v>
      </c>
      <c r="F323">
        <v>2.2999999999999998</v>
      </c>
      <c r="G323">
        <v>2.0099999999999998</v>
      </c>
      <c r="H323">
        <v>2.1800000000000002</v>
      </c>
      <c r="I323">
        <v>86.15</v>
      </c>
      <c r="J323">
        <v>65.25</v>
      </c>
      <c r="K323">
        <v>75.7</v>
      </c>
      <c r="L323">
        <v>6.67</v>
      </c>
      <c r="M323">
        <v>73.48</v>
      </c>
      <c r="N323">
        <v>63.8</v>
      </c>
      <c r="O323">
        <v>68.58</v>
      </c>
    </row>
    <row r="324" spans="1:15" x14ac:dyDescent="0.35">
      <c r="A324" t="s">
        <v>344</v>
      </c>
      <c r="B324">
        <v>7.83</v>
      </c>
      <c r="C324">
        <v>6.6</v>
      </c>
      <c r="D324">
        <v>11.65</v>
      </c>
      <c r="E324">
        <v>12.42</v>
      </c>
      <c r="F324">
        <v>2.35</v>
      </c>
      <c r="G324">
        <v>2.0699999999999998</v>
      </c>
      <c r="H324">
        <v>2.2400000000000002</v>
      </c>
      <c r="I324">
        <v>90.71</v>
      </c>
      <c r="J324">
        <v>61.41</v>
      </c>
      <c r="K324">
        <v>76.06</v>
      </c>
      <c r="L324">
        <v>0</v>
      </c>
      <c r="M324">
        <v>72.209999999999994</v>
      </c>
      <c r="N324">
        <v>60.75</v>
      </c>
      <c r="O324">
        <v>67.25</v>
      </c>
    </row>
    <row r="325" spans="1:15" x14ac:dyDescent="0.35">
      <c r="A325" t="s">
        <v>345</v>
      </c>
      <c r="B325">
        <v>8.1</v>
      </c>
      <c r="C325">
        <v>7.36</v>
      </c>
      <c r="D325">
        <v>11.27</v>
      </c>
      <c r="E325">
        <v>11.52</v>
      </c>
      <c r="F325">
        <v>2.48</v>
      </c>
      <c r="G325">
        <v>2.2999999999999998</v>
      </c>
      <c r="H325">
        <v>2.41</v>
      </c>
      <c r="I325">
        <v>88.96</v>
      </c>
      <c r="J325">
        <v>60.51</v>
      </c>
      <c r="K325">
        <v>74.734999999999999</v>
      </c>
      <c r="L325">
        <v>20</v>
      </c>
      <c r="M325">
        <v>73.91</v>
      </c>
      <c r="N325">
        <v>60.53</v>
      </c>
      <c r="O325">
        <v>68.66</v>
      </c>
    </row>
    <row r="326" spans="1:15" x14ac:dyDescent="0.35">
      <c r="A326" t="s">
        <v>346</v>
      </c>
      <c r="B326">
        <v>7.05</v>
      </c>
      <c r="C326">
        <v>6.01</v>
      </c>
      <c r="D326">
        <v>12.24</v>
      </c>
      <c r="E326">
        <v>12.19</v>
      </c>
      <c r="F326">
        <v>3.14</v>
      </c>
      <c r="G326">
        <v>2.83</v>
      </c>
      <c r="H326">
        <v>3.02</v>
      </c>
      <c r="I326">
        <v>86.82</v>
      </c>
      <c r="J326">
        <v>55.67</v>
      </c>
      <c r="K326">
        <v>71.245000000000005</v>
      </c>
      <c r="L326">
        <v>4</v>
      </c>
      <c r="M326">
        <v>70.12</v>
      </c>
      <c r="N326">
        <v>61</v>
      </c>
      <c r="O326">
        <v>65.739999999999995</v>
      </c>
    </row>
    <row r="327" spans="1:15" x14ac:dyDescent="0.35">
      <c r="A327" t="s">
        <v>347</v>
      </c>
      <c r="B327">
        <v>7.77</v>
      </c>
      <c r="C327">
        <v>6.86</v>
      </c>
      <c r="D327">
        <v>13.87</v>
      </c>
      <c r="E327">
        <v>14.32</v>
      </c>
      <c r="F327">
        <v>6.77</v>
      </c>
      <c r="G327">
        <v>6.63</v>
      </c>
      <c r="H327">
        <v>6.73</v>
      </c>
      <c r="I327">
        <v>87.66</v>
      </c>
      <c r="J327">
        <v>43.07</v>
      </c>
      <c r="K327">
        <v>65.364999999999995</v>
      </c>
      <c r="L327">
        <v>13.33</v>
      </c>
      <c r="M327">
        <v>75.63</v>
      </c>
      <c r="N327">
        <v>64.8</v>
      </c>
      <c r="O327">
        <v>70.25</v>
      </c>
    </row>
    <row r="328" spans="1:15" x14ac:dyDescent="0.35">
      <c r="A328" t="s">
        <v>348</v>
      </c>
      <c r="B328">
        <v>10.73</v>
      </c>
      <c r="C328">
        <v>10.17</v>
      </c>
      <c r="D328">
        <v>15.32</v>
      </c>
      <c r="E328">
        <v>15.05</v>
      </c>
      <c r="F328">
        <v>8.61</v>
      </c>
      <c r="G328">
        <v>7.81</v>
      </c>
      <c r="H328">
        <v>8.2899999999999991</v>
      </c>
      <c r="I328">
        <v>78.59</v>
      </c>
      <c r="J328">
        <v>50.68</v>
      </c>
      <c r="K328">
        <v>64.635000000000005</v>
      </c>
      <c r="L328">
        <v>20</v>
      </c>
      <c r="M328">
        <v>85.14</v>
      </c>
      <c r="N328">
        <v>80.709999999999994</v>
      </c>
      <c r="O328">
        <v>81.569999999999993</v>
      </c>
    </row>
    <row r="329" spans="1:15" x14ac:dyDescent="0.35">
      <c r="A329" t="s">
        <v>349</v>
      </c>
      <c r="B329">
        <v>8.35</v>
      </c>
      <c r="C329">
        <v>8.07</v>
      </c>
      <c r="D329">
        <v>12.91</v>
      </c>
      <c r="E329">
        <v>13.34</v>
      </c>
      <c r="F329">
        <v>8.2899999999999991</v>
      </c>
      <c r="G329">
        <v>7.3</v>
      </c>
      <c r="H329">
        <v>7.92</v>
      </c>
      <c r="I329">
        <v>81.13</v>
      </c>
      <c r="J329">
        <v>50.46</v>
      </c>
      <c r="K329">
        <v>65.795000000000002</v>
      </c>
      <c r="L329">
        <v>16.670000000000002</v>
      </c>
      <c r="M329">
        <v>77.41</v>
      </c>
      <c r="N329">
        <v>72.11</v>
      </c>
      <c r="O329">
        <v>73.87</v>
      </c>
    </row>
    <row r="330" spans="1:15" x14ac:dyDescent="0.35">
      <c r="A330" t="s">
        <v>351</v>
      </c>
      <c r="B330">
        <v>8.98</v>
      </c>
      <c r="C330">
        <v>8.49</v>
      </c>
      <c r="D330">
        <v>12.9</v>
      </c>
      <c r="E330">
        <v>12.77</v>
      </c>
      <c r="F330">
        <v>4.3899999999999997</v>
      </c>
      <c r="G330">
        <v>4.47</v>
      </c>
      <c r="H330">
        <v>4.42</v>
      </c>
      <c r="I330">
        <v>88.89</v>
      </c>
      <c r="J330">
        <v>47.87</v>
      </c>
      <c r="K330">
        <v>68.38</v>
      </c>
      <c r="L330">
        <v>20</v>
      </c>
      <c r="M330">
        <v>78.53</v>
      </c>
      <c r="N330">
        <v>72.5</v>
      </c>
      <c r="O330">
        <v>74.44</v>
      </c>
    </row>
    <row r="331" spans="1:15" x14ac:dyDescent="0.35">
      <c r="A331" t="s">
        <v>352</v>
      </c>
      <c r="B331">
        <v>8.57</v>
      </c>
      <c r="C331">
        <v>7.74</v>
      </c>
      <c r="D331">
        <v>12.94</v>
      </c>
      <c r="E331">
        <v>12.89</v>
      </c>
      <c r="F331">
        <v>1.48</v>
      </c>
      <c r="G331">
        <v>11.74</v>
      </c>
      <c r="H331">
        <v>4.63</v>
      </c>
      <c r="I331">
        <v>85.63</v>
      </c>
      <c r="J331">
        <v>40.770000000000003</v>
      </c>
      <c r="K331">
        <v>63.2</v>
      </c>
      <c r="L331">
        <v>17.95</v>
      </c>
      <c r="M331">
        <v>77.400000000000006</v>
      </c>
      <c r="N331">
        <v>68.55</v>
      </c>
      <c r="O331">
        <v>72.66</v>
      </c>
    </row>
    <row r="332" spans="1:15" x14ac:dyDescent="0.35">
      <c r="A332" t="s">
        <v>353</v>
      </c>
      <c r="B332">
        <v>8.1999999999999993</v>
      </c>
      <c r="C332">
        <v>7.79</v>
      </c>
      <c r="D332">
        <v>12.95</v>
      </c>
      <c r="E332">
        <v>13.24</v>
      </c>
      <c r="F332">
        <v>4.1100000000000003</v>
      </c>
      <c r="G332">
        <v>2.74</v>
      </c>
      <c r="H332">
        <v>3.61</v>
      </c>
      <c r="I332">
        <v>88.1</v>
      </c>
      <c r="J332">
        <v>53.9</v>
      </c>
      <c r="K332">
        <v>71</v>
      </c>
      <c r="L332">
        <v>25</v>
      </c>
      <c r="M332">
        <v>73.66</v>
      </c>
      <c r="N332">
        <v>70.48</v>
      </c>
      <c r="O332">
        <v>71.319999999999993</v>
      </c>
    </row>
    <row r="333" spans="1:15" x14ac:dyDescent="0.35">
      <c r="A333" t="s">
        <v>354</v>
      </c>
      <c r="B333">
        <v>9.64</v>
      </c>
      <c r="C333">
        <v>8.92</v>
      </c>
      <c r="D333">
        <v>12.99</v>
      </c>
      <c r="E333">
        <v>13.17</v>
      </c>
      <c r="F333">
        <v>4.97</v>
      </c>
      <c r="G333">
        <v>2.69</v>
      </c>
      <c r="H333">
        <v>4.12</v>
      </c>
      <c r="I333">
        <v>84.54</v>
      </c>
      <c r="J333">
        <v>52.58</v>
      </c>
      <c r="K333">
        <v>68.56</v>
      </c>
      <c r="L333">
        <v>52</v>
      </c>
      <c r="M333">
        <v>76.17</v>
      </c>
      <c r="N333">
        <v>70.540000000000006</v>
      </c>
      <c r="O333">
        <v>72.36</v>
      </c>
    </row>
    <row r="334" spans="1:15" x14ac:dyDescent="0.35">
      <c r="A334" t="s">
        <v>355</v>
      </c>
      <c r="B334">
        <v>9.1199999999999992</v>
      </c>
      <c r="C334">
        <v>8.6199999999999992</v>
      </c>
      <c r="D334">
        <v>13.2</v>
      </c>
      <c r="E334">
        <v>12.36</v>
      </c>
      <c r="F334">
        <v>2.73</v>
      </c>
      <c r="G334">
        <v>7.98</v>
      </c>
      <c r="H334">
        <v>4.71</v>
      </c>
      <c r="I334">
        <v>84.87</v>
      </c>
      <c r="J334">
        <v>55.61</v>
      </c>
      <c r="K334">
        <v>70.240000000000009</v>
      </c>
      <c r="L334">
        <v>36</v>
      </c>
      <c r="M334">
        <v>77.06</v>
      </c>
      <c r="N334">
        <v>67.78</v>
      </c>
      <c r="O334">
        <v>72.31</v>
      </c>
    </row>
    <row r="335" spans="1:15" x14ac:dyDescent="0.35">
      <c r="A335" t="s">
        <v>356</v>
      </c>
      <c r="B335">
        <v>8.61</v>
      </c>
      <c r="C335">
        <v>7.89</v>
      </c>
      <c r="D335">
        <v>12.46</v>
      </c>
      <c r="E335">
        <v>12.17</v>
      </c>
      <c r="F335">
        <v>2.81</v>
      </c>
      <c r="G335">
        <v>8.86</v>
      </c>
      <c r="H335">
        <v>4.95</v>
      </c>
      <c r="I335">
        <v>85.39</v>
      </c>
      <c r="J335">
        <v>52.27</v>
      </c>
      <c r="K335">
        <v>68.83</v>
      </c>
      <c r="L335">
        <v>20</v>
      </c>
      <c r="M335">
        <v>73.83</v>
      </c>
      <c r="N335">
        <v>67.930000000000007</v>
      </c>
      <c r="O335">
        <v>69.849999999999994</v>
      </c>
    </row>
    <row r="336" spans="1:15" x14ac:dyDescent="0.35">
      <c r="A336" t="s">
        <v>357</v>
      </c>
      <c r="B336">
        <v>9.0299999999999994</v>
      </c>
      <c r="C336">
        <v>8.42</v>
      </c>
      <c r="D336">
        <v>12.22</v>
      </c>
      <c r="E336">
        <v>12.55</v>
      </c>
      <c r="F336">
        <v>2.09</v>
      </c>
      <c r="G336">
        <v>5.24</v>
      </c>
      <c r="H336">
        <v>3.17</v>
      </c>
      <c r="I336">
        <v>87.99</v>
      </c>
      <c r="J336">
        <v>53.78</v>
      </c>
      <c r="K336">
        <v>70.884999999999991</v>
      </c>
      <c r="L336">
        <v>33.33</v>
      </c>
      <c r="M336">
        <v>75.650000000000006</v>
      </c>
      <c r="N336">
        <v>69.599999999999994</v>
      </c>
      <c r="O336">
        <v>72.25</v>
      </c>
    </row>
    <row r="337" spans="1:15" x14ac:dyDescent="0.35">
      <c r="A337" t="s">
        <v>358</v>
      </c>
      <c r="B337">
        <v>8.44</v>
      </c>
      <c r="C337">
        <v>7.64</v>
      </c>
      <c r="D337">
        <v>11.92</v>
      </c>
      <c r="E337">
        <v>12.36</v>
      </c>
      <c r="F337">
        <v>2.61</v>
      </c>
      <c r="G337">
        <v>5.31</v>
      </c>
      <c r="H337">
        <v>3.47</v>
      </c>
      <c r="I337">
        <v>89.33</v>
      </c>
      <c r="J337">
        <v>48.06</v>
      </c>
      <c r="K337">
        <v>68.694999999999993</v>
      </c>
      <c r="L337">
        <v>12</v>
      </c>
      <c r="M337">
        <v>73.53</v>
      </c>
      <c r="N337">
        <v>65.81</v>
      </c>
      <c r="O337">
        <v>69.05</v>
      </c>
    </row>
    <row r="338" spans="1:15" x14ac:dyDescent="0.35">
      <c r="A338" t="s">
        <v>359</v>
      </c>
      <c r="B338">
        <v>9.0299999999999994</v>
      </c>
      <c r="C338">
        <v>8.93</v>
      </c>
      <c r="D338">
        <v>12.79</v>
      </c>
      <c r="E338">
        <v>13.16</v>
      </c>
      <c r="F338">
        <v>3.62</v>
      </c>
      <c r="G338">
        <v>7.32</v>
      </c>
      <c r="H338">
        <v>4.88</v>
      </c>
      <c r="I338">
        <v>85.96</v>
      </c>
      <c r="J338">
        <v>47.82</v>
      </c>
      <c r="K338">
        <v>66.89</v>
      </c>
      <c r="L338">
        <v>8</v>
      </c>
      <c r="M338">
        <v>74.760000000000005</v>
      </c>
      <c r="N338">
        <v>64.89</v>
      </c>
      <c r="O338">
        <v>70.7</v>
      </c>
    </row>
    <row r="339" spans="1:15" x14ac:dyDescent="0.35">
      <c r="A339" t="s">
        <v>360</v>
      </c>
      <c r="B339">
        <v>8.6300000000000008</v>
      </c>
      <c r="C339">
        <v>8.2799999999999994</v>
      </c>
      <c r="D339">
        <v>12.49</v>
      </c>
      <c r="E339">
        <v>12.97</v>
      </c>
      <c r="F339">
        <v>1.37</v>
      </c>
      <c r="G339">
        <v>3.15</v>
      </c>
      <c r="H339">
        <v>1.99</v>
      </c>
      <c r="I339">
        <v>90.03</v>
      </c>
      <c r="J339">
        <v>53.13</v>
      </c>
      <c r="K339">
        <v>71.58</v>
      </c>
      <c r="L339">
        <v>24</v>
      </c>
      <c r="M339">
        <v>73.81</v>
      </c>
      <c r="N339">
        <v>68.09</v>
      </c>
      <c r="O339">
        <v>70.27</v>
      </c>
    </row>
    <row r="340" spans="1:15" x14ac:dyDescent="0.35">
      <c r="A340" t="s">
        <v>361</v>
      </c>
      <c r="B340">
        <v>9.43</v>
      </c>
      <c r="C340">
        <v>9.2799999999999994</v>
      </c>
      <c r="D340">
        <v>11.92</v>
      </c>
      <c r="E340">
        <v>12.74</v>
      </c>
      <c r="F340">
        <v>2.36</v>
      </c>
      <c r="G340">
        <v>4.6900000000000004</v>
      </c>
      <c r="H340">
        <v>3.12</v>
      </c>
      <c r="I340">
        <v>87.72</v>
      </c>
      <c r="J340">
        <v>47.35</v>
      </c>
      <c r="K340">
        <v>67.534999999999997</v>
      </c>
      <c r="L340">
        <v>40</v>
      </c>
      <c r="M340">
        <v>76.099999999999994</v>
      </c>
      <c r="N340">
        <v>70.319999999999993</v>
      </c>
      <c r="O340">
        <v>72.73</v>
      </c>
    </row>
    <row r="341" spans="1:15" x14ac:dyDescent="0.35">
      <c r="A341" t="s">
        <v>362</v>
      </c>
      <c r="B341">
        <v>9.93</v>
      </c>
      <c r="C341">
        <v>9.39</v>
      </c>
      <c r="D341">
        <v>13.18</v>
      </c>
      <c r="E341">
        <v>12.41</v>
      </c>
      <c r="F341">
        <v>3.71</v>
      </c>
      <c r="G341">
        <v>2.65</v>
      </c>
      <c r="H341">
        <v>3.26</v>
      </c>
      <c r="I341">
        <v>87.71</v>
      </c>
      <c r="J341">
        <v>68.91</v>
      </c>
      <c r="K341">
        <v>78.31</v>
      </c>
      <c r="L341">
        <v>30.43</v>
      </c>
      <c r="M341">
        <v>77.84</v>
      </c>
      <c r="N341">
        <v>69.66</v>
      </c>
      <c r="O341">
        <v>73.260000000000005</v>
      </c>
    </row>
    <row r="342" spans="1:15" x14ac:dyDescent="0.35">
      <c r="A342" t="s">
        <v>363</v>
      </c>
      <c r="B342">
        <v>8.49</v>
      </c>
      <c r="C342">
        <v>7.82</v>
      </c>
      <c r="D342">
        <v>12.14</v>
      </c>
      <c r="E342">
        <v>12.04</v>
      </c>
      <c r="F342">
        <v>2.4700000000000002</v>
      </c>
      <c r="G342">
        <v>3.91</v>
      </c>
      <c r="H342">
        <v>2.9</v>
      </c>
      <c r="I342">
        <v>82.49</v>
      </c>
      <c r="J342">
        <v>37.92</v>
      </c>
      <c r="K342">
        <v>60.204999999999998</v>
      </c>
      <c r="L342">
        <v>17.39</v>
      </c>
      <c r="M342">
        <v>75.209999999999994</v>
      </c>
      <c r="N342">
        <v>63.7</v>
      </c>
      <c r="O342">
        <v>70.03</v>
      </c>
    </row>
    <row r="343" spans="1:15" x14ac:dyDescent="0.35">
      <c r="A343" t="s">
        <v>364</v>
      </c>
      <c r="B343">
        <v>11.85</v>
      </c>
      <c r="C343">
        <v>11.56</v>
      </c>
      <c r="D343">
        <v>15.13</v>
      </c>
      <c r="E343">
        <v>15.05</v>
      </c>
      <c r="F343">
        <v>5.8</v>
      </c>
      <c r="G343">
        <v>3.73</v>
      </c>
      <c r="H343">
        <v>5.0199999999999996</v>
      </c>
      <c r="I343">
        <v>82.15</v>
      </c>
      <c r="J343">
        <v>49.37</v>
      </c>
      <c r="K343">
        <v>65.760000000000005</v>
      </c>
      <c r="L343">
        <v>16.670000000000002</v>
      </c>
      <c r="M343">
        <v>85.39</v>
      </c>
      <c r="N343">
        <v>81.709999999999994</v>
      </c>
      <c r="O343">
        <v>82.2</v>
      </c>
    </row>
    <row r="344" spans="1:15" x14ac:dyDescent="0.35">
      <c r="A344" t="s">
        <v>366</v>
      </c>
      <c r="B344">
        <v>8.3800000000000008</v>
      </c>
      <c r="C344">
        <v>7.47</v>
      </c>
      <c r="D344">
        <v>12.64</v>
      </c>
      <c r="E344">
        <v>12.42</v>
      </c>
      <c r="F344">
        <v>3.54</v>
      </c>
      <c r="G344">
        <v>3.26</v>
      </c>
      <c r="H344">
        <v>3.43</v>
      </c>
      <c r="I344">
        <v>88.96</v>
      </c>
      <c r="J344">
        <v>56.4</v>
      </c>
      <c r="K344">
        <v>72.679999999999993</v>
      </c>
      <c r="L344">
        <v>34.29</v>
      </c>
      <c r="M344">
        <v>76.180000000000007</v>
      </c>
      <c r="N344">
        <v>66.87</v>
      </c>
      <c r="O344">
        <v>71.430000000000007</v>
      </c>
    </row>
    <row r="345" spans="1:15" x14ac:dyDescent="0.35">
      <c r="A345" t="s">
        <v>367</v>
      </c>
      <c r="B345">
        <v>8.1</v>
      </c>
      <c r="C345">
        <v>7.24</v>
      </c>
      <c r="D345">
        <v>12.08</v>
      </c>
      <c r="E345">
        <v>12.27</v>
      </c>
      <c r="F345">
        <v>6.16</v>
      </c>
      <c r="G345">
        <v>5.81</v>
      </c>
      <c r="H345">
        <v>6.05</v>
      </c>
      <c r="I345">
        <v>85.02</v>
      </c>
      <c r="J345">
        <v>45.25</v>
      </c>
      <c r="K345">
        <v>65.134999999999991</v>
      </c>
      <c r="L345">
        <v>28.57</v>
      </c>
      <c r="M345">
        <v>75.319999999999993</v>
      </c>
      <c r="N345">
        <v>64.150000000000006</v>
      </c>
      <c r="O345">
        <v>70.61</v>
      </c>
    </row>
    <row r="346" spans="1:15" x14ac:dyDescent="0.35">
      <c r="A346" t="s">
        <v>368</v>
      </c>
      <c r="B346">
        <v>8.2899999999999991</v>
      </c>
      <c r="C346">
        <v>7.59</v>
      </c>
      <c r="D346">
        <v>13.02</v>
      </c>
      <c r="E346">
        <v>13.28</v>
      </c>
      <c r="F346">
        <v>2.5299999999999998</v>
      </c>
      <c r="G346">
        <v>2.99</v>
      </c>
      <c r="H346">
        <v>2.71</v>
      </c>
      <c r="I346">
        <v>86.42</v>
      </c>
      <c r="J346">
        <v>55.45</v>
      </c>
      <c r="K346">
        <v>70.935000000000002</v>
      </c>
      <c r="L346">
        <v>22.22</v>
      </c>
      <c r="M346">
        <v>75.97</v>
      </c>
      <c r="N346">
        <v>70.290000000000006</v>
      </c>
      <c r="O346">
        <v>71.87</v>
      </c>
    </row>
    <row r="347" spans="1:15" x14ac:dyDescent="0.35">
      <c r="A347" t="s">
        <v>369</v>
      </c>
      <c r="B347">
        <v>8.19</v>
      </c>
      <c r="C347">
        <v>7.55</v>
      </c>
      <c r="D347">
        <v>12.67</v>
      </c>
      <c r="E347">
        <v>12.56</v>
      </c>
      <c r="F347">
        <v>3.42</v>
      </c>
      <c r="G347">
        <v>3.4</v>
      </c>
      <c r="H347">
        <v>3.41</v>
      </c>
      <c r="I347">
        <v>88.92</v>
      </c>
      <c r="J347">
        <v>57.66</v>
      </c>
      <c r="K347">
        <v>73.289999999999992</v>
      </c>
      <c r="L347">
        <v>22.86</v>
      </c>
      <c r="M347">
        <v>72.94</v>
      </c>
      <c r="N347">
        <v>65.760000000000005</v>
      </c>
      <c r="O347">
        <v>68.84</v>
      </c>
    </row>
    <row r="348" spans="1:15" x14ac:dyDescent="0.35">
      <c r="A348" t="s">
        <v>370</v>
      </c>
      <c r="B348">
        <v>8.69</v>
      </c>
      <c r="C348">
        <v>7.76</v>
      </c>
      <c r="D348">
        <v>12.19</v>
      </c>
      <c r="E348">
        <v>12.34</v>
      </c>
      <c r="F348">
        <v>4.6900000000000004</v>
      </c>
      <c r="G348">
        <v>2.5499999999999998</v>
      </c>
      <c r="H348">
        <v>3.86</v>
      </c>
      <c r="I348">
        <v>83.28</v>
      </c>
      <c r="J348">
        <v>53.03</v>
      </c>
      <c r="K348">
        <v>68.155000000000001</v>
      </c>
      <c r="L348">
        <v>8</v>
      </c>
      <c r="M348">
        <v>77.02</v>
      </c>
      <c r="N348">
        <v>65.77</v>
      </c>
      <c r="O348">
        <v>72.510000000000005</v>
      </c>
    </row>
    <row r="349" spans="1:15" x14ac:dyDescent="0.35">
      <c r="A349" t="s">
        <v>371</v>
      </c>
      <c r="B349">
        <v>8.36</v>
      </c>
      <c r="C349">
        <v>8.0299999999999994</v>
      </c>
      <c r="D349">
        <v>12.44</v>
      </c>
      <c r="E349">
        <v>12.95</v>
      </c>
      <c r="F349">
        <v>2.19</v>
      </c>
      <c r="G349">
        <v>2.0099999999999998</v>
      </c>
      <c r="H349">
        <v>2.11</v>
      </c>
      <c r="I349">
        <v>87.24</v>
      </c>
      <c r="J349">
        <v>64.319999999999993</v>
      </c>
      <c r="K349">
        <v>75.78</v>
      </c>
      <c r="L349">
        <v>17.239999999999998</v>
      </c>
      <c r="M349">
        <v>75.069999999999993</v>
      </c>
      <c r="N349">
        <v>67.62</v>
      </c>
      <c r="O349">
        <v>71.209999999999994</v>
      </c>
    </row>
    <row r="350" spans="1:15" x14ac:dyDescent="0.35">
      <c r="A350" t="s">
        <v>372</v>
      </c>
      <c r="B350">
        <v>8.74</v>
      </c>
      <c r="C350">
        <v>8.11</v>
      </c>
      <c r="D350">
        <v>12.48</v>
      </c>
      <c r="E350">
        <v>12.25</v>
      </c>
      <c r="F350">
        <v>3.53</v>
      </c>
      <c r="G350">
        <v>2.76</v>
      </c>
      <c r="H350">
        <v>3.2</v>
      </c>
      <c r="I350">
        <v>85.5</v>
      </c>
      <c r="J350">
        <v>63.51</v>
      </c>
      <c r="K350">
        <v>74.504999999999995</v>
      </c>
      <c r="L350">
        <v>13.33</v>
      </c>
      <c r="M350">
        <v>72.58</v>
      </c>
      <c r="N350">
        <v>69.81</v>
      </c>
      <c r="O350">
        <v>70.69</v>
      </c>
    </row>
    <row r="351" spans="1:15" x14ac:dyDescent="0.35">
      <c r="A351" t="s">
        <v>373</v>
      </c>
      <c r="B351">
        <v>8.41</v>
      </c>
      <c r="C351">
        <v>7.52</v>
      </c>
      <c r="D351">
        <v>13.21</v>
      </c>
      <c r="E351">
        <v>13.59</v>
      </c>
      <c r="F351">
        <v>3.89</v>
      </c>
      <c r="G351">
        <v>3.51</v>
      </c>
      <c r="H351">
        <v>3.73</v>
      </c>
      <c r="I351">
        <v>84.75</v>
      </c>
      <c r="J351">
        <v>63.09</v>
      </c>
      <c r="K351">
        <v>73.92</v>
      </c>
      <c r="L351">
        <v>23.33</v>
      </c>
      <c r="M351">
        <v>72.709999999999994</v>
      </c>
      <c r="N351">
        <v>66.739999999999995</v>
      </c>
      <c r="O351">
        <v>68.28</v>
      </c>
    </row>
    <row r="352" spans="1:15" x14ac:dyDescent="0.35">
      <c r="A352" t="s">
        <v>374</v>
      </c>
      <c r="B352">
        <v>9.61</v>
      </c>
      <c r="C352">
        <v>8.82</v>
      </c>
      <c r="D352">
        <v>12.88</v>
      </c>
      <c r="E352">
        <v>13.47</v>
      </c>
      <c r="F352">
        <v>4.0999999999999996</v>
      </c>
      <c r="G352">
        <v>2.54</v>
      </c>
      <c r="H352">
        <v>3.44</v>
      </c>
      <c r="I352">
        <v>85.03</v>
      </c>
      <c r="J352">
        <v>63.08</v>
      </c>
      <c r="K352">
        <v>74.055000000000007</v>
      </c>
      <c r="L352">
        <v>26.67</v>
      </c>
      <c r="M352">
        <v>79.37</v>
      </c>
      <c r="N352">
        <v>68.92</v>
      </c>
      <c r="O352">
        <v>74.41</v>
      </c>
    </row>
    <row r="353" spans="1:15" x14ac:dyDescent="0.35">
      <c r="A353" t="s">
        <v>375</v>
      </c>
      <c r="B353">
        <v>8.9</v>
      </c>
      <c r="C353">
        <v>8.02</v>
      </c>
      <c r="D353">
        <v>12.74</v>
      </c>
      <c r="E353">
        <v>12.6</v>
      </c>
      <c r="F353">
        <v>6.38</v>
      </c>
      <c r="G353">
        <v>6.36</v>
      </c>
      <c r="H353">
        <v>6.37</v>
      </c>
      <c r="I353">
        <v>87.02</v>
      </c>
      <c r="J353">
        <v>46.8</v>
      </c>
      <c r="K353">
        <v>66.91</v>
      </c>
      <c r="L353">
        <v>11.43</v>
      </c>
      <c r="M353">
        <v>78.22</v>
      </c>
      <c r="N353">
        <v>67.14</v>
      </c>
      <c r="O353">
        <v>72.95</v>
      </c>
    </row>
    <row r="354" spans="1:15" x14ac:dyDescent="0.35">
      <c r="A354" t="s">
        <v>376</v>
      </c>
      <c r="B354">
        <v>8.91</v>
      </c>
      <c r="C354">
        <v>7.62</v>
      </c>
      <c r="D354">
        <v>13.09</v>
      </c>
      <c r="E354">
        <v>13.33</v>
      </c>
      <c r="F354">
        <v>3.1</v>
      </c>
      <c r="G354">
        <v>2.15</v>
      </c>
      <c r="H354">
        <v>2.69</v>
      </c>
      <c r="I354">
        <v>86.86</v>
      </c>
      <c r="J354">
        <v>66.81</v>
      </c>
      <c r="K354">
        <v>76.835000000000008</v>
      </c>
      <c r="L354">
        <v>16</v>
      </c>
      <c r="M354">
        <v>75.75</v>
      </c>
      <c r="N354">
        <v>70.41</v>
      </c>
      <c r="O354">
        <v>71.34</v>
      </c>
    </row>
    <row r="355" spans="1:15" x14ac:dyDescent="0.35">
      <c r="A355" t="s">
        <v>377</v>
      </c>
      <c r="B355">
        <v>11.14</v>
      </c>
      <c r="C355">
        <v>9.9700000000000006</v>
      </c>
      <c r="D355">
        <v>13.97</v>
      </c>
      <c r="E355">
        <v>14.26</v>
      </c>
      <c r="F355">
        <v>8.3000000000000007</v>
      </c>
      <c r="G355">
        <v>3.98</v>
      </c>
      <c r="H355">
        <v>6.56</v>
      </c>
      <c r="I355">
        <v>77.16</v>
      </c>
      <c r="J355">
        <v>50.93</v>
      </c>
      <c r="K355">
        <v>64.045000000000002</v>
      </c>
      <c r="L355">
        <v>26.67</v>
      </c>
      <c r="M355">
        <v>82.45</v>
      </c>
      <c r="N355">
        <v>77.86</v>
      </c>
      <c r="O355">
        <v>79.05</v>
      </c>
    </row>
    <row r="356" spans="1:15" x14ac:dyDescent="0.35">
      <c r="A356" t="s">
        <v>378</v>
      </c>
      <c r="B356">
        <v>11.44</v>
      </c>
      <c r="C356">
        <v>10.8</v>
      </c>
      <c r="D356">
        <v>15.74</v>
      </c>
      <c r="E356">
        <v>14.86</v>
      </c>
      <c r="F356">
        <v>4.08</v>
      </c>
      <c r="G356">
        <v>6.25</v>
      </c>
      <c r="H356">
        <v>4.93</v>
      </c>
      <c r="I356">
        <v>81.87</v>
      </c>
      <c r="J356">
        <v>52.65</v>
      </c>
      <c r="K356">
        <v>67.260000000000005</v>
      </c>
      <c r="L356">
        <v>26.67</v>
      </c>
      <c r="M356">
        <v>85.55</v>
      </c>
      <c r="N356">
        <v>79.569999999999993</v>
      </c>
      <c r="O356">
        <v>80.510000000000005</v>
      </c>
    </row>
    <row r="357" spans="1:15" x14ac:dyDescent="0.35">
      <c r="A357" t="s">
        <v>380</v>
      </c>
      <c r="B357">
        <v>9.18</v>
      </c>
      <c r="C357">
        <v>8.76</v>
      </c>
      <c r="D357">
        <v>13.21</v>
      </c>
      <c r="E357">
        <v>13.62</v>
      </c>
      <c r="F357">
        <v>3.23</v>
      </c>
      <c r="G357">
        <v>7.27</v>
      </c>
      <c r="H357">
        <v>4.53</v>
      </c>
      <c r="I357">
        <v>89.43</v>
      </c>
      <c r="J357">
        <v>46.22</v>
      </c>
      <c r="K357">
        <v>67.825000000000003</v>
      </c>
      <c r="L357">
        <v>20</v>
      </c>
      <c r="M357">
        <v>79.56</v>
      </c>
      <c r="N357">
        <v>58.66</v>
      </c>
      <c r="O357">
        <v>74.7</v>
      </c>
    </row>
    <row r="358" spans="1:15" x14ac:dyDescent="0.35">
      <c r="A358" t="s">
        <v>381</v>
      </c>
      <c r="B358">
        <v>9.42</v>
      </c>
      <c r="C358">
        <v>8.5</v>
      </c>
      <c r="D358">
        <v>13.36</v>
      </c>
      <c r="E358">
        <v>13.32</v>
      </c>
      <c r="F358">
        <v>7.18</v>
      </c>
      <c r="G358">
        <v>2.85</v>
      </c>
      <c r="H358">
        <v>5.58</v>
      </c>
      <c r="I358">
        <v>83.77</v>
      </c>
      <c r="J358">
        <v>55.1</v>
      </c>
      <c r="K358">
        <v>69.435000000000002</v>
      </c>
      <c r="L358">
        <v>20</v>
      </c>
      <c r="M358">
        <v>79.33</v>
      </c>
      <c r="N358">
        <v>68.13</v>
      </c>
      <c r="O358">
        <v>74.5</v>
      </c>
    </row>
    <row r="359" spans="1:15" x14ac:dyDescent="0.35">
      <c r="A359" t="s">
        <v>382</v>
      </c>
      <c r="B359">
        <v>9.6199999999999992</v>
      </c>
      <c r="C359">
        <v>8.83</v>
      </c>
      <c r="D359">
        <v>13.59</v>
      </c>
      <c r="E359">
        <v>13.97</v>
      </c>
      <c r="F359">
        <v>3.8</v>
      </c>
      <c r="G359">
        <v>4.75</v>
      </c>
      <c r="H359">
        <v>4.1100000000000003</v>
      </c>
      <c r="I359">
        <v>83.85</v>
      </c>
      <c r="J359">
        <v>44.86</v>
      </c>
      <c r="K359">
        <v>64.35499999999999</v>
      </c>
      <c r="L359">
        <v>26.67</v>
      </c>
      <c r="M359">
        <v>80.87</v>
      </c>
      <c r="N359">
        <v>65.67</v>
      </c>
      <c r="O359">
        <v>75.91</v>
      </c>
    </row>
    <row r="360" spans="1:15" x14ac:dyDescent="0.35">
      <c r="A360" t="s">
        <v>383</v>
      </c>
      <c r="B360">
        <v>9.92</v>
      </c>
      <c r="C360">
        <v>9.01</v>
      </c>
      <c r="D360">
        <v>12.8</v>
      </c>
      <c r="E360">
        <v>13.33</v>
      </c>
      <c r="F360">
        <v>5.0599999999999996</v>
      </c>
      <c r="G360">
        <v>7.39</v>
      </c>
      <c r="H360">
        <v>5.76</v>
      </c>
      <c r="I360">
        <v>86.25</v>
      </c>
      <c r="J360">
        <v>43.71</v>
      </c>
      <c r="K360">
        <v>64.98</v>
      </c>
      <c r="L360">
        <v>15</v>
      </c>
      <c r="M360">
        <v>80.55</v>
      </c>
      <c r="N360">
        <v>63.32</v>
      </c>
      <c r="O360">
        <v>75.53</v>
      </c>
    </row>
    <row r="361" spans="1:15" x14ac:dyDescent="0.35">
      <c r="A361" t="s">
        <v>384</v>
      </c>
      <c r="B361">
        <v>9.94</v>
      </c>
      <c r="C361">
        <v>9.31</v>
      </c>
      <c r="D361">
        <v>13.19</v>
      </c>
      <c r="E361">
        <v>14.26</v>
      </c>
      <c r="F361">
        <v>4.34</v>
      </c>
      <c r="G361">
        <v>6.89</v>
      </c>
      <c r="H361">
        <v>5.15</v>
      </c>
      <c r="I361">
        <v>86.02</v>
      </c>
      <c r="J361">
        <v>46.32</v>
      </c>
      <c r="K361">
        <v>66.17</v>
      </c>
      <c r="L361">
        <v>20</v>
      </c>
      <c r="M361">
        <v>81.17</v>
      </c>
      <c r="N361">
        <v>71.900000000000006</v>
      </c>
      <c r="O361">
        <v>76.66</v>
      </c>
    </row>
    <row r="362" spans="1:15" x14ac:dyDescent="0.35">
      <c r="A362" t="s">
        <v>385</v>
      </c>
      <c r="B362">
        <v>8.86</v>
      </c>
      <c r="C362">
        <v>8.27</v>
      </c>
      <c r="D362">
        <v>12.92</v>
      </c>
      <c r="E362">
        <v>12.76</v>
      </c>
      <c r="F362">
        <v>2.14</v>
      </c>
      <c r="G362">
        <v>1.91</v>
      </c>
      <c r="H362">
        <v>2.0499999999999998</v>
      </c>
      <c r="I362">
        <v>88.5</v>
      </c>
      <c r="J362">
        <v>56.79</v>
      </c>
      <c r="K362">
        <v>72.644999999999996</v>
      </c>
      <c r="L362">
        <v>4</v>
      </c>
      <c r="M362">
        <v>78.31</v>
      </c>
      <c r="N362">
        <v>68.31</v>
      </c>
      <c r="O362">
        <v>73.900000000000006</v>
      </c>
    </row>
    <row r="363" spans="1:15" x14ac:dyDescent="0.35">
      <c r="A363" t="s">
        <v>386</v>
      </c>
      <c r="B363">
        <v>8.9600000000000009</v>
      </c>
      <c r="C363">
        <v>8.4600000000000009</v>
      </c>
      <c r="D363">
        <v>13.2</v>
      </c>
      <c r="E363">
        <v>12.77</v>
      </c>
      <c r="F363">
        <v>2.65</v>
      </c>
      <c r="G363">
        <v>2.2999999999999998</v>
      </c>
      <c r="H363">
        <v>2.5099999999999998</v>
      </c>
      <c r="I363">
        <v>81.17</v>
      </c>
      <c r="J363">
        <v>57.98</v>
      </c>
      <c r="K363">
        <v>69.575000000000003</v>
      </c>
      <c r="L363">
        <v>40</v>
      </c>
      <c r="M363">
        <v>76.06</v>
      </c>
      <c r="N363">
        <v>63.59</v>
      </c>
      <c r="O363">
        <v>70.349999999999994</v>
      </c>
    </row>
    <row r="364" spans="1:15" x14ac:dyDescent="0.35">
      <c r="A364" t="s">
        <v>387</v>
      </c>
      <c r="B364">
        <v>11.44</v>
      </c>
      <c r="C364">
        <v>10.77</v>
      </c>
      <c r="D364">
        <v>14.25</v>
      </c>
      <c r="E364">
        <v>14.44</v>
      </c>
      <c r="F364">
        <v>5.99</v>
      </c>
      <c r="G364">
        <v>6.59</v>
      </c>
      <c r="H364">
        <v>6.22</v>
      </c>
      <c r="I364">
        <v>80.33</v>
      </c>
      <c r="J364">
        <v>52.71</v>
      </c>
      <c r="K364">
        <v>66.52</v>
      </c>
      <c r="L364">
        <v>26.67</v>
      </c>
      <c r="M364">
        <v>87.14</v>
      </c>
      <c r="N364">
        <v>78.72</v>
      </c>
      <c r="O364">
        <v>82.24</v>
      </c>
    </row>
    <row r="365" spans="1:15" x14ac:dyDescent="0.35">
      <c r="A365" t="s">
        <v>388</v>
      </c>
      <c r="B365">
        <v>11.38</v>
      </c>
      <c r="C365">
        <v>10.62</v>
      </c>
      <c r="D365">
        <v>15.21</v>
      </c>
      <c r="E365">
        <v>15.76</v>
      </c>
      <c r="F365">
        <v>5.01</v>
      </c>
      <c r="G365">
        <v>6.97</v>
      </c>
      <c r="H365">
        <v>5.75</v>
      </c>
      <c r="I365">
        <v>80.87</v>
      </c>
      <c r="J365">
        <v>49.7</v>
      </c>
      <c r="K365">
        <v>65.284999999999997</v>
      </c>
      <c r="L365">
        <v>8.89</v>
      </c>
      <c r="M365">
        <v>87.01</v>
      </c>
      <c r="N365">
        <v>78.62</v>
      </c>
      <c r="O365">
        <v>82.81</v>
      </c>
    </row>
    <row r="366" spans="1:15" x14ac:dyDescent="0.35">
      <c r="A366" t="s">
        <v>389</v>
      </c>
      <c r="B366">
        <v>11.19</v>
      </c>
      <c r="C366">
        <v>10.93</v>
      </c>
      <c r="D366">
        <v>13.8</v>
      </c>
      <c r="E366">
        <v>13.52</v>
      </c>
      <c r="F366">
        <v>6.99</v>
      </c>
      <c r="G366">
        <v>7.18</v>
      </c>
      <c r="H366">
        <v>7.06</v>
      </c>
      <c r="I366">
        <v>84.11</v>
      </c>
      <c r="J366">
        <v>50.72</v>
      </c>
      <c r="K366">
        <v>67.414999999999992</v>
      </c>
      <c r="L366">
        <v>4</v>
      </c>
      <c r="M366">
        <v>86.49</v>
      </c>
      <c r="N366">
        <v>76.41</v>
      </c>
      <c r="O366">
        <v>82.42</v>
      </c>
    </row>
    <row r="367" spans="1:15" x14ac:dyDescent="0.35">
      <c r="A367" t="s">
        <v>391</v>
      </c>
      <c r="B367">
        <v>9.85</v>
      </c>
      <c r="C367">
        <v>9.0399999999999991</v>
      </c>
      <c r="D367">
        <v>13.23</v>
      </c>
      <c r="E367">
        <v>13.87</v>
      </c>
      <c r="F367">
        <v>3.59</v>
      </c>
      <c r="G367">
        <v>2.2599999999999998</v>
      </c>
      <c r="H367">
        <v>3.1</v>
      </c>
      <c r="I367">
        <v>86.54</v>
      </c>
      <c r="J367">
        <v>57.83</v>
      </c>
      <c r="K367">
        <v>72.185000000000002</v>
      </c>
      <c r="L367">
        <v>25</v>
      </c>
      <c r="M367">
        <v>78.92</v>
      </c>
      <c r="N367">
        <v>65.55</v>
      </c>
      <c r="O367">
        <v>73.900000000000006</v>
      </c>
    </row>
    <row r="368" spans="1:15" x14ac:dyDescent="0.35">
      <c r="A368" t="s">
        <v>392</v>
      </c>
      <c r="B368">
        <v>9.7899999999999991</v>
      </c>
      <c r="C368">
        <v>8.9499999999999993</v>
      </c>
      <c r="D368">
        <v>13.32</v>
      </c>
      <c r="E368">
        <v>13.24</v>
      </c>
      <c r="F368">
        <v>3.98</v>
      </c>
      <c r="G368">
        <v>4.99</v>
      </c>
      <c r="H368">
        <v>4.33</v>
      </c>
      <c r="I368">
        <v>87.8</v>
      </c>
      <c r="J368">
        <v>53.51</v>
      </c>
      <c r="K368">
        <v>70.655000000000001</v>
      </c>
      <c r="L368">
        <v>8</v>
      </c>
      <c r="M368">
        <v>78.87</v>
      </c>
      <c r="N368">
        <v>67.849999999999994</v>
      </c>
      <c r="O368">
        <v>73.34</v>
      </c>
    </row>
    <row r="369" spans="1:15" x14ac:dyDescent="0.35">
      <c r="A369" t="s">
        <v>393</v>
      </c>
      <c r="B369">
        <v>9.8000000000000007</v>
      </c>
      <c r="C369">
        <v>8.7200000000000006</v>
      </c>
      <c r="D369">
        <v>12.61</v>
      </c>
      <c r="E369">
        <v>12.5</v>
      </c>
      <c r="F369">
        <v>3.81</v>
      </c>
      <c r="G369">
        <v>3.42</v>
      </c>
      <c r="H369">
        <v>3.67</v>
      </c>
      <c r="I369">
        <v>87.49</v>
      </c>
      <c r="J369">
        <v>58.41</v>
      </c>
      <c r="K369">
        <v>72.949999999999989</v>
      </c>
      <c r="L369">
        <v>15</v>
      </c>
      <c r="M369">
        <v>75.52</v>
      </c>
      <c r="N369">
        <v>60.08</v>
      </c>
      <c r="O369">
        <v>70.08</v>
      </c>
    </row>
    <row r="370" spans="1:15" x14ac:dyDescent="0.35">
      <c r="A370" t="s">
        <v>394</v>
      </c>
      <c r="B370">
        <v>8.6300000000000008</v>
      </c>
      <c r="C370">
        <v>8.33</v>
      </c>
      <c r="D370">
        <v>12.68</v>
      </c>
      <c r="E370">
        <v>12.75</v>
      </c>
      <c r="F370">
        <v>2.78</v>
      </c>
      <c r="G370">
        <v>2.59</v>
      </c>
      <c r="H370">
        <v>2.71</v>
      </c>
      <c r="I370">
        <v>90.74</v>
      </c>
      <c r="J370">
        <v>58.03</v>
      </c>
      <c r="K370">
        <v>74.384999999999991</v>
      </c>
      <c r="L370">
        <v>23.33</v>
      </c>
      <c r="M370">
        <v>73.430000000000007</v>
      </c>
      <c r="N370">
        <v>62.05</v>
      </c>
      <c r="O370">
        <v>68.52</v>
      </c>
    </row>
    <row r="371" spans="1:15" x14ac:dyDescent="0.35">
      <c r="A371" t="s">
        <v>395</v>
      </c>
      <c r="B371">
        <v>10.66</v>
      </c>
      <c r="C371">
        <v>10.3</v>
      </c>
      <c r="D371">
        <v>13.57</v>
      </c>
      <c r="E371">
        <v>14.77</v>
      </c>
      <c r="F371">
        <v>5.37</v>
      </c>
      <c r="G371">
        <v>4.59</v>
      </c>
      <c r="H371">
        <v>5.1100000000000003</v>
      </c>
      <c r="I371">
        <v>81.88</v>
      </c>
      <c r="J371">
        <v>44</v>
      </c>
      <c r="K371">
        <v>62.94</v>
      </c>
      <c r="L371">
        <v>20</v>
      </c>
      <c r="M371">
        <v>81.87</v>
      </c>
      <c r="N371">
        <v>75.97</v>
      </c>
      <c r="O371">
        <v>77.959999999999994</v>
      </c>
    </row>
    <row r="372" spans="1:15" x14ac:dyDescent="0.35">
      <c r="A372" t="s">
        <v>397</v>
      </c>
      <c r="B372">
        <v>8.3000000000000007</v>
      </c>
      <c r="C372">
        <v>8.4600000000000009</v>
      </c>
      <c r="D372">
        <v>11.47</v>
      </c>
      <c r="E372">
        <v>12.36</v>
      </c>
      <c r="F372">
        <v>4.08</v>
      </c>
      <c r="G372">
        <v>5.28</v>
      </c>
      <c r="H372">
        <v>4.4800000000000004</v>
      </c>
      <c r="I372">
        <v>86.06</v>
      </c>
      <c r="J372">
        <v>48.52</v>
      </c>
      <c r="K372">
        <v>67.290000000000006</v>
      </c>
      <c r="L372">
        <v>30</v>
      </c>
      <c r="M372">
        <v>73.8</v>
      </c>
      <c r="N372">
        <v>65.77</v>
      </c>
      <c r="O372">
        <v>70.290000000000006</v>
      </c>
    </row>
    <row r="373" spans="1:15" x14ac:dyDescent="0.35">
      <c r="A373" t="s">
        <v>398</v>
      </c>
      <c r="B373">
        <v>10.06</v>
      </c>
      <c r="C373">
        <v>10.41</v>
      </c>
      <c r="D373">
        <v>14.18</v>
      </c>
      <c r="E373">
        <v>14.55</v>
      </c>
      <c r="F373">
        <v>6.86</v>
      </c>
      <c r="G373">
        <v>7.81</v>
      </c>
      <c r="H373">
        <v>7.22</v>
      </c>
      <c r="I373">
        <v>79.84</v>
      </c>
      <c r="J373">
        <v>49.54</v>
      </c>
      <c r="K373">
        <v>64.69</v>
      </c>
      <c r="L373">
        <v>45.71</v>
      </c>
      <c r="M373">
        <v>79.849999999999994</v>
      </c>
      <c r="N373">
        <v>77.36</v>
      </c>
      <c r="O373">
        <v>77.739999999999995</v>
      </c>
    </row>
    <row r="374" spans="1:15" x14ac:dyDescent="0.35">
      <c r="A374" t="s">
        <v>399</v>
      </c>
      <c r="B374">
        <v>8.44</v>
      </c>
      <c r="C374">
        <v>8.8800000000000008</v>
      </c>
      <c r="D374">
        <v>12.2</v>
      </c>
      <c r="E374">
        <v>13.29</v>
      </c>
      <c r="F374">
        <v>2.52</v>
      </c>
      <c r="G374">
        <v>2.4700000000000002</v>
      </c>
      <c r="H374">
        <v>2.5</v>
      </c>
      <c r="I374">
        <v>80.64</v>
      </c>
      <c r="J374">
        <v>45.18</v>
      </c>
      <c r="K374">
        <v>62.91</v>
      </c>
      <c r="L374">
        <v>12</v>
      </c>
      <c r="M374">
        <v>74.7</v>
      </c>
      <c r="N374">
        <v>71.58</v>
      </c>
      <c r="O374">
        <v>72.709999999999994</v>
      </c>
    </row>
    <row r="375" spans="1:15" x14ac:dyDescent="0.35">
      <c r="A375" t="s">
        <v>400</v>
      </c>
      <c r="B375">
        <v>10.08</v>
      </c>
      <c r="C375">
        <v>9.94</v>
      </c>
      <c r="D375">
        <v>12.49</v>
      </c>
      <c r="E375">
        <v>13.25</v>
      </c>
      <c r="F375">
        <v>3.06</v>
      </c>
      <c r="G375">
        <v>3.07</v>
      </c>
      <c r="H375">
        <v>3.06</v>
      </c>
      <c r="I375">
        <v>80.400000000000006</v>
      </c>
      <c r="J375">
        <v>57.74</v>
      </c>
      <c r="K375">
        <v>69.070000000000007</v>
      </c>
      <c r="L375">
        <v>16</v>
      </c>
      <c r="M375">
        <v>72.75</v>
      </c>
      <c r="N375">
        <v>71.44</v>
      </c>
      <c r="O375">
        <v>71.77</v>
      </c>
    </row>
    <row r="376" spans="1:15" x14ac:dyDescent="0.35">
      <c r="A376" t="s">
        <v>401</v>
      </c>
      <c r="B376">
        <v>9.41</v>
      </c>
      <c r="C376">
        <v>9.66</v>
      </c>
      <c r="D376">
        <v>12.74</v>
      </c>
      <c r="E376">
        <v>13.41</v>
      </c>
      <c r="F376">
        <v>3.02</v>
      </c>
      <c r="G376">
        <v>8.0500000000000007</v>
      </c>
      <c r="H376">
        <v>4.79</v>
      </c>
      <c r="I376">
        <v>84</v>
      </c>
      <c r="J376">
        <v>48.62</v>
      </c>
      <c r="K376">
        <v>66.31</v>
      </c>
      <c r="L376">
        <v>33.33</v>
      </c>
      <c r="M376">
        <v>77.63</v>
      </c>
      <c r="N376">
        <v>69.680000000000007</v>
      </c>
      <c r="O376">
        <v>74.17</v>
      </c>
    </row>
    <row r="377" spans="1:15" x14ac:dyDescent="0.35">
      <c r="A377" t="s">
        <v>402</v>
      </c>
      <c r="B377">
        <v>10.38</v>
      </c>
      <c r="C377">
        <v>10.33</v>
      </c>
      <c r="D377">
        <v>12.64</v>
      </c>
      <c r="E377">
        <v>13.57</v>
      </c>
      <c r="F377">
        <v>6.62</v>
      </c>
      <c r="G377">
        <v>6.96</v>
      </c>
      <c r="H377">
        <v>6.73</v>
      </c>
      <c r="I377">
        <v>82.7</v>
      </c>
      <c r="J377">
        <v>43.66</v>
      </c>
      <c r="K377">
        <v>63.18</v>
      </c>
      <c r="L377">
        <v>23.33</v>
      </c>
      <c r="M377">
        <v>78.05</v>
      </c>
      <c r="N377">
        <v>75.41</v>
      </c>
      <c r="O377">
        <v>75.89</v>
      </c>
    </row>
    <row r="378" spans="1:15" x14ac:dyDescent="0.35">
      <c r="A378" t="s">
        <v>403</v>
      </c>
      <c r="B378">
        <v>8.32</v>
      </c>
      <c r="C378">
        <v>8.7100000000000009</v>
      </c>
      <c r="D378">
        <v>12.14</v>
      </c>
      <c r="E378">
        <v>13.03</v>
      </c>
      <c r="F378">
        <v>4.17</v>
      </c>
      <c r="G378">
        <v>3.97</v>
      </c>
      <c r="H378">
        <v>4.0999999999999996</v>
      </c>
      <c r="I378">
        <v>84.19</v>
      </c>
      <c r="J378">
        <v>49.42</v>
      </c>
      <c r="K378">
        <v>66.805000000000007</v>
      </c>
      <c r="L378">
        <v>15</v>
      </c>
      <c r="M378">
        <v>73.73</v>
      </c>
      <c r="N378">
        <v>64.78</v>
      </c>
      <c r="O378">
        <v>69.319999999999993</v>
      </c>
    </row>
    <row r="379" spans="1:15" x14ac:dyDescent="0.35">
      <c r="A379" t="s">
        <v>404</v>
      </c>
      <c r="B379">
        <v>9.34</v>
      </c>
      <c r="C379">
        <v>9.64</v>
      </c>
      <c r="D379">
        <v>11.71</v>
      </c>
      <c r="E379">
        <v>12.45</v>
      </c>
      <c r="F379">
        <v>1.49</v>
      </c>
      <c r="G379">
        <v>2.63</v>
      </c>
      <c r="H379">
        <v>1.94</v>
      </c>
      <c r="I379">
        <v>83.78</v>
      </c>
      <c r="J379">
        <v>55.19</v>
      </c>
      <c r="K379">
        <v>69.484999999999999</v>
      </c>
      <c r="L379">
        <v>47.37</v>
      </c>
      <c r="M379">
        <v>74.349999999999994</v>
      </c>
      <c r="N379">
        <v>66.5</v>
      </c>
      <c r="O379">
        <v>70.31</v>
      </c>
    </row>
    <row r="380" spans="1:15" x14ac:dyDescent="0.35">
      <c r="A380" t="s">
        <v>405</v>
      </c>
      <c r="B380">
        <v>8.91</v>
      </c>
      <c r="C380">
        <v>9.2899999999999991</v>
      </c>
      <c r="D380">
        <v>12.44</v>
      </c>
      <c r="E380">
        <v>12.99</v>
      </c>
      <c r="F380">
        <v>2.16</v>
      </c>
      <c r="G380">
        <v>3.73</v>
      </c>
      <c r="H380">
        <v>2.76</v>
      </c>
      <c r="I380">
        <v>87.19</v>
      </c>
      <c r="J380">
        <v>57.93</v>
      </c>
      <c r="K380">
        <v>72.56</v>
      </c>
      <c r="L380">
        <v>40</v>
      </c>
      <c r="M380">
        <v>75.930000000000007</v>
      </c>
      <c r="N380">
        <v>70.489999999999995</v>
      </c>
      <c r="O380">
        <v>72.66</v>
      </c>
    </row>
    <row r="381" spans="1:15" x14ac:dyDescent="0.35">
      <c r="A381" t="s">
        <v>406</v>
      </c>
      <c r="B381">
        <v>8.2899999999999991</v>
      </c>
      <c r="C381">
        <v>8.2799999999999994</v>
      </c>
      <c r="D381">
        <v>12.24</v>
      </c>
      <c r="E381">
        <v>12.47</v>
      </c>
      <c r="F381">
        <v>0.99</v>
      </c>
      <c r="G381">
        <v>5.75</v>
      </c>
      <c r="H381">
        <v>2.5099999999999998</v>
      </c>
      <c r="I381">
        <v>87.3</v>
      </c>
      <c r="J381">
        <v>44.36</v>
      </c>
      <c r="K381">
        <v>65.83</v>
      </c>
      <c r="L381">
        <v>20</v>
      </c>
      <c r="M381">
        <v>71.760000000000005</v>
      </c>
      <c r="N381">
        <v>58.55</v>
      </c>
      <c r="O381">
        <v>67.14</v>
      </c>
    </row>
    <row r="382" spans="1:15" x14ac:dyDescent="0.35">
      <c r="A382" t="s">
        <v>407</v>
      </c>
      <c r="B382">
        <v>8.26</v>
      </c>
      <c r="C382">
        <v>8.41</v>
      </c>
      <c r="D382">
        <v>11.9</v>
      </c>
      <c r="E382">
        <v>12.4</v>
      </c>
      <c r="F382">
        <v>3.22</v>
      </c>
      <c r="G382">
        <v>10.56</v>
      </c>
      <c r="H382">
        <v>5.35</v>
      </c>
      <c r="I382">
        <v>85.46</v>
      </c>
      <c r="J382">
        <v>37.76</v>
      </c>
      <c r="K382">
        <v>61.61</v>
      </c>
      <c r="L382">
        <v>30</v>
      </c>
      <c r="M382">
        <v>72.17</v>
      </c>
      <c r="N382">
        <v>66.22</v>
      </c>
      <c r="O382">
        <v>68.53</v>
      </c>
    </row>
    <row r="383" spans="1:15" x14ac:dyDescent="0.35">
      <c r="A383" t="s">
        <v>408</v>
      </c>
      <c r="B383">
        <v>11.66</v>
      </c>
      <c r="C383">
        <v>11.39</v>
      </c>
      <c r="D383">
        <v>14.13</v>
      </c>
      <c r="E383">
        <v>14.85</v>
      </c>
      <c r="F383">
        <v>7.89</v>
      </c>
      <c r="G383">
        <v>10</v>
      </c>
      <c r="H383">
        <v>8.73</v>
      </c>
      <c r="I383">
        <v>76.34</v>
      </c>
      <c r="J383">
        <v>50.09</v>
      </c>
      <c r="K383">
        <v>63.215000000000003</v>
      </c>
      <c r="L383">
        <v>55</v>
      </c>
      <c r="M383">
        <v>82.71</v>
      </c>
      <c r="N383">
        <v>80.11</v>
      </c>
      <c r="O383">
        <v>80.63</v>
      </c>
    </row>
    <row r="384" spans="1:15" x14ac:dyDescent="0.35">
      <c r="A384" t="s">
        <v>409</v>
      </c>
      <c r="B384">
        <v>9.99</v>
      </c>
      <c r="C384">
        <v>9.94</v>
      </c>
      <c r="D384">
        <v>12.2</v>
      </c>
      <c r="E384">
        <v>13.11</v>
      </c>
      <c r="F384">
        <v>8.14</v>
      </c>
      <c r="G384">
        <v>6.47</v>
      </c>
      <c r="H384">
        <v>7.51</v>
      </c>
      <c r="I384">
        <v>82.61</v>
      </c>
      <c r="J384">
        <v>52.39</v>
      </c>
      <c r="K384">
        <v>67.5</v>
      </c>
      <c r="L384">
        <v>19.23</v>
      </c>
      <c r="M384">
        <v>78.3</v>
      </c>
      <c r="N384">
        <v>74.239999999999995</v>
      </c>
      <c r="O384">
        <v>75.709999999999994</v>
      </c>
    </row>
    <row r="385" spans="1:15" x14ac:dyDescent="0.35">
      <c r="A385" t="s">
        <v>410</v>
      </c>
      <c r="B385">
        <v>10.91</v>
      </c>
      <c r="C385">
        <v>11.21</v>
      </c>
      <c r="D385">
        <v>13.75</v>
      </c>
      <c r="E385">
        <v>14.76</v>
      </c>
      <c r="F385">
        <v>7.58</v>
      </c>
      <c r="G385">
        <v>8.11</v>
      </c>
      <c r="H385">
        <v>7.79</v>
      </c>
      <c r="I385">
        <v>76.36</v>
      </c>
      <c r="J385">
        <v>50.92</v>
      </c>
      <c r="K385">
        <v>63.64</v>
      </c>
      <c r="L385">
        <v>25</v>
      </c>
      <c r="M385">
        <v>79.22</v>
      </c>
      <c r="N385">
        <v>78.87</v>
      </c>
      <c r="O385">
        <v>78.89</v>
      </c>
    </row>
    <row r="386" spans="1:15" x14ac:dyDescent="0.35">
      <c r="A386" t="s">
        <v>411</v>
      </c>
      <c r="B386">
        <v>10.36</v>
      </c>
      <c r="C386">
        <v>10.29</v>
      </c>
      <c r="D386">
        <v>12.75</v>
      </c>
      <c r="E386">
        <v>13.76</v>
      </c>
      <c r="F386">
        <v>5.29</v>
      </c>
      <c r="G386">
        <v>6.42</v>
      </c>
      <c r="H386">
        <v>5.72</v>
      </c>
      <c r="I386">
        <v>86.25</v>
      </c>
      <c r="J386">
        <v>55.52</v>
      </c>
      <c r="K386">
        <v>70.885000000000005</v>
      </c>
      <c r="L386">
        <v>16.670000000000002</v>
      </c>
      <c r="M386">
        <v>78.16</v>
      </c>
      <c r="N386">
        <v>74.75</v>
      </c>
      <c r="O386">
        <v>75.27</v>
      </c>
    </row>
    <row r="387" spans="1:15" x14ac:dyDescent="0.35">
      <c r="A387" t="s">
        <v>413</v>
      </c>
      <c r="B387">
        <v>9.02</v>
      </c>
      <c r="C387">
        <v>8.68</v>
      </c>
      <c r="D387">
        <v>13.12</v>
      </c>
      <c r="E387">
        <v>12.95</v>
      </c>
      <c r="F387">
        <v>1.76</v>
      </c>
      <c r="G387">
        <v>1.26</v>
      </c>
      <c r="H387">
        <v>1.55</v>
      </c>
      <c r="I387">
        <v>84.89</v>
      </c>
      <c r="J387">
        <v>61.84</v>
      </c>
      <c r="K387">
        <v>73.365000000000009</v>
      </c>
      <c r="L387">
        <v>20</v>
      </c>
      <c r="M387">
        <v>71.86</v>
      </c>
      <c r="N387">
        <v>66.73</v>
      </c>
      <c r="O387">
        <v>67.430000000000007</v>
      </c>
    </row>
    <row r="388" spans="1:15" x14ac:dyDescent="0.35">
      <c r="A388" t="s">
        <v>414</v>
      </c>
      <c r="B388">
        <v>8.9600000000000009</v>
      </c>
      <c r="C388">
        <v>8.69</v>
      </c>
      <c r="D388">
        <v>13.04</v>
      </c>
      <c r="E388">
        <v>13.62</v>
      </c>
      <c r="F388">
        <v>3.64</v>
      </c>
      <c r="G388">
        <v>2.27</v>
      </c>
      <c r="H388">
        <v>3.11</v>
      </c>
      <c r="I388">
        <v>86.46</v>
      </c>
      <c r="J388">
        <v>56.41</v>
      </c>
      <c r="K388">
        <v>71.435000000000002</v>
      </c>
      <c r="L388">
        <v>34.29</v>
      </c>
      <c r="M388">
        <v>76.180000000000007</v>
      </c>
      <c r="N388">
        <v>69.88</v>
      </c>
      <c r="O388">
        <v>72.319999999999993</v>
      </c>
    </row>
    <row r="389" spans="1:15" x14ac:dyDescent="0.35">
      <c r="A389" t="s">
        <v>415</v>
      </c>
      <c r="B389">
        <v>9.75</v>
      </c>
      <c r="C389">
        <v>9.26</v>
      </c>
      <c r="D389">
        <v>13.64</v>
      </c>
      <c r="E389">
        <v>13.37</v>
      </c>
      <c r="F389">
        <v>1.76</v>
      </c>
      <c r="G389">
        <v>6.68</v>
      </c>
      <c r="H389">
        <v>2.84</v>
      </c>
      <c r="I389">
        <v>85.2</v>
      </c>
      <c r="J389">
        <v>30.82</v>
      </c>
      <c r="K389">
        <v>58.010000000000005</v>
      </c>
      <c r="L389">
        <v>12</v>
      </c>
      <c r="M389">
        <v>78.58</v>
      </c>
      <c r="N389">
        <v>67.12</v>
      </c>
      <c r="O389">
        <v>73.540000000000006</v>
      </c>
    </row>
    <row r="390" spans="1:15" x14ac:dyDescent="0.35">
      <c r="A390" t="s">
        <v>416</v>
      </c>
      <c r="B390">
        <v>9.61</v>
      </c>
      <c r="C390">
        <v>9.5399999999999991</v>
      </c>
      <c r="D390">
        <v>13.51</v>
      </c>
      <c r="E390">
        <v>14.33</v>
      </c>
      <c r="F390">
        <v>1.3</v>
      </c>
      <c r="G390">
        <v>2.5299999999999998</v>
      </c>
      <c r="H390">
        <v>1.77</v>
      </c>
      <c r="I390">
        <v>82.17</v>
      </c>
      <c r="J390">
        <v>54.34</v>
      </c>
      <c r="K390">
        <v>68.254999999999995</v>
      </c>
      <c r="L390">
        <v>33.33</v>
      </c>
      <c r="M390">
        <v>74.41</v>
      </c>
      <c r="N390">
        <v>72.349999999999994</v>
      </c>
      <c r="O390">
        <v>72.87</v>
      </c>
    </row>
    <row r="391" spans="1:15" x14ac:dyDescent="0.35">
      <c r="A391" t="s">
        <v>417</v>
      </c>
      <c r="B391">
        <v>8.52</v>
      </c>
      <c r="C391">
        <v>7.86</v>
      </c>
      <c r="D391">
        <v>12.31</v>
      </c>
      <c r="E391">
        <v>13.04</v>
      </c>
      <c r="F391">
        <v>1.88</v>
      </c>
      <c r="G391">
        <v>4.4000000000000004</v>
      </c>
      <c r="H391">
        <v>2.79</v>
      </c>
      <c r="I391">
        <v>85.01</v>
      </c>
      <c r="J391">
        <v>50.77</v>
      </c>
      <c r="K391">
        <v>67.89</v>
      </c>
      <c r="L391">
        <v>20</v>
      </c>
      <c r="M391">
        <v>71.36</v>
      </c>
      <c r="N391">
        <v>63.87</v>
      </c>
      <c r="O391">
        <v>67.45</v>
      </c>
    </row>
    <row r="392" spans="1:15" x14ac:dyDescent="0.35">
      <c r="A392" t="s">
        <v>418</v>
      </c>
      <c r="B392">
        <v>9.0500000000000007</v>
      </c>
      <c r="C392">
        <v>8.6999999999999993</v>
      </c>
      <c r="D392">
        <v>13.15</v>
      </c>
      <c r="E392">
        <v>13.55</v>
      </c>
      <c r="F392">
        <v>2.86</v>
      </c>
      <c r="G392">
        <v>3.57</v>
      </c>
      <c r="H392">
        <v>3.11</v>
      </c>
      <c r="I392">
        <v>87.54</v>
      </c>
      <c r="J392">
        <v>49.58</v>
      </c>
      <c r="K392">
        <v>68.56</v>
      </c>
      <c r="L392">
        <v>23.33</v>
      </c>
      <c r="M392">
        <v>72.22</v>
      </c>
      <c r="N392">
        <v>65.430000000000007</v>
      </c>
      <c r="O392">
        <v>68.37</v>
      </c>
    </row>
    <row r="393" spans="1:15" x14ac:dyDescent="0.35">
      <c r="A393" t="s">
        <v>419</v>
      </c>
      <c r="B393">
        <v>9.24</v>
      </c>
      <c r="C393">
        <v>9.1999999999999993</v>
      </c>
      <c r="D393">
        <v>13.16</v>
      </c>
      <c r="E393">
        <v>14.5</v>
      </c>
      <c r="F393">
        <v>2.1</v>
      </c>
      <c r="G393">
        <v>4.8499999999999996</v>
      </c>
      <c r="H393">
        <v>3.13</v>
      </c>
      <c r="I393">
        <v>85.95</v>
      </c>
      <c r="J393">
        <v>54.36</v>
      </c>
      <c r="K393">
        <v>70.155000000000001</v>
      </c>
      <c r="L393">
        <v>36</v>
      </c>
      <c r="M393">
        <v>74.47</v>
      </c>
      <c r="N393">
        <v>67.19</v>
      </c>
      <c r="O393">
        <v>70.28</v>
      </c>
    </row>
    <row r="394" spans="1:15" x14ac:dyDescent="0.35">
      <c r="A394" t="s">
        <v>420</v>
      </c>
      <c r="B394">
        <v>8.3000000000000007</v>
      </c>
      <c r="C394">
        <v>7.96</v>
      </c>
      <c r="D394">
        <v>12.08</v>
      </c>
      <c r="E394">
        <v>13.03</v>
      </c>
      <c r="F394">
        <v>1.82</v>
      </c>
      <c r="G394">
        <v>2.5499999999999998</v>
      </c>
      <c r="H394">
        <v>2.1</v>
      </c>
      <c r="I394">
        <v>88.91</v>
      </c>
      <c r="J394">
        <v>59.79</v>
      </c>
      <c r="K394">
        <v>74.349999999999994</v>
      </c>
      <c r="L394">
        <v>17.5</v>
      </c>
      <c r="M394">
        <v>70.17</v>
      </c>
      <c r="N394">
        <v>65.02</v>
      </c>
      <c r="O394">
        <v>67.489999999999995</v>
      </c>
    </row>
    <row r="395" spans="1:15" x14ac:dyDescent="0.35">
      <c r="A395" t="s">
        <v>421</v>
      </c>
      <c r="B395">
        <v>8.5299999999999994</v>
      </c>
      <c r="C395">
        <v>8.59</v>
      </c>
      <c r="D395">
        <v>12.38</v>
      </c>
      <c r="E395">
        <v>12.93</v>
      </c>
      <c r="F395">
        <v>1.91</v>
      </c>
      <c r="G395">
        <v>3.34</v>
      </c>
      <c r="H395">
        <v>2.4700000000000002</v>
      </c>
      <c r="I395">
        <v>88.83</v>
      </c>
      <c r="J395">
        <v>60.41</v>
      </c>
      <c r="K395">
        <v>74.62</v>
      </c>
      <c r="L395">
        <v>12</v>
      </c>
      <c r="M395">
        <v>71.069999999999993</v>
      </c>
      <c r="N395">
        <v>65.400000000000006</v>
      </c>
      <c r="O395">
        <v>66.97</v>
      </c>
    </row>
    <row r="396" spans="1:15" x14ac:dyDescent="0.35">
      <c r="A396" t="s">
        <v>422</v>
      </c>
      <c r="B396">
        <v>9.0399999999999991</v>
      </c>
      <c r="C396">
        <v>9.09</v>
      </c>
      <c r="D396">
        <v>13.03</v>
      </c>
      <c r="E396">
        <v>13.31</v>
      </c>
      <c r="F396">
        <v>2.19</v>
      </c>
      <c r="G396">
        <v>3.05</v>
      </c>
      <c r="H396">
        <v>2.5499999999999998</v>
      </c>
      <c r="I396">
        <v>86.93</v>
      </c>
      <c r="J396">
        <v>64.430000000000007</v>
      </c>
      <c r="K396">
        <v>75.680000000000007</v>
      </c>
      <c r="L396">
        <v>33.33</v>
      </c>
      <c r="M396">
        <v>73.69</v>
      </c>
      <c r="N396">
        <v>69.540000000000006</v>
      </c>
      <c r="O396">
        <v>70.510000000000005</v>
      </c>
    </row>
    <row r="397" spans="1:15" x14ac:dyDescent="0.35">
      <c r="A397" t="s">
        <v>423</v>
      </c>
      <c r="B397">
        <v>9.17</v>
      </c>
      <c r="C397">
        <v>8.35</v>
      </c>
      <c r="D397">
        <v>13.07</v>
      </c>
      <c r="E397">
        <v>13.04</v>
      </c>
      <c r="F397">
        <v>0.98</v>
      </c>
      <c r="G397">
        <v>7.92</v>
      </c>
      <c r="H397">
        <v>3.6</v>
      </c>
      <c r="I397">
        <v>85.2</v>
      </c>
      <c r="J397">
        <v>52.51</v>
      </c>
      <c r="K397">
        <v>68.855000000000004</v>
      </c>
      <c r="L397">
        <v>20</v>
      </c>
      <c r="M397">
        <v>71.569999999999993</v>
      </c>
      <c r="N397">
        <v>66.37</v>
      </c>
      <c r="O397">
        <v>67.430000000000007</v>
      </c>
    </row>
    <row r="398" spans="1:15" x14ac:dyDescent="0.35">
      <c r="A398" t="s">
        <v>424</v>
      </c>
      <c r="B398">
        <v>9.3800000000000008</v>
      </c>
      <c r="C398">
        <v>9.08</v>
      </c>
      <c r="D398">
        <v>12.16</v>
      </c>
      <c r="E398">
        <v>12.99</v>
      </c>
      <c r="F398">
        <v>2.33</v>
      </c>
      <c r="G398">
        <v>2.4500000000000002</v>
      </c>
      <c r="H398">
        <v>2.38</v>
      </c>
      <c r="I398">
        <v>84.72</v>
      </c>
      <c r="J398">
        <v>54.5</v>
      </c>
      <c r="K398">
        <v>69.61</v>
      </c>
      <c r="L398">
        <v>28</v>
      </c>
      <c r="M398">
        <v>72.569999999999993</v>
      </c>
      <c r="N398">
        <v>70.44</v>
      </c>
      <c r="O398">
        <v>70.58</v>
      </c>
    </row>
    <row r="399" spans="1:15" x14ac:dyDescent="0.35">
      <c r="A399" t="s">
        <v>425</v>
      </c>
      <c r="B399">
        <v>12.11</v>
      </c>
      <c r="C399">
        <v>11.39</v>
      </c>
      <c r="D399">
        <v>16.09</v>
      </c>
      <c r="E399">
        <v>16.97</v>
      </c>
      <c r="F399">
        <v>5.76</v>
      </c>
      <c r="G399">
        <v>5.43</v>
      </c>
      <c r="H399">
        <v>5.63</v>
      </c>
      <c r="I399">
        <v>83.4</v>
      </c>
      <c r="J399">
        <v>57.72</v>
      </c>
      <c r="K399">
        <v>70.56</v>
      </c>
      <c r="L399">
        <v>14.29</v>
      </c>
      <c r="M399">
        <v>83.68</v>
      </c>
      <c r="N399">
        <v>82.48</v>
      </c>
      <c r="O399">
        <v>82.88</v>
      </c>
    </row>
    <row r="400" spans="1:15" x14ac:dyDescent="0.35">
      <c r="A400" t="s">
        <v>427</v>
      </c>
      <c r="B400">
        <v>8.84</v>
      </c>
      <c r="C400">
        <v>8.36</v>
      </c>
      <c r="D400">
        <v>12.63</v>
      </c>
      <c r="E400">
        <v>13.77</v>
      </c>
      <c r="F400">
        <v>1.91</v>
      </c>
      <c r="G400">
        <v>2.25</v>
      </c>
      <c r="H400">
        <v>2.0499999999999998</v>
      </c>
      <c r="I400">
        <v>79.84</v>
      </c>
      <c r="J400">
        <v>55.25</v>
      </c>
      <c r="K400">
        <v>67.545000000000002</v>
      </c>
      <c r="L400">
        <v>20</v>
      </c>
      <c r="M400">
        <v>74.87</v>
      </c>
      <c r="N400">
        <v>69.17</v>
      </c>
      <c r="O400">
        <v>70.03</v>
      </c>
    </row>
    <row r="401" spans="1:15" x14ac:dyDescent="0.35">
      <c r="A401" t="s">
        <v>428</v>
      </c>
      <c r="B401">
        <v>8.67</v>
      </c>
      <c r="C401">
        <v>8.4499999999999993</v>
      </c>
      <c r="D401">
        <v>13.22</v>
      </c>
      <c r="E401">
        <v>13.63</v>
      </c>
      <c r="F401">
        <v>2.64</v>
      </c>
      <c r="G401">
        <v>1.68</v>
      </c>
      <c r="H401">
        <v>2.23</v>
      </c>
      <c r="I401">
        <v>84.85</v>
      </c>
      <c r="J401">
        <v>60.79</v>
      </c>
      <c r="K401">
        <v>72.819999999999993</v>
      </c>
      <c r="L401">
        <v>22.5</v>
      </c>
      <c r="M401">
        <v>74.58</v>
      </c>
      <c r="N401">
        <v>71.599999999999994</v>
      </c>
      <c r="O401">
        <v>71.97</v>
      </c>
    </row>
    <row r="402" spans="1:15" x14ac:dyDescent="0.35">
      <c r="A402" t="s">
        <v>429</v>
      </c>
      <c r="B402">
        <v>7.62</v>
      </c>
      <c r="C402">
        <v>7.26</v>
      </c>
      <c r="D402">
        <v>12.74</v>
      </c>
      <c r="E402">
        <v>12.79</v>
      </c>
      <c r="F402">
        <v>2.41</v>
      </c>
      <c r="G402">
        <v>2.76</v>
      </c>
      <c r="H402">
        <v>2.57</v>
      </c>
      <c r="I402">
        <v>88.05</v>
      </c>
      <c r="J402">
        <v>69.11</v>
      </c>
      <c r="K402">
        <v>78.58</v>
      </c>
      <c r="L402">
        <v>28.57</v>
      </c>
      <c r="M402">
        <v>72.53</v>
      </c>
      <c r="N402">
        <v>69.14</v>
      </c>
      <c r="O402">
        <v>71.48</v>
      </c>
    </row>
    <row r="403" spans="1:15" x14ac:dyDescent="0.35">
      <c r="A403" t="s">
        <v>430</v>
      </c>
      <c r="B403">
        <v>6.98</v>
      </c>
      <c r="C403">
        <v>7.01</v>
      </c>
      <c r="D403">
        <v>12.16</v>
      </c>
      <c r="E403">
        <v>12.14</v>
      </c>
      <c r="F403">
        <v>2.91</v>
      </c>
      <c r="G403">
        <v>1.75</v>
      </c>
      <c r="H403">
        <v>2.4700000000000002</v>
      </c>
      <c r="I403">
        <v>85.1</v>
      </c>
      <c r="J403">
        <v>50.51</v>
      </c>
      <c r="K403">
        <v>67.804999999999993</v>
      </c>
      <c r="L403">
        <v>27.5</v>
      </c>
      <c r="M403">
        <v>70.47</v>
      </c>
      <c r="N403">
        <v>65.11</v>
      </c>
      <c r="O403">
        <v>66.38</v>
      </c>
    </row>
    <row r="404" spans="1:15" x14ac:dyDescent="0.35">
      <c r="A404" t="s">
        <v>431</v>
      </c>
      <c r="B404">
        <v>7.98</v>
      </c>
      <c r="C404">
        <v>7.54</v>
      </c>
      <c r="D404">
        <v>12.37</v>
      </c>
      <c r="E404">
        <v>12.87</v>
      </c>
      <c r="F404">
        <v>3.87</v>
      </c>
      <c r="G404">
        <v>3.8</v>
      </c>
      <c r="H404">
        <v>3.84</v>
      </c>
      <c r="I404">
        <v>85.3</v>
      </c>
      <c r="J404">
        <v>44.93</v>
      </c>
      <c r="K404">
        <v>65.114999999999995</v>
      </c>
      <c r="L404">
        <v>31.43</v>
      </c>
      <c r="M404">
        <v>73.8</v>
      </c>
      <c r="N404">
        <v>65.12</v>
      </c>
      <c r="O404">
        <v>69.47</v>
      </c>
    </row>
    <row r="405" spans="1:15" x14ac:dyDescent="0.35">
      <c r="A405" t="s">
        <v>432</v>
      </c>
      <c r="B405">
        <v>8.6199999999999992</v>
      </c>
      <c r="C405">
        <v>8.44</v>
      </c>
      <c r="D405">
        <v>13.5</v>
      </c>
      <c r="E405">
        <v>14.12</v>
      </c>
      <c r="F405">
        <v>4.24</v>
      </c>
      <c r="G405">
        <v>3.44</v>
      </c>
      <c r="H405">
        <v>3.91</v>
      </c>
      <c r="I405">
        <v>86.57</v>
      </c>
      <c r="J405">
        <v>59.5</v>
      </c>
      <c r="K405">
        <v>73.034999999999997</v>
      </c>
      <c r="L405">
        <v>31.11</v>
      </c>
      <c r="M405">
        <v>76.58</v>
      </c>
      <c r="N405">
        <v>68.09</v>
      </c>
      <c r="O405">
        <v>72.260000000000005</v>
      </c>
    </row>
    <row r="406" spans="1:15" x14ac:dyDescent="0.35">
      <c r="A406" t="s">
        <v>433</v>
      </c>
      <c r="B406">
        <v>7.99</v>
      </c>
      <c r="C406">
        <v>7.81</v>
      </c>
      <c r="D406">
        <v>13.09</v>
      </c>
      <c r="E406">
        <v>13.87</v>
      </c>
      <c r="F406">
        <v>1.52</v>
      </c>
      <c r="G406">
        <v>1.53</v>
      </c>
      <c r="H406">
        <v>1.52</v>
      </c>
      <c r="I406">
        <v>84.36</v>
      </c>
      <c r="J406">
        <v>61.79</v>
      </c>
      <c r="K406">
        <v>73.075000000000003</v>
      </c>
      <c r="L406">
        <v>16.670000000000002</v>
      </c>
      <c r="M406">
        <v>70.569999999999993</v>
      </c>
      <c r="N406">
        <v>69.37</v>
      </c>
      <c r="O406">
        <v>69.52</v>
      </c>
    </row>
    <row r="407" spans="1:15" x14ac:dyDescent="0.35">
      <c r="A407" t="s">
        <v>434</v>
      </c>
      <c r="B407">
        <v>8.58</v>
      </c>
      <c r="C407">
        <v>7.84</v>
      </c>
      <c r="D407">
        <v>13.43</v>
      </c>
      <c r="E407">
        <v>13.64</v>
      </c>
      <c r="F407">
        <v>4.43</v>
      </c>
      <c r="G407">
        <v>4.1900000000000004</v>
      </c>
      <c r="H407">
        <v>4.34</v>
      </c>
      <c r="I407">
        <v>79.400000000000006</v>
      </c>
      <c r="J407">
        <v>43.88</v>
      </c>
      <c r="K407">
        <v>61.64</v>
      </c>
      <c r="L407">
        <v>25.71</v>
      </c>
      <c r="M407">
        <v>76.88</v>
      </c>
      <c r="N407">
        <v>68.89</v>
      </c>
      <c r="O407">
        <v>72.11</v>
      </c>
    </row>
    <row r="408" spans="1:15" x14ac:dyDescent="0.35">
      <c r="A408" t="s">
        <v>435</v>
      </c>
      <c r="B408">
        <v>8.74</v>
      </c>
      <c r="C408">
        <v>8.39</v>
      </c>
      <c r="D408">
        <v>12.69</v>
      </c>
      <c r="E408">
        <v>13.1</v>
      </c>
      <c r="F408">
        <v>4.88</v>
      </c>
      <c r="G408">
        <v>2.77</v>
      </c>
      <c r="H408">
        <v>3.99</v>
      </c>
      <c r="I408">
        <v>84.96</v>
      </c>
      <c r="J408">
        <v>58.16</v>
      </c>
      <c r="K408">
        <v>71.56</v>
      </c>
      <c r="L408">
        <v>8.57</v>
      </c>
      <c r="M408">
        <v>75.75</v>
      </c>
      <c r="N408">
        <v>69.2</v>
      </c>
      <c r="O408">
        <v>71.22</v>
      </c>
    </row>
    <row r="409" spans="1:15" x14ac:dyDescent="0.35">
      <c r="A409" t="s">
        <v>436</v>
      </c>
      <c r="B409">
        <v>8.9600000000000009</v>
      </c>
      <c r="C409">
        <v>8.7200000000000006</v>
      </c>
      <c r="D409">
        <v>13.54</v>
      </c>
      <c r="E409">
        <v>13.87</v>
      </c>
      <c r="F409">
        <v>6.48</v>
      </c>
      <c r="G409">
        <v>6.29</v>
      </c>
      <c r="H409">
        <v>6.42</v>
      </c>
      <c r="I409">
        <v>78.569999999999993</v>
      </c>
      <c r="J409">
        <v>41.26</v>
      </c>
      <c r="K409">
        <v>59.914999999999992</v>
      </c>
      <c r="L409">
        <v>20</v>
      </c>
      <c r="M409">
        <v>75.87</v>
      </c>
      <c r="N409">
        <v>72.64</v>
      </c>
      <c r="O409">
        <v>73.06</v>
      </c>
    </row>
    <row r="410" spans="1:15" x14ac:dyDescent="0.35">
      <c r="A410" t="s">
        <v>437</v>
      </c>
      <c r="B410">
        <v>7.81</v>
      </c>
      <c r="C410">
        <v>7.55</v>
      </c>
      <c r="D410">
        <v>12.56</v>
      </c>
      <c r="E410">
        <v>13.62</v>
      </c>
      <c r="F410">
        <v>1.66</v>
      </c>
      <c r="G410">
        <v>3.3</v>
      </c>
      <c r="H410">
        <v>2.2799999999999998</v>
      </c>
      <c r="I410">
        <v>82.44</v>
      </c>
      <c r="J410">
        <v>47.12</v>
      </c>
      <c r="K410">
        <v>64.78</v>
      </c>
      <c r="L410">
        <v>11.11</v>
      </c>
      <c r="M410">
        <v>71.88</v>
      </c>
      <c r="N410">
        <v>67.3</v>
      </c>
      <c r="O410">
        <v>68.36</v>
      </c>
    </row>
    <row r="411" spans="1:15" x14ac:dyDescent="0.35">
      <c r="A411" t="s">
        <v>438</v>
      </c>
      <c r="B411">
        <v>8.4499999999999993</v>
      </c>
      <c r="C411">
        <v>8.52</v>
      </c>
      <c r="D411">
        <v>13.12</v>
      </c>
      <c r="E411">
        <v>13.45</v>
      </c>
      <c r="F411">
        <v>2.96</v>
      </c>
      <c r="G411">
        <v>3.93</v>
      </c>
      <c r="H411">
        <v>3.33</v>
      </c>
      <c r="I411">
        <v>81.41</v>
      </c>
      <c r="J411">
        <v>45.23</v>
      </c>
      <c r="K411">
        <v>63.319999999999993</v>
      </c>
      <c r="L411">
        <v>20</v>
      </c>
      <c r="M411">
        <v>72.900000000000006</v>
      </c>
      <c r="N411">
        <v>70.959999999999994</v>
      </c>
      <c r="O411">
        <v>71.39</v>
      </c>
    </row>
    <row r="412" spans="1:15" x14ac:dyDescent="0.35">
      <c r="A412" t="s">
        <v>439</v>
      </c>
      <c r="B412">
        <v>7.54</v>
      </c>
      <c r="C412">
        <v>7.14</v>
      </c>
      <c r="D412">
        <v>13.26</v>
      </c>
      <c r="E412">
        <v>13.7</v>
      </c>
      <c r="F412">
        <v>1.23</v>
      </c>
      <c r="G412">
        <v>3.95</v>
      </c>
      <c r="H412">
        <v>2.31</v>
      </c>
      <c r="I412">
        <v>84.58</v>
      </c>
      <c r="J412">
        <v>52.19</v>
      </c>
      <c r="K412">
        <v>68.384999999999991</v>
      </c>
      <c r="L412">
        <v>10</v>
      </c>
      <c r="M412">
        <v>75.959999999999994</v>
      </c>
      <c r="N412">
        <v>68.86</v>
      </c>
      <c r="O412">
        <v>71.52</v>
      </c>
    </row>
    <row r="413" spans="1:15" x14ac:dyDescent="0.35">
      <c r="A413" t="s">
        <v>440</v>
      </c>
      <c r="B413">
        <v>8.34</v>
      </c>
      <c r="C413">
        <v>8.17</v>
      </c>
      <c r="D413">
        <v>12.74</v>
      </c>
      <c r="E413">
        <v>13.34</v>
      </c>
      <c r="F413">
        <v>2.0699999999999998</v>
      </c>
      <c r="G413">
        <v>5</v>
      </c>
      <c r="H413">
        <v>3.02</v>
      </c>
      <c r="I413">
        <v>83.97</v>
      </c>
      <c r="J413">
        <v>39.21</v>
      </c>
      <c r="K413">
        <v>61.59</v>
      </c>
      <c r="L413">
        <v>8.57</v>
      </c>
      <c r="M413">
        <v>77.180000000000007</v>
      </c>
      <c r="N413">
        <v>71.47</v>
      </c>
      <c r="O413">
        <v>73.209999999999994</v>
      </c>
    </row>
    <row r="414" spans="1:15" x14ac:dyDescent="0.35">
      <c r="A414" t="s">
        <v>441</v>
      </c>
      <c r="B414">
        <v>8.68</v>
      </c>
      <c r="C414">
        <v>8.34</v>
      </c>
      <c r="D414">
        <v>12.6</v>
      </c>
      <c r="E414">
        <v>14.06</v>
      </c>
      <c r="F414">
        <v>1.91</v>
      </c>
      <c r="G414">
        <v>5.17</v>
      </c>
      <c r="H414">
        <v>3.12</v>
      </c>
      <c r="I414">
        <v>82.58</v>
      </c>
      <c r="J414">
        <v>46.53</v>
      </c>
      <c r="K414">
        <v>64.555000000000007</v>
      </c>
      <c r="L414">
        <v>10</v>
      </c>
      <c r="M414">
        <v>75.78</v>
      </c>
      <c r="N414">
        <v>72.64</v>
      </c>
      <c r="O414">
        <v>73.55</v>
      </c>
    </row>
    <row r="415" spans="1:15" x14ac:dyDescent="0.35">
      <c r="A415" t="s">
        <v>442</v>
      </c>
      <c r="B415">
        <v>9.31</v>
      </c>
      <c r="C415">
        <v>8.8699999999999992</v>
      </c>
      <c r="D415">
        <v>13.88</v>
      </c>
      <c r="E415">
        <v>14.41</v>
      </c>
      <c r="F415">
        <v>1.21</v>
      </c>
      <c r="G415">
        <v>1.9</v>
      </c>
      <c r="H415">
        <v>1.51</v>
      </c>
      <c r="I415">
        <v>85.25</v>
      </c>
      <c r="J415">
        <v>65.17</v>
      </c>
      <c r="K415">
        <v>75.210000000000008</v>
      </c>
      <c r="L415">
        <v>16.670000000000002</v>
      </c>
      <c r="M415">
        <v>75.430000000000007</v>
      </c>
      <c r="N415">
        <v>74.03</v>
      </c>
      <c r="O415">
        <v>74.61</v>
      </c>
    </row>
    <row r="416" spans="1:15" x14ac:dyDescent="0.35">
      <c r="A416" t="s">
        <v>443</v>
      </c>
      <c r="B416">
        <v>9</v>
      </c>
      <c r="C416">
        <v>8.68</v>
      </c>
      <c r="D416">
        <v>13.08</v>
      </c>
      <c r="E416">
        <v>13.81</v>
      </c>
      <c r="F416">
        <v>3.68</v>
      </c>
      <c r="G416">
        <v>4.84</v>
      </c>
      <c r="H416">
        <v>4.1399999999999997</v>
      </c>
      <c r="I416">
        <v>81.73</v>
      </c>
      <c r="J416">
        <v>54.78</v>
      </c>
      <c r="K416">
        <v>68.254999999999995</v>
      </c>
      <c r="L416">
        <v>11.43</v>
      </c>
      <c r="M416">
        <v>76.28</v>
      </c>
      <c r="N416">
        <v>70.81</v>
      </c>
      <c r="O416">
        <v>72.790000000000006</v>
      </c>
    </row>
    <row r="417" spans="1:15" x14ac:dyDescent="0.35">
      <c r="A417" t="s">
        <v>444</v>
      </c>
      <c r="B417">
        <v>9.06</v>
      </c>
      <c r="C417">
        <v>8.52</v>
      </c>
      <c r="D417">
        <v>14.1</v>
      </c>
      <c r="E417">
        <v>14.37</v>
      </c>
      <c r="F417">
        <v>5.3</v>
      </c>
      <c r="G417">
        <v>2.36</v>
      </c>
      <c r="H417">
        <v>3.98</v>
      </c>
      <c r="I417">
        <v>80.709999999999994</v>
      </c>
      <c r="J417">
        <v>71.72</v>
      </c>
      <c r="K417">
        <v>76.215000000000003</v>
      </c>
      <c r="L417">
        <v>6.67</v>
      </c>
      <c r="M417">
        <v>76.19</v>
      </c>
      <c r="N417">
        <v>67.849999999999994</v>
      </c>
      <c r="O417">
        <v>71.67</v>
      </c>
    </row>
    <row r="418" spans="1:15" x14ac:dyDescent="0.35">
      <c r="A418" t="s">
        <v>445</v>
      </c>
      <c r="B418">
        <v>8.52</v>
      </c>
      <c r="C418">
        <v>8.1999999999999993</v>
      </c>
      <c r="D418">
        <v>12.6</v>
      </c>
      <c r="E418">
        <v>12.61</v>
      </c>
      <c r="F418">
        <v>1.67</v>
      </c>
      <c r="G418">
        <v>3.54</v>
      </c>
      <c r="H418">
        <v>2.39</v>
      </c>
      <c r="I418">
        <v>84.96</v>
      </c>
      <c r="J418">
        <v>53.34</v>
      </c>
      <c r="K418">
        <v>69.150000000000006</v>
      </c>
      <c r="L418">
        <v>14.29</v>
      </c>
      <c r="M418">
        <v>75.53</v>
      </c>
      <c r="N418">
        <v>68.23</v>
      </c>
      <c r="O418">
        <v>72.069999999999993</v>
      </c>
    </row>
    <row r="419" spans="1:15" x14ac:dyDescent="0.35">
      <c r="A419" t="s">
        <v>446</v>
      </c>
      <c r="B419">
        <v>9.16</v>
      </c>
      <c r="C419">
        <v>8.7899999999999991</v>
      </c>
      <c r="D419">
        <v>13</v>
      </c>
      <c r="E419">
        <v>13.43</v>
      </c>
      <c r="F419">
        <v>4.33</v>
      </c>
      <c r="G419">
        <v>5</v>
      </c>
      <c r="H419">
        <v>4.58</v>
      </c>
      <c r="I419">
        <v>86.06</v>
      </c>
      <c r="J419">
        <v>53.55</v>
      </c>
      <c r="K419">
        <v>69.805000000000007</v>
      </c>
      <c r="L419">
        <v>11.43</v>
      </c>
      <c r="M419">
        <v>79.11</v>
      </c>
      <c r="N419">
        <v>71.55</v>
      </c>
      <c r="O419">
        <v>74.95</v>
      </c>
    </row>
    <row r="420" spans="1:15" x14ac:dyDescent="0.35">
      <c r="A420" t="s">
        <v>447</v>
      </c>
      <c r="B420">
        <v>8.76</v>
      </c>
      <c r="C420">
        <v>8.5399999999999991</v>
      </c>
      <c r="D420">
        <v>13.11</v>
      </c>
      <c r="E420">
        <v>13.77</v>
      </c>
      <c r="F420">
        <v>2.7</v>
      </c>
      <c r="G420">
        <v>2.11</v>
      </c>
      <c r="H420">
        <v>2.44</v>
      </c>
      <c r="I420">
        <v>78.75</v>
      </c>
      <c r="J420">
        <v>66.069999999999993</v>
      </c>
      <c r="K420">
        <v>72.41</v>
      </c>
      <c r="L420">
        <v>13.33</v>
      </c>
      <c r="M420">
        <v>75.77</v>
      </c>
      <c r="N420">
        <v>67</v>
      </c>
      <c r="O420">
        <v>71.849999999999994</v>
      </c>
    </row>
    <row r="421" spans="1:15" x14ac:dyDescent="0.35">
      <c r="A421" t="s">
        <v>448</v>
      </c>
      <c r="B421">
        <v>11.78</v>
      </c>
      <c r="C421">
        <v>11.53</v>
      </c>
      <c r="D421">
        <v>15.57</v>
      </c>
      <c r="E421">
        <v>16.12</v>
      </c>
      <c r="F421">
        <v>7.24</v>
      </c>
      <c r="G421">
        <v>13.67</v>
      </c>
      <c r="H421">
        <v>9.7100000000000009</v>
      </c>
      <c r="I421">
        <v>77.44</v>
      </c>
      <c r="J421">
        <v>47.06</v>
      </c>
      <c r="K421">
        <v>62.25</v>
      </c>
      <c r="L421">
        <v>16</v>
      </c>
      <c r="M421">
        <v>86.16</v>
      </c>
      <c r="N421">
        <v>81.84</v>
      </c>
      <c r="O421">
        <v>83.9</v>
      </c>
    </row>
    <row r="422" spans="1:15" x14ac:dyDescent="0.35">
      <c r="A422" t="s">
        <v>449</v>
      </c>
      <c r="B422">
        <v>11.19</v>
      </c>
      <c r="C422">
        <v>10.78</v>
      </c>
      <c r="D422">
        <v>14.18</v>
      </c>
      <c r="E422">
        <v>14.72</v>
      </c>
      <c r="F422">
        <v>5.88</v>
      </c>
      <c r="G422">
        <v>4.34</v>
      </c>
      <c r="H422">
        <v>5.23</v>
      </c>
      <c r="I422">
        <v>81.42</v>
      </c>
      <c r="J422">
        <v>58.3</v>
      </c>
      <c r="K422">
        <v>69.86</v>
      </c>
      <c r="L422">
        <v>24</v>
      </c>
      <c r="M422">
        <v>81.42</v>
      </c>
      <c r="N422">
        <v>79.17</v>
      </c>
      <c r="O422">
        <v>79.64</v>
      </c>
    </row>
    <row r="423" spans="1:15" x14ac:dyDescent="0.35">
      <c r="A423" t="s">
        <v>450</v>
      </c>
      <c r="B423">
        <v>11.3</v>
      </c>
      <c r="C423">
        <v>11.02</v>
      </c>
      <c r="D423">
        <v>14.17</v>
      </c>
      <c r="E423">
        <v>15.85</v>
      </c>
      <c r="F423">
        <v>7.05</v>
      </c>
      <c r="G423">
        <v>8.5500000000000007</v>
      </c>
      <c r="H423">
        <v>7.64</v>
      </c>
      <c r="I423">
        <v>80.45</v>
      </c>
      <c r="J423">
        <v>52.02</v>
      </c>
      <c r="K423">
        <v>66.234999999999999</v>
      </c>
      <c r="L423">
        <v>20</v>
      </c>
      <c r="M423">
        <v>81.34</v>
      </c>
      <c r="N423">
        <v>79.37</v>
      </c>
      <c r="O423">
        <v>79.94</v>
      </c>
    </row>
    <row r="424" spans="1:15" x14ac:dyDescent="0.35">
      <c r="A424" t="s">
        <v>452</v>
      </c>
      <c r="B424">
        <v>9.58</v>
      </c>
      <c r="C424">
        <v>7.94</v>
      </c>
      <c r="D424">
        <v>14.37</v>
      </c>
      <c r="E424">
        <v>13.88</v>
      </c>
      <c r="F424">
        <v>3.88</v>
      </c>
      <c r="G424">
        <v>1.61</v>
      </c>
      <c r="H424">
        <v>2.95</v>
      </c>
      <c r="I424">
        <v>81.17</v>
      </c>
      <c r="J424">
        <v>57.19</v>
      </c>
      <c r="K424">
        <v>69.180000000000007</v>
      </c>
      <c r="L424">
        <v>24</v>
      </c>
      <c r="M424">
        <v>75.83</v>
      </c>
      <c r="N424">
        <v>62.23</v>
      </c>
      <c r="O424">
        <v>68.88</v>
      </c>
    </row>
    <row r="425" spans="1:15" x14ac:dyDescent="0.35">
      <c r="A425" t="s">
        <v>453</v>
      </c>
      <c r="B425">
        <v>9.44</v>
      </c>
      <c r="C425">
        <v>8.31</v>
      </c>
      <c r="D425">
        <v>14.17</v>
      </c>
      <c r="E425">
        <v>14.3</v>
      </c>
      <c r="F425">
        <v>3.42</v>
      </c>
      <c r="G425">
        <v>4.2</v>
      </c>
      <c r="H425">
        <v>3.78</v>
      </c>
      <c r="I425">
        <v>78.23</v>
      </c>
      <c r="J425">
        <v>62.68</v>
      </c>
      <c r="K425">
        <v>70.454999999999998</v>
      </c>
      <c r="L425">
        <v>10</v>
      </c>
      <c r="M425">
        <v>76.16</v>
      </c>
      <c r="N425">
        <v>67.3</v>
      </c>
      <c r="O425">
        <v>71.05</v>
      </c>
    </row>
    <row r="426" spans="1:15" x14ac:dyDescent="0.35">
      <c r="A426" t="s">
        <v>454</v>
      </c>
      <c r="B426">
        <v>9.99</v>
      </c>
      <c r="C426">
        <v>9.43</v>
      </c>
      <c r="D426">
        <v>12.7</v>
      </c>
      <c r="E426">
        <v>13.39</v>
      </c>
      <c r="F426">
        <v>2.42</v>
      </c>
      <c r="G426">
        <v>3.91</v>
      </c>
      <c r="H426">
        <v>2.95</v>
      </c>
      <c r="I426">
        <v>84.67</v>
      </c>
      <c r="J426">
        <v>50.13</v>
      </c>
      <c r="K426">
        <v>67.400000000000006</v>
      </c>
      <c r="L426">
        <v>13.33</v>
      </c>
      <c r="M426">
        <v>77.16</v>
      </c>
      <c r="N426">
        <v>72.38</v>
      </c>
      <c r="O426">
        <v>73.39</v>
      </c>
    </row>
    <row r="427" spans="1:15" x14ac:dyDescent="0.35">
      <c r="A427" t="s">
        <v>455</v>
      </c>
      <c r="B427">
        <v>9.59</v>
      </c>
      <c r="C427">
        <v>9.33</v>
      </c>
      <c r="D427">
        <v>12.98</v>
      </c>
      <c r="E427">
        <v>13.65</v>
      </c>
      <c r="F427">
        <v>0.64</v>
      </c>
      <c r="G427">
        <v>5.07</v>
      </c>
      <c r="H427">
        <v>2.59</v>
      </c>
      <c r="I427">
        <v>91.12</v>
      </c>
      <c r="J427">
        <v>74.58</v>
      </c>
      <c r="K427">
        <v>82.85</v>
      </c>
      <c r="L427">
        <v>30</v>
      </c>
      <c r="M427">
        <v>79.040000000000006</v>
      </c>
      <c r="N427">
        <v>71.47</v>
      </c>
      <c r="O427">
        <v>75.180000000000007</v>
      </c>
    </row>
    <row r="428" spans="1:15" x14ac:dyDescent="0.35">
      <c r="A428" t="s">
        <v>456</v>
      </c>
      <c r="B428">
        <v>9.19</v>
      </c>
      <c r="C428">
        <v>8.33</v>
      </c>
      <c r="D428">
        <v>12.53</v>
      </c>
      <c r="E428">
        <v>13.23</v>
      </c>
      <c r="F428">
        <v>2.21</v>
      </c>
      <c r="G428">
        <v>3.75</v>
      </c>
      <c r="H428">
        <v>2.76</v>
      </c>
      <c r="I428">
        <v>88.63</v>
      </c>
      <c r="J428">
        <v>51.12</v>
      </c>
      <c r="K428">
        <v>69.875</v>
      </c>
      <c r="L428">
        <v>20</v>
      </c>
      <c r="M428">
        <v>75.45</v>
      </c>
      <c r="N428">
        <v>66.86</v>
      </c>
      <c r="O428">
        <v>71.19</v>
      </c>
    </row>
    <row r="429" spans="1:15" x14ac:dyDescent="0.35">
      <c r="A429" t="s">
        <v>457</v>
      </c>
      <c r="B429">
        <v>8.49</v>
      </c>
      <c r="C429">
        <v>8.0299999999999994</v>
      </c>
      <c r="D429">
        <v>11.84</v>
      </c>
      <c r="E429">
        <v>12.41</v>
      </c>
      <c r="F429">
        <v>1.1599999999999999</v>
      </c>
      <c r="G429">
        <v>1.85</v>
      </c>
      <c r="H429">
        <v>1.43</v>
      </c>
      <c r="I429">
        <v>87.13</v>
      </c>
      <c r="J429">
        <v>56.64</v>
      </c>
      <c r="K429">
        <v>71.884999999999991</v>
      </c>
      <c r="L429">
        <v>8</v>
      </c>
      <c r="M429">
        <v>72.69</v>
      </c>
      <c r="N429">
        <v>62.57</v>
      </c>
      <c r="O429">
        <v>68.150000000000006</v>
      </c>
    </row>
    <row r="430" spans="1:15" x14ac:dyDescent="0.35">
      <c r="A430" t="s">
        <v>458</v>
      </c>
      <c r="B430">
        <v>9.08</v>
      </c>
      <c r="C430">
        <v>8.35</v>
      </c>
      <c r="D430">
        <v>13.69</v>
      </c>
      <c r="E430">
        <v>13.48</v>
      </c>
      <c r="F430">
        <v>2.91</v>
      </c>
      <c r="G430">
        <v>3.16</v>
      </c>
      <c r="H430">
        <v>3.02</v>
      </c>
      <c r="I430">
        <v>83.86</v>
      </c>
      <c r="J430">
        <v>61.69</v>
      </c>
      <c r="K430">
        <v>72.775000000000006</v>
      </c>
      <c r="L430">
        <v>28</v>
      </c>
      <c r="M430">
        <v>76.67</v>
      </c>
      <c r="N430">
        <v>68.680000000000007</v>
      </c>
      <c r="O430">
        <v>72.02</v>
      </c>
    </row>
    <row r="431" spans="1:15" x14ac:dyDescent="0.35">
      <c r="A431" t="s">
        <v>459</v>
      </c>
      <c r="B431">
        <v>8.81</v>
      </c>
      <c r="C431">
        <v>8.9499999999999993</v>
      </c>
      <c r="D431">
        <v>12.19</v>
      </c>
      <c r="E431">
        <v>12.54</v>
      </c>
      <c r="F431">
        <v>0.56000000000000005</v>
      </c>
      <c r="G431">
        <v>3.08</v>
      </c>
      <c r="H431">
        <v>1.64</v>
      </c>
      <c r="I431">
        <v>91.64</v>
      </c>
      <c r="J431">
        <v>71.069999999999993</v>
      </c>
      <c r="K431">
        <v>81.35499999999999</v>
      </c>
      <c r="L431">
        <v>16</v>
      </c>
      <c r="M431">
        <v>72.53</v>
      </c>
      <c r="N431">
        <v>71.599999999999994</v>
      </c>
      <c r="O431">
        <v>71.7</v>
      </c>
    </row>
    <row r="432" spans="1:15" x14ac:dyDescent="0.35">
      <c r="A432" t="s">
        <v>460</v>
      </c>
      <c r="B432">
        <v>9.8000000000000007</v>
      </c>
      <c r="C432">
        <v>8.73</v>
      </c>
      <c r="D432">
        <v>13.41</v>
      </c>
      <c r="E432">
        <v>13.3</v>
      </c>
      <c r="F432">
        <v>2.17</v>
      </c>
      <c r="G432">
        <v>2.0699999999999998</v>
      </c>
      <c r="H432">
        <v>2.13</v>
      </c>
      <c r="I432">
        <v>87.13</v>
      </c>
      <c r="J432">
        <v>76.31</v>
      </c>
      <c r="K432">
        <v>81.72</v>
      </c>
      <c r="L432">
        <v>25</v>
      </c>
      <c r="M432">
        <v>74.55</v>
      </c>
      <c r="N432">
        <v>68.98</v>
      </c>
      <c r="O432">
        <v>70.599999999999994</v>
      </c>
    </row>
    <row r="433" spans="1:15" x14ac:dyDescent="0.35">
      <c r="A433" t="s">
        <v>461</v>
      </c>
      <c r="B433">
        <v>10.039999999999999</v>
      </c>
      <c r="C433">
        <v>9.18</v>
      </c>
      <c r="D433">
        <v>12.9</v>
      </c>
      <c r="E433">
        <v>13.37</v>
      </c>
      <c r="F433">
        <v>1.22</v>
      </c>
      <c r="G433">
        <v>4.03</v>
      </c>
      <c r="H433">
        <v>2.4</v>
      </c>
      <c r="I433">
        <v>87.92</v>
      </c>
      <c r="J433">
        <v>67.75</v>
      </c>
      <c r="K433">
        <v>77.835000000000008</v>
      </c>
      <c r="L433">
        <v>15</v>
      </c>
      <c r="M433">
        <v>76.61</v>
      </c>
      <c r="N433">
        <v>66.94</v>
      </c>
      <c r="O433">
        <v>72.319999999999993</v>
      </c>
    </row>
    <row r="434" spans="1:15" x14ac:dyDescent="0.35">
      <c r="A434" t="s">
        <v>462</v>
      </c>
      <c r="B434">
        <v>8.4700000000000006</v>
      </c>
      <c r="C434">
        <v>8.0399999999999991</v>
      </c>
      <c r="D434">
        <v>12.71</v>
      </c>
      <c r="E434">
        <v>12.69</v>
      </c>
      <c r="F434">
        <v>1.54</v>
      </c>
      <c r="G434">
        <v>3.14</v>
      </c>
      <c r="H434">
        <v>2.15</v>
      </c>
      <c r="I434">
        <v>86.19</v>
      </c>
      <c r="J434">
        <v>57.02</v>
      </c>
      <c r="K434">
        <v>71.605000000000004</v>
      </c>
      <c r="L434">
        <v>20</v>
      </c>
      <c r="M434">
        <v>70.52</v>
      </c>
      <c r="N434">
        <v>70</v>
      </c>
      <c r="O434">
        <v>70.27</v>
      </c>
    </row>
    <row r="435" spans="1:15" x14ac:dyDescent="0.35">
      <c r="A435" t="s">
        <v>463</v>
      </c>
      <c r="B435">
        <v>10.039999999999999</v>
      </c>
      <c r="C435">
        <v>8.9600000000000009</v>
      </c>
      <c r="D435">
        <v>12.3</v>
      </c>
      <c r="E435">
        <v>13.05</v>
      </c>
      <c r="F435">
        <v>0.24</v>
      </c>
      <c r="G435">
        <v>3.13</v>
      </c>
      <c r="H435">
        <v>1.51</v>
      </c>
      <c r="I435">
        <v>89.62</v>
      </c>
      <c r="J435">
        <v>72.73</v>
      </c>
      <c r="K435">
        <v>81.175000000000011</v>
      </c>
      <c r="L435">
        <v>15</v>
      </c>
      <c r="M435">
        <v>73.180000000000007</v>
      </c>
      <c r="N435">
        <v>63.25</v>
      </c>
      <c r="O435">
        <v>67.989999999999995</v>
      </c>
    </row>
    <row r="436" spans="1:15" x14ac:dyDescent="0.35">
      <c r="A436" t="s">
        <v>464</v>
      </c>
      <c r="B436">
        <v>8.66</v>
      </c>
      <c r="C436">
        <v>7.55</v>
      </c>
      <c r="D436">
        <v>12.71</v>
      </c>
      <c r="E436">
        <v>12.76</v>
      </c>
      <c r="F436">
        <v>0.89</v>
      </c>
      <c r="G436">
        <v>3.57</v>
      </c>
      <c r="H436">
        <v>2.06</v>
      </c>
      <c r="I436">
        <v>84.53</v>
      </c>
      <c r="J436">
        <v>63.43</v>
      </c>
      <c r="K436">
        <v>73.98</v>
      </c>
      <c r="L436">
        <v>10</v>
      </c>
      <c r="M436">
        <v>72.290000000000006</v>
      </c>
      <c r="N436">
        <v>64.849999999999994</v>
      </c>
      <c r="O436">
        <v>68.06</v>
      </c>
    </row>
    <row r="437" spans="1:15" x14ac:dyDescent="0.35">
      <c r="A437" t="s">
        <v>465</v>
      </c>
      <c r="B437">
        <v>7.74</v>
      </c>
      <c r="C437">
        <v>6.37</v>
      </c>
      <c r="D437">
        <v>13.19</v>
      </c>
      <c r="E437">
        <v>13.8</v>
      </c>
      <c r="F437">
        <v>4.1399999999999997</v>
      </c>
      <c r="G437">
        <v>1</v>
      </c>
      <c r="H437">
        <v>2.84</v>
      </c>
      <c r="I437">
        <v>79.349999999999994</v>
      </c>
      <c r="J437">
        <v>56.57</v>
      </c>
      <c r="K437">
        <v>67.959999999999994</v>
      </c>
      <c r="L437">
        <v>12</v>
      </c>
      <c r="M437">
        <v>71.760000000000005</v>
      </c>
      <c r="N437">
        <v>60.13</v>
      </c>
      <c r="O437">
        <v>66.47</v>
      </c>
    </row>
    <row r="438" spans="1:15" x14ac:dyDescent="0.35">
      <c r="A438" t="s">
        <v>466</v>
      </c>
      <c r="B438">
        <v>8.27</v>
      </c>
      <c r="C438">
        <v>7.31</v>
      </c>
      <c r="D438">
        <v>13.39</v>
      </c>
      <c r="E438">
        <v>13.36</v>
      </c>
      <c r="F438">
        <v>3.12</v>
      </c>
      <c r="G438">
        <v>3.9</v>
      </c>
      <c r="H438">
        <v>3.48</v>
      </c>
      <c r="I438">
        <v>87.79</v>
      </c>
      <c r="J438">
        <v>75.989999999999995</v>
      </c>
      <c r="K438">
        <v>81.89</v>
      </c>
      <c r="L438">
        <v>8</v>
      </c>
      <c r="M438">
        <v>73.760000000000005</v>
      </c>
      <c r="N438">
        <v>54.96</v>
      </c>
      <c r="O438">
        <v>67</v>
      </c>
    </row>
    <row r="439" spans="1:15" x14ac:dyDescent="0.35">
      <c r="A439" t="s">
        <v>467</v>
      </c>
      <c r="B439">
        <v>12.93</v>
      </c>
      <c r="C439">
        <v>12.13</v>
      </c>
      <c r="D439">
        <v>16.95</v>
      </c>
      <c r="E439">
        <v>16.920000000000002</v>
      </c>
      <c r="F439">
        <v>5.04</v>
      </c>
      <c r="G439">
        <v>6.61</v>
      </c>
      <c r="H439">
        <v>5.67</v>
      </c>
      <c r="I439">
        <v>81.25</v>
      </c>
      <c r="J439">
        <v>55.49</v>
      </c>
      <c r="K439">
        <v>68.37</v>
      </c>
      <c r="L439">
        <v>20.59</v>
      </c>
      <c r="M439">
        <v>87.88</v>
      </c>
      <c r="N439">
        <v>83.61</v>
      </c>
      <c r="O439">
        <v>85.33</v>
      </c>
    </row>
    <row r="440" spans="1:15" x14ac:dyDescent="0.35">
      <c r="A440" t="s">
        <v>468</v>
      </c>
      <c r="B440">
        <v>11.33</v>
      </c>
      <c r="C440">
        <v>10.88</v>
      </c>
      <c r="D440">
        <v>15.36</v>
      </c>
      <c r="E440">
        <v>15.7</v>
      </c>
      <c r="F440">
        <v>3.58</v>
      </c>
      <c r="G440">
        <v>4.5599999999999996</v>
      </c>
      <c r="H440">
        <v>3.99</v>
      </c>
      <c r="I440">
        <v>80.510000000000005</v>
      </c>
      <c r="J440">
        <v>58.12</v>
      </c>
      <c r="K440">
        <v>69.314999999999998</v>
      </c>
      <c r="L440">
        <v>20</v>
      </c>
      <c r="M440">
        <v>82.3</v>
      </c>
      <c r="N440">
        <v>75.180000000000007</v>
      </c>
      <c r="O440">
        <v>78.13</v>
      </c>
    </row>
    <row r="441" spans="1:15" x14ac:dyDescent="0.35">
      <c r="A441" t="s">
        <v>470</v>
      </c>
      <c r="B441">
        <v>6.72</v>
      </c>
      <c r="C441">
        <v>7.67</v>
      </c>
      <c r="D441">
        <v>11.93</v>
      </c>
      <c r="E441">
        <v>13.07</v>
      </c>
      <c r="F441">
        <v>2.5099999999999998</v>
      </c>
      <c r="G441">
        <v>3.96</v>
      </c>
      <c r="H441">
        <v>3.06</v>
      </c>
      <c r="I441">
        <v>84.4</v>
      </c>
      <c r="J441">
        <v>54.18</v>
      </c>
      <c r="K441">
        <v>69.290000000000006</v>
      </c>
      <c r="L441">
        <v>28</v>
      </c>
      <c r="M441">
        <v>71.34</v>
      </c>
      <c r="N441">
        <v>59.65</v>
      </c>
      <c r="O441">
        <v>68.739999999999995</v>
      </c>
    </row>
    <row r="442" spans="1:15" x14ac:dyDescent="0.35">
      <c r="A442" t="s">
        <v>471</v>
      </c>
      <c r="B442">
        <v>7.88</v>
      </c>
      <c r="C442">
        <v>8.6999999999999993</v>
      </c>
      <c r="D442">
        <v>12.87</v>
      </c>
      <c r="E442">
        <v>13.85</v>
      </c>
      <c r="F442">
        <v>2.19</v>
      </c>
      <c r="G442">
        <v>3.34</v>
      </c>
      <c r="H442">
        <v>2.64</v>
      </c>
      <c r="I442">
        <v>86.05</v>
      </c>
      <c r="J442">
        <v>56.83</v>
      </c>
      <c r="K442">
        <v>71.44</v>
      </c>
      <c r="L442">
        <v>24.44</v>
      </c>
      <c r="M442">
        <v>73.62</v>
      </c>
      <c r="N442">
        <v>65.260000000000005</v>
      </c>
      <c r="O442">
        <v>69.66</v>
      </c>
    </row>
    <row r="443" spans="1:15" x14ac:dyDescent="0.35">
      <c r="A443" t="s">
        <v>472</v>
      </c>
      <c r="B443">
        <v>7.51</v>
      </c>
      <c r="C443">
        <v>8.0500000000000007</v>
      </c>
      <c r="D443">
        <v>12.26</v>
      </c>
      <c r="E443">
        <v>13.11</v>
      </c>
      <c r="F443">
        <v>1.52</v>
      </c>
      <c r="G443">
        <v>5.66</v>
      </c>
      <c r="H443">
        <v>3.12</v>
      </c>
      <c r="I443">
        <v>87.31</v>
      </c>
      <c r="J443">
        <v>56.23</v>
      </c>
      <c r="K443">
        <v>71.77</v>
      </c>
      <c r="L443">
        <v>20</v>
      </c>
      <c r="M443">
        <v>69.930000000000007</v>
      </c>
      <c r="N443">
        <v>64.61</v>
      </c>
      <c r="O443">
        <v>68.02</v>
      </c>
    </row>
    <row r="444" spans="1:15" x14ac:dyDescent="0.35">
      <c r="A444" t="s">
        <v>473</v>
      </c>
      <c r="B444">
        <v>8.02</v>
      </c>
      <c r="C444">
        <v>9</v>
      </c>
      <c r="D444">
        <v>13.27</v>
      </c>
      <c r="E444">
        <v>14.59</v>
      </c>
      <c r="F444">
        <v>2.96</v>
      </c>
      <c r="G444">
        <v>5.05</v>
      </c>
      <c r="H444">
        <v>3.76</v>
      </c>
      <c r="I444">
        <v>85.14</v>
      </c>
      <c r="J444">
        <v>52.56</v>
      </c>
      <c r="K444">
        <v>68.849999999999994</v>
      </c>
      <c r="L444">
        <v>12</v>
      </c>
      <c r="M444">
        <v>74.67</v>
      </c>
      <c r="N444">
        <v>66.650000000000006</v>
      </c>
      <c r="O444">
        <v>72.38</v>
      </c>
    </row>
    <row r="445" spans="1:15" x14ac:dyDescent="0.35">
      <c r="A445" t="s">
        <v>474</v>
      </c>
      <c r="B445">
        <v>7.19</v>
      </c>
      <c r="C445">
        <v>7.7</v>
      </c>
      <c r="D445">
        <v>12.22</v>
      </c>
      <c r="E445">
        <v>13.13</v>
      </c>
      <c r="F445">
        <v>2.68</v>
      </c>
      <c r="G445">
        <v>2.97</v>
      </c>
      <c r="H445">
        <v>2.79</v>
      </c>
      <c r="I445">
        <v>83.16</v>
      </c>
      <c r="J445">
        <v>56.14</v>
      </c>
      <c r="K445">
        <v>69.650000000000006</v>
      </c>
      <c r="L445">
        <v>36</v>
      </c>
      <c r="M445">
        <v>70.75</v>
      </c>
      <c r="N445">
        <v>58.58</v>
      </c>
      <c r="O445">
        <v>67.459999999999994</v>
      </c>
    </row>
    <row r="446" spans="1:15" x14ac:dyDescent="0.35">
      <c r="A446" t="s">
        <v>475</v>
      </c>
      <c r="B446">
        <v>10.36</v>
      </c>
      <c r="C446">
        <v>10.84</v>
      </c>
      <c r="D446">
        <v>14.22</v>
      </c>
      <c r="E446">
        <v>15.1</v>
      </c>
      <c r="F446">
        <v>4.24</v>
      </c>
      <c r="G446">
        <v>3.38</v>
      </c>
      <c r="H446">
        <v>3.89</v>
      </c>
      <c r="I446">
        <v>79.75</v>
      </c>
      <c r="J446">
        <v>53.75</v>
      </c>
      <c r="K446">
        <v>66.75</v>
      </c>
      <c r="L446">
        <v>16.670000000000002</v>
      </c>
      <c r="M446">
        <v>82.36</v>
      </c>
      <c r="N446">
        <v>72.86</v>
      </c>
      <c r="O446">
        <v>79.180000000000007</v>
      </c>
    </row>
    <row r="447" spans="1:15" x14ac:dyDescent="0.35">
      <c r="A447" t="s">
        <v>477</v>
      </c>
      <c r="B447">
        <v>9.59</v>
      </c>
      <c r="C447">
        <v>9.31</v>
      </c>
      <c r="D447">
        <v>13.55</v>
      </c>
      <c r="E447">
        <v>14.14</v>
      </c>
      <c r="F447">
        <v>3.33</v>
      </c>
      <c r="G447">
        <v>5.63</v>
      </c>
      <c r="H447">
        <v>4.1900000000000004</v>
      </c>
      <c r="I447">
        <v>80.13</v>
      </c>
      <c r="J447">
        <v>47.42</v>
      </c>
      <c r="K447">
        <v>63.774999999999999</v>
      </c>
      <c r="L447">
        <v>20</v>
      </c>
      <c r="M447">
        <v>71.72</v>
      </c>
      <c r="N447">
        <v>68.25</v>
      </c>
      <c r="O447">
        <v>69.42</v>
      </c>
    </row>
    <row r="448" spans="1:15" x14ac:dyDescent="0.35">
      <c r="A448" t="s">
        <v>478</v>
      </c>
      <c r="B448">
        <v>8.06</v>
      </c>
      <c r="C448">
        <v>7.41</v>
      </c>
      <c r="D448">
        <v>13.24</v>
      </c>
      <c r="E448">
        <v>13.89</v>
      </c>
      <c r="F448">
        <v>2.85</v>
      </c>
      <c r="G448">
        <v>3.45</v>
      </c>
      <c r="H448">
        <v>3.1</v>
      </c>
      <c r="I448">
        <v>83.99</v>
      </c>
      <c r="J448">
        <v>57.47</v>
      </c>
      <c r="K448">
        <v>70.72999999999999</v>
      </c>
      <c r="L448">
        <v>20</v>
      </c>
      <c r="M448">
        <v>69.72</v>
      </c>
      <c r="N448">
        <v>64.319999999999993</v>
      </c>
      <c r="O448">
        <v>66.22</v>
      </c>
    </row>
    <row r="449" spans="1:15" x14ac:dyDescent="0.35">
      <c r="A449" t="s">
        <v>479</v>
      </c>
      <c r="B449">
        <v>8.3699999999999992</v>
      </c>
      <c r="C449">
        <v>8.1300000000000008</v>
      </c>
      <c r="D449">
        <v>12.18</v>
      </c>
      <c r="E449">
        <v>13.16</v>
      </c>
      <c r="F449">
        <v>2.0499999999999998</v>
      </c>
      <c r="G449">
        <v>3.15</v>
      </c>
      <c r="H449">
        <v>2.5</v>
      </c>
      <c r="I449">
        <v>86.93</v>
      </c>
      <c r="J449">
        <v>63.75</v>
      </c>
      <c r="K449">
        <v>75.34</v>
      </c>
      <c r="L449">
        <v>13.33</v>
      </c>
      <c r="M449">
        <v>69.47</v>
      </c>
      <c r="N449">
        <v>68.34</v>
      </c>
      <c r="O449">
        <v>68.37</v>
      </c>
    </row>
    <row r="450" spans="1:15" x14ac:dyDescent="0.35">
      <c r="A450" t="s">
        <v>480</v>
      </c>
      <c r="B450">
        <v>8.73</v>
      </c>
      <c r="C450">
        <v>8.11</v>
      </c>
      <c r="D450">
        <v>12.65</v>
      </c>
      <c r="E450">
        <v>13.78</v>
      </c>
      <c r="F450">
        <v>1.7</v>
      </c>
      <c r="G450">
        <v>4.3600000000000003</v>
      </c>
      <c r="H450">
        <v>2.77</v>
      </c>
      <c r="I450">
        <v>88.45</v>
      </c>
      <c r="J450">
        <v>61.92</v>
      </c>
      <c r="K450">
        <v>75.185000000000002</v>
      </c>
      <c r="L450">
        <v>10</v>
      </c>
      <c r="M450">
        <v>73.16</v>
      </c>
      <c r="N450">
        <v>66.52</v>
      </c>
      <c r="O450">
        <v>70.400000000000006</v>
      </c>
    </row>
    <row r="451" spans="1:15" x14ac:dyDescent="0.35">
      <c r="A451" t="s">
        <v>481</v>
      </c>
      <c r="B451">
        <v>8.39</v>
      </c>
      <c r="C451">
        <v>8.1300000000000008</v>
      </c>
      <c r="D451">
        <v>12.08</v>
      </c>
      <c r="E451">
        <v>12.28</v>
      </c>
      <c r="F451">
        <v>1.01</v>
      </c>
      <c r="G451">
        <v>1.53</v>
      </c>
      <c r="H451">
        <v>1.2</v>
      </c>
      <c r="I451">
        <v>88.81</v>
      </c>
      <c r="J451">
        <v>54.11</v>
      </c>
      <c r="K451">
        <v>71.460000000000008</v>
      </c>
      <c r="L451">
        <v>16.670000000000002</v>
      </c>
      <c r="M451">
        <v>74.11</v>
      </c>
      <c r="N451">
        <v>63.84</v>
      </c>
      <c r="O451">
        <v>69.73</v>
      </c>
    </row>
    <row r="452" spans="1:15" x14ac:dyDescent="0.35">
      <c r="A452" t="s">
        <v>482</v>
      </c>
      <c r="B452">
        <v>8.16</v>
      </c>
      <c r="C452">
        <v>7.84</v>
      </c>
      <c r="D452">
        <v>12.64</v>
      </c>
      <c r="E452">
        <v>13.21</v>
      </c>
      <c r="F452">
        <v>0.18</v>
      </c>
      <c r="G452">
        <v>4.75</v>
      </c>
      <c r="H452">
        <v>1.7</v>
      </c>
      <c r="I452">
        <v>89.21</v>
      </c>
      <c r="J452">
        <v>47.53</v>
      </c>
      <c r="K452">
        <v>68.37</v>
      </c>
      <c r="L452">
        <v>12</v>
      </c>
      <c r="M452">
        <v>72.92</v>
      </c>
      <c r="N452">
        <v>63.25</v>
      </c>
      <c r="O452">
        <v>68.36</v>
      </c>
    </row>
    <row r="453" spans="1:15" x14ac:dyDescent="0.35">
      <c r="A453" t="s">
        <v>484</v>
      </c>
      <c r="B453">
        <v>10.06</v>
      </c>
      <c r="C453">
        <v>9.92</v>
      </c>
      <c r="D453">
        <v>12.17</v>
      </c>
      <c r="E453">
        <v>12.91</v>
      </c>
      <c r="F453">
        <v>4.5999999999999996</v>
      </c>
      <c r="G453">
        <v>3.72</v>
      </c>
      <c r="H453">
        <v>4.24</v>
      </c>
      <c r="I453">
        <v>73.88</v>
      </c>
      <c r="J453">
        <v>51.95</v>
      </c>
      <c r="K453">
        <v>62.914999999999999</v>
      </c>
      <c r="L453">
        <v>20</v>
      </c>
      <c r="M453">
        <v>68.040000000000006</v>
      </c>
      <c r="N453">
        <v>59.57</v>
      </c>
      <c r="O453">
        <v>64.83</v>
      </c>
    </row>
    <row r="454" spans="1:15" x14ac:dyDescent="0.35">
      <c r="A454" t="s">
        <v>485</v>
      </c>
      <c r="B454">
        <v>10.18</v>
      </c>
      <c r="C454">
        <v>9.84</v>
      </c>
      <c r="D454">
        <v>12.6</v>
      </c>
      <c r="E454">
        <v>13.35</v>
      </c>
      <c r="F454">
        <v>5.8</v>
      </c>
      <c r="G454">
        <v>5.54</v>
      </c>
      <c r="H454">
        <v>5.68</v>
      </c>
      <c r="I454">
        <v>72.290000000000006</v>
      </c>
      <c r="J454">
        <v>62.98</v>
      </c>
      <c r="K454">
        <v>67.635000000000005</v>
      </c>
      <c r="L454">
        <v>12</v>
      </c>
      <c r="M454">
        <v>69.97</v>
      </c>
      <c r="N454">
        <v>67.72</v>
      </c>
      <c r="O454">
        <v>68.239999999999995</v>
      </c>
    </row>
    <row r="455" spans="1:15" x14ac:dyDescent="0.35">
      <c r="A455" t="s">
        <v>486</v>
      </c>
      <c r="B455">
        <v>10.130000000000001</v>
      </c>
      <c r="C455">
        <v>9.76</v>
      </c>
      <c r="D455">
        <v>14.05</v>
      </c>
      <c r="E455">
        <v>15.32</v>
      </c>
      <c r="F455">
        <v>7.39</v>
      </c>
      <c r="G455">
        <v>5.32</v>
      </c>
      <c r="H455">
        <v>6.5</v>
      </c>
      <c r="I455">
        <v>74.52</v>
      </c>
      <c r="J455">
        <v>57.48</v>
      </c>
      <c r="K455">
        <v>66</v>
      </c>
      <c r="L455">
        <v>17.5</v>
      </c>
      <c r="M455">
        <v>74.33</v>
      </c>
      <c r="N455">
        <v>73.09</v>
      </c>
      <c r="O455">
        <v>73.209999999999994</v>
      </c>
    </row>
    <row r="456" spans="1:15" x14ac:dyDescent="0.35">
      <c r="A456" t="s">
        <v>487</v>
      </c>
      <c r="B456">
        <v>9.25</v>
      </c>
      <c r="C456">
        <v>8.91</v>
      </c>
      <c r="D456">
        <v>13.06</v>
      </c>
      <c r="E456">
        <v>13.95</v>
      </c>
      <c r="F456">
        <v>4.72</v>
      </c>
      <c r="G456">
        <v>4.55</v>
      </c>
      <c r="H456">
        <v>4.66</v>
      </c>
      <c r="I456">
        <v>86.05</v>
      </c>
      <c r="J456">
        <v>58.34</v>
      </c>
      <c r="K456">
        <v>72.194999999999993</v>
      </c>
      <c r="L456">
        <v>16</v>
      </c>
      <c r="M456">
        <v>75.53</v>
      </c>
      <c r="N456">
        <v>69.349999999999994</v>
      </c>
      <c r="O456">
        <v>71.010000000000005</v>
      </c>
    </row>
    <row r="457" spans="1:15" x14ac:dyDescent="0.35">
      <c r="A457" t="s">
        <v>488</v>
      </c>
      <c r="B457">
        <v>9.24</v>
      </c>
      <c r="C457">
        <v>9.1199999999999992</v>
      </c>
      <c r="D457">
        <v>12.26</v>
      </c>
      <c r="E457">
        <v>12.91</v>
      </c>
      <c r="F457">
        <v>0.94</v>
      </c>
      <c r="G457">
        <v>3.73</v>
      </c>
      <c r="H457">
        <v>1.83</v>
      </c>
      <c r="I457">
        <v>81.540000000000006</v>
      </c>
      <c r="J457">
        <v>40.89</v>
      </c>
      <c r="K457">
        <v>61.215000000000003</v>
      </c>
      <c r="L457">
        <v>12</v>
      </c>
      <c r="M457">
        <v>69.819999999999993</v>
      </c>
      <c r="N457">
        <v>62.5</v>
      </c>
      <c r="O457">
        <v>65.83</v>
      </c>
    </row>
    <row r="458" spans="1:15" x14ac:dyDescent="0.35">
      <c r="A458" t="s">
        <v>489</v>
      </c>
      <c r="B458">
        <v>9.64</v>
      </c>
      <c r="C458">
        <v>9.5299999999999994</v>
      </c>
      <c r="D458">
        <v>13.49</v>
      </c>
      <c r="E458">
        <v>13.82</v>
      </c>
      <c r="F458">
        <v>5.87</v>
      </c>
      <c r="G458">
        <v>2.73</v>
      </c>
      <c r="H458">
        <v>4.5199999999999996</v>
      </c>
      <c r="I458">
        <v>78.11</v>
      </c>
      <c r="J458">
        <v>60.95</v>
      </c>
      <c r="K458">
        <v>69.53</v>
      </c>
      <c r="L458">
        <v>13.33</v>
      </c>
      <c r="M458">
        <v>68.72</v>
      </c>
      <c r="N458">
        <v>67.62</v>
      </c>
      <c r="O458">
        <v>68.39</v>
      </c>
    </row>
    <row r="459" spans="1:15" x14ac:dyDescent="0.35">
      <c r="A459" t="s">
        <v>490</v>
      </c>
      <c r="B459">
        <v>9.42</v>
      </c>
      <c r="C459">
        <v>8.31</v>
      </c>
      <c r="D459">
        <v>12.89</v>
      </c>
      <c r="E459">
        <v>13.19</v>
      </c>
      <c r="F459">
        <v>2.2400000000000002</v>
      </c>
      <c r="G459">
        <v>4.71</v>
      </c>
      <c r="H459">
        <v>3.24</v>
      </c>
      <c r="I459">
        <v>71.34</v>
      </c>
      <c r="J459">
        <v>50.33</v>
      </c>
      <c r="K459">
        <v>60.835000000000001</v>
      </c>
      <c r="L459">
        <v>8</v>
      </c>
      <c r="M459">
        <v>70.010000000000005</v>
      </c>
      <c r="N459">
        <v>62.19</v>
      </c>
      <c r="O459">
        <v>66.239999999999995</v>
      </c>
    </row>
    <row r="460" spans="1:15" x14ac:dyDescent="0.35">
      <c r="A460" t="s">
        <v>491</v>
      </c>
      <c r="B460">
        <v>9.23</v>
      </c>
      <c r="C460">
        <v>9.0299999999999994</v>
      </c>
      <c r="D460">
        <v>12.55</v>
      </c>
      <c r="E460">
        <v>13</v>
      </c>
      <c r="F460">
        <v>1.71</v>
      </c>
      <c r="G460">
        <v>3.27</v>
      </c>
      <c r="H460">
        <v>2.36</v>
      </c>
      <c r="I460">
        <v>81.34</v>
      </c>
      <c r="J460">
        <v>59.96</v>
      </c>
      <c r="K460">
        <v>70.650000000000006</v>
      </c>
      <c r="L460">
        <v>15</v>
      </c>
      <c r="M460">
        <v>68.680000000000007</v>
      </c>
      <c r="N460">
        <v>62.26</v>
      </c>
      <c r="O460">
        <v>64.86</v>
      </c>
    </row>
    <row r="461" spans="1:15" x14ac:dyDescent="0.35">
      <c r="A461" t="s">
        <v>492</v>
      </c>
      <c r="B461">
        <v>8.83</v>
      </c>
      <c r="C461">
        <v>8.16</v>
      </c>
      <c r="D461">
        <v>12.85</v>
      </c>
      <c r="E461">
        <v>12.87</v>
      </c>
      <c r="F461">
        <v>0.87</v>
      </c>
      <c r="G461">
        <v>1.94</v>
      </c>
      <c r="H461">
        <v>1.35</v>
      </c>
      <c r="I461">
        <v>77.47</v>
      </c>
      <c r="J461">
        <v>66.41</v>
      </c>
      <c r="K461">
        <v>71.94</v>
      </c>
      <c r="L461">
        <v>10</v>
      </c>
      <c r="M461">
        <v>72.989999999999995</v>
      </c>
      <c r="N461">
        <v>63.69</v>
      </c>
      <c r="O461">
        <v>67.09</v>
      </c>
    </row>
    <row r="462" spans="1:15" x14ac:dyDescent="0.35">
      <c r="A462" t="s">
        <v>493</v>
      </c>
      <c r="B462">
        <v>12.26</v>
      </c>
      <c r="C462">
        <v>12.24</v>
      </c>
      <c r="D462">
        <v>15.66</v>
      </c>
      <c r="E462">
        <v>16.7</v>
      </c>
      <c r="F462">
        <v>9.92</v>
      </c>
      <c r="G462">
        <v>13.45</v>
      </c>
      <c r="H462">
        <v>11.44</v>
      </c>
      <c r="I462">
        <v>76.290000000000006</v>
      </c>
      <c r="J462">
        <v>56.95</v>
      </c>
      <c r="K462">
        <v>66.62</v>
      </c>
      <c r="L462">
        <v>20.59</v>
      </c>
      <c r="M462">
        <v>84.01</v>
      </c>
      <c r="N462">
        <v>82.29</v>
      </c>
      <c r="O462">
        <v>82.56</v>
      </c>
    </row>
    <row r="463" spans="1:15" x14ac:dyDescent="0.35">
      <c r="A463" t="s">
        <v>494</v>
      </c>
      <c r="B463">
        <v>11.11</v>
      </c>
      <c r="C463">
        <v>10.44</v>
      </c>
      <c r="D463">
        <v>14.01</v>
      </c>
      <c r="E463">
        <v>14.87</v>
      </c>
      <c r="F463">
        <v>9.56</v>
      </c>
      <c r="G463">
        <v>7.17</v>
      </c>
      <c r="H463">
        <v>8.68</v>
      </c>
      <c r="I463">
        <v>77.53</v>
      </c>
      <c r="J463">
        <v>44.42</v>
      </c>
      <c r="K463">
        <v>60.975000000000001</v>
      </c>
      <c r="L463">
        <v>10</v>
      </c>
      <c r="M463">
        <v>74.77</v>
      </c>
      <c r="N463">
        <v>66.41</v>
      </c>
      <c r="O463">
        <v>70.209999999999994</v>
      </c>
    </row>
    <row r="464" spans="1:15" x14ac:dyDescent="0.35">
      <c r="A464" t="s">
        <v>496</v>
      </c>
      <c r="B464">
        <v>9.1</v>
      </c>
      <c r="C464">
        <v>8.42</v>
      </c>
      <c r="D464">
        <v>13.22</v>
      </c>
      <c r="E464">
        <v>13.32</v>
      </c>
      <c r="F464">
        <v>2.83</v>
      </c>
      <c r="G464">
        <v>4.59</v>
      </c>
      <c r="H464">
        <v>3.53</v>
      </c>
      <c r="I464">
        <v>81.3</v>
      </c>
      <c r="J464">
        <v>56.71</v>
      </c>
      <c r="K464">
        <v>69.004999999999995</v>
      </c>
      <c r="L464">
        <v>12</v>
      </c>
      <c r="M464">
        <v>72.06</v>
      </c>
      <c r="N464">
        <v>64.349999999999994</v>
      </c>
      <c r="O464">
        <v>67.53</v>
      </c>
    </row>
    <row r="465" spans="1:15" x14ac:dyDescent="0.35">
      <c r="A465" t="s">
        <v>497</v>
      </c>
      <c r="B465">
        <v>9.56</v>
      </c>
      <c r="C465">
        <v>9.0299999999999994</v>
      </c>
      <c r="D465">
        <v>13.46</v>
      </c>
      <c r="E465">
        <v>13.59</v>
      </c>
      <c r="F465">
        <v>3.8</v>
      </c>
      <c r="G465">
        <v>2.68</v>
      </c>
      <c r="H465">
        <v>3.43</v>
      </c>
      <c r="I465">
        <v>89.94</v>
      </c>
      <c r="J465">
        <v>49.51</v>
      </c>
      <c r="K465">
        <v>69.724999999999994</v>
      </c>
      <c r="L465">
        <v>5</v>
      </c>
      <c r="M465">
        <v>72.34</v>
      </c>
      <c r="N465">
        <v>65.540000000000006</v>
      </c>
      <c r="O465">
        <v>68.45</v>
      </c>
    </row>
    <row r="466" spans="1:15" x14ac:dyDescent="0.35">
      <c r="A466" t="s">
        <v>498</v>
      </c>
      <c r="B466">
        <v>9.51</v>
      </c>
      <c r="C466">
        <v>9.16</v>
      </c>
      <c r="D466">
        <v>13.01</v>
      </c>
      <c r="E466">
        <v>12.98</v>
      </c>
      <c r="F466">
        <v>2.08</v>
      </c>
      <c r="G466">
        <v>3.45</v>
      </c>
      <c r="H466">
        <v>2.57</v>
      </c>
      <c r="I466">
        <v>80.38</v>
      </c>
      <c r="J466">
        <v>46.46</v>
      </c>
      <c r="K466">
        <v>63.42</v>
      </c>
      <c r="L466">
        <v>16</v>
      </c>
      <c r="M466">
        <v>69.739999999999995</v>
      </c>
      <c r="N466">
        <v>64.989999999999995</v>
      </c>
      <c r="O466">
        <v>65.989999999999995</v>
      </c>
    </row>
    <row r="467" spans="1:15" x14ac:dyDescent="0.35">
      <c r="A467" t="s">
        <v>499</v>
      </c>
      <c r="B467">
        <v>8.7899999999999991</v>
      </c>
      <c r="C467">
        <v>8.08</v>
      </c>
      <c r="D467">
        <v>13.19</v>
      </c>
      <c r="E467">
        <v>12.91</v>
      </c>
      <c r="F467">
        <v>2.2599999999999998</v>
      </c>
      <c r="G467">
        <v>1.6</v>
      </c>
      <c r="H467">
        <v>2</v>
      </c>
      <c r="I467">
        <v>85.31</v>
      </c>
      <c r="J467">
        <v>63.33</v>
      </c>
      <c r="K467">
        <v>74.319999999999993</v>
      </c>
      <c r="L467">
        <v>13.33</v>
      </c>
      <c r="M467">
        <v>71.64</v>
      </c>
      <c r="N467">
        <v>62.89</v>
      </c>
      <c r="O467">
        <v>66.66</v>
      </c>
    </row>
    <row r="468" spans="1:15" x14ac:dyDescent="0.35">
      <c r="A468" t="s">
        <v>500</v>
      </c>
      <c r="B468">
        <v>9.24</v>
      </c>
      <c r="C468">
        <v>8.36</v>
      </c>
      <c r="D468">
        <v>13.8</v>
      </c>
      <c r="E468">
        <v>13.56</v>
      </c>
      <c r="F468">
        <v>6.02</v>
      </c>
      <c r="G468">
        <v>6.46</v>
      </c>
      <c r="H468">
        <v>6.2</v>
      </c>
      <c r="I468">
        <v>81.739999999999995</v>
      </c>
      <c r="J468">
        <v>59.19</v>
      </c>
      <c r="K468">
        <v>70.465000000000003</v>
      </c>
      <c r="L468">
        <v>33.33</v>
      </c>
      <c r="M468">
        <v>75.069999999999993</v>
      </c>
      <c r="N468">
        <v>67.75</v>
      </c>
      <c r="O468">
        <v>69.78</v>
      </c>
    </row>
    <row r="469" spans="1:15" x14ac:dyDescent="0.35">
      <c r="A469" t="s">
        <v>501</v>
      </c>
      <c r="B469">
        <v>9.34</v>
      </c>
      <c r="C469">
        <v>8.6199999999999992</v>
      </c>
      <c r="D469">
        <v>13.28</v>
      </c>
      <c r="E469">
        <v>12.83</v>
      </c>
      <c r="F469">
        <v>4.3899999999999997</v>
      </c>
      <c r="G469">
        <v>4.18</v>
      </c>
      <c r="H469">
        <v>4.32</v>
      </c>
      <c r="I469">
        <v>86.74</v>
      </c>
      <c r="J469">
        <v>50.93</v>
      </c>
      <c r="K469">
        <v>68.834999999999994</v>
      </c>
      <c r="L469">
        <v>5</v>
      </c>
      <c r="M469">
        <v>75.11</v>
      </c>
      <c r="N469">
        <v>62.11</v>
      </c>
      <c r="O469">
        <v>69.58</v>
      </c>
    </row>
    <row r="470" spans="1:15" x14ac:dyDescent="0.35">
      <c r="A470" t="s">
        <v>502</v>
      </c>
      <c r="B470">
        <v>8.17</v>
      </c>
      <c r="C470">
        <v>7.27</v>
      </c>
      <c r="D470">
        <v>13.01</v>
      </c>
      <c r="E470">
        <v>13.1</v>
      </c>
      <c r="F470">
        <v>4.63</v>
      </c>
      <c r="G470">
        <v>3.48</v>
      </c>
      <c r="H470">
        <v>4.21</v>
      </c>
      <c r="I470">
        <v>81.290000000000006</v>
      </c>
      <c r="J470">
        <v>51.33</v>
      </c>
      <c r="K470">
        <v>66.31</v>
      </c>
      <c r="L470">
        <v>15</v>
      </c>
      <c r="M470">
        <v>71.44</v>
      </c>
      <c r="N470">
        <v>51.87</v>
      </c>
      <c r="O470">
        <v>65.680000000000007</v>
      </c>
    </row>
    <row r="471" spans="1:15" x14ac:dyDescent="0.35">
      <c r="A471" t="s">
        <v>503</v>
      </c>
      <c r="B471">
        <v>8.34</v>
      </c>
      <c r="C471">
        <v>7.83</v>
      </c>
      <c r="D471">
        <v>12.66</v>
      </c>
      <c r="E471">
        <v>13.11</v>
      </c>
      <c r="F471">
        <v>2.0699999999999998</v>
      </c>
      <c r="G471">
        <v>4.33</v>
      </c>
      <c r="H471">
        <v>2.86</v>
      </c>
      <c r="I471">
        <v>81.75</v>
      </c>
      <c r="J471">
        <v>48.02</v>
      </c>
      <c r="K471">
        <v>64.885000000000005</v>
      </c>
      <c r="L471">
        <v>25</v>
      </c>
      <c r="M471">
        <v>68.75</v>
      </c>
      <c r="N471">
        <v>58.39</v>
      </c>
      <c r="O471">
        <v>62.9</v>
      </c>
    </row>
    <row r="472" spans="1:15" x14ac:dyDescent="0.35">
      <c r="A472" t="s">
        <v>504</v>
      </c>
      <c r="B472">
        <v>12.35</v>
      </c>
      <c r="C472">
        <v>11.71</v>
      </c>
      <c r="D472">
        <v>15.94</v>
      </c>
      <c r="E472">
        <v>15.92</v>
      </c>
      <c r="F472">
        <v>6.77</v>
      </c>
      <c r="G472">
        <v>5.9</v>
      </c>
      <c r="H472">
        <v>6.42</v>
      </c>
      <c r="I472">
        <v>75.48</v>
      </c>
      <c r="J472">
        <v>51.59</v>
      </c>
      <c r="K472">
        <v>63.535000000000004</v>
      </c>
      <c r="L472">
        <v>23.33</v>
      </c>
      <c r="M472">
        <v>85.57</v>
      </c>
      <c r="N472">
        <v>78.930000000000007</v>
      </c>
      <c r="O472">
        <v>82.12</v>
      </c>
    </row>
    <row r="473" spans="1:15" x14ac:dyDescent="0.35">
      <c r="A473" t="s">
        <v>505</v>
      </c>
      <c r="B473">
        <v>10.5</v>
      </c>
      <c r="C473">
        <v>10.01</v>
      </c>
      <c r="D473">
        <v>14.21</v>
      </c>
      <c r="E473">
        <v>15.18</v>
      </c>
      <c r="F473">
        <v>2.73</v>
      </c>
      <c r="G473">
        <v>4.74</v>
      </c>
      <c r="H473">
        <v>3.49</v>
      </c>
      <c r="I473">
        <v>85.74</v>
      </c>
      <c r="J473">
        <v>53.14</v>
      </c>
      <c r="K473">
        <v>69.44</v>
      </c>
      <c r="L473">
        <v>20</v>
      </c>
      <c r="M473">
        <v>75.180000000000007</v>
      </c>
      <c r="N473">
        <v>72.62</v>
      </c>
      <c r="O473">
        <v>72.91</v>
      </c>
    </row>
    <row r="474" spans="1:15" x14ac:dyDescent="0.35">
      <c r="A474" t="s">
        <v>507</v>
      </c>
      <c r="B474">
        <v>10.83</v>
      </c>
      <c r="C474">
        <v>8.91</v>
      </c>
      <c r="D474">
        <v>14.79</v>
      </c>
      <c r="E474">
        <v>15.37</v>
      </c>
      <c r="F474">
        <v>4.78</v>
      </c>
      <c r="G474">
        <v>8.6300000000000008</v>
      </c>
      <c r="H474">
        <v>6.28</v>
      </c>
      <c r="I474">
        <v>73.42</v>
      </c>
      <c r="J474">
        <v>49</v>
      </c>
      <c r="K474">
        <v>61.21</v>
      </c>
      <c r="L474">
        <v>30</v>
      </c>
      <c r="M474">
        <v>76.59</v>
      </c>
      <c r="N474">
        <v>64.680000000000007</v>
      </c>
      <c r="O474">
        <v>70.39</v>
      </c>
    </row>
    <row r="475" spans="1:15" x14ac:dyDescent="0.35">
      <c r="A475" t="s">
        <v>508</v>
      </c>
      <c r="B475">
        <v>10.25</v>
      </c>
      <c r="C475">
        <v>8.1999999999999993</v>
      </c>
      <c r="D475">
        <v>12.51</v>
      </c>
      <c r="E475">
        <v>12.5</v>
      </c>
      <c r="F475">
        <v>4.0999999999999996</v>
      </c>
      <c r="G475">
        <v>6.32</v>
      </c>
      <c r="H475">
        <v>4.96</v>
      </c>
      <c r="I475">
        <v>79.14</v>
      </c>
      <c r="J475">
        <v>53.94</v>
      </c>
      <c r="K475">
        <v>66.539999999999992</v>
      </c>
      <c r="L475">
        <v>24</v>
      </c>
      <c r="M475">
        <v>73.040000000000006</v>
      </c>
      <c r="N475">
        <v>62</v>
      </c>
      <c r="O475">
        <v>67.599999999999994</v>
      </c>
    </row>
    <row r="476" spans="1:15" x14ac:dyDescent="0.35">
      <c r="A476" t="s">
        <v>509</v>
      </c>
      <c r="B476">
        <v>9.57</v>
      </c>
      <c r="C476">
        <v>7.38</v>
      </c>
      <c r="D476">
        <v>11.91</v>
      </c>
      <c r="E476">
        <v>11.98</v>
      </c>
      <c r="F476">
        <v>2.61</v>
      </c>
      <c r="G476">
        <v>2.0699999999999998</v>
      </c>
      <c r="H476">
        <v>2.39</v>
      </c>
      <c r="I476">
        <v>79.5</v>
      </c>
      <c r="J476">
        <v>64.84</v>
      </c>
      <c r="K476">
        <v>72.17</v>
      </c>
      <c r="L476">
        <v>28</v>
      </c>
      <c r="M476">
        <v>69.5</v>
      </c>
      <c r="N476">
        <v>55.85</v>
      </c>
      <c r="O476">
        <v>62.36</v>
      </c>
    </row>
    <row r="477" spans="1:15" x14ac:dyDescent="0.35">
      <c r="A477" t="s">
        <v>510</v>
      </c>
      <c r="B477">
        <v>9.92</v>
      </c>
      <c r="C477">
        <v>8.61</v>
      </c>
      <c r="D477">
        <v>12.87</v>
      </c>
      <c r="E477">
        <v>12.59</v>
      </c>
      <c r="F477">
        <v>3.54</v>
      </c>
      <c r="G477">
        <v>2.31</v>
      </c>
      <c r="H477">
        <v>3.16</v>
      </c>
      <c r="I477">
        <v>81.7</v>
      </c>
      <c r="J477">
        <v>52.88</v>
      </c>
      <c r="K477">
        <v>67.290000000000006</v>
      </c>
      <c r="L477">
        <v>4.17</v>
      </c>
      <c r="M477">
        <v>71.87</v>
      </c>
      <c r="N477">
        <v>62.26</v>
      </c>
      <c r="O477">
        <v>66.75</v>
      </c>
    </row>
    <row r="478" spans="1:15" x14ac:dyDescent="0.35">
      <c r="A478" t="s">
        <v>511</v>
      </c>
      <c r="B478">
        <v>11.17</v>
      </c>
      <c r="C478">
        <v>8.66</v>
      </c>
      <c r="D478">
        <v>13.86</v>
      </c>
      <c r="E478">
        <v>13.79</v>
      </c>
      <c r="F478">
        <v>5.61</v>
      </c>
      <c r="G478">
        <v>4.93</v>
      </c>
      <c r="H478">
        <v>5.34</v>
      </c>
      <c r="I478">
        <v>81.739999999999995</v>
      </c>
      <c r="J478">
        <v>58.51</v>
      </c>
      <c r="K478">
        <v>70.125</v>
      </c>
      <c r="L478">
        <v>15.79</v>
      </c>
      <c r="M478">
        <v>80.650000000000006</v>
      </c>
      <c r="N478">
        <v>68.849999999999994</v>
      </c>
      <c r="O478">
        <v>73.83</v>
      </c>
    </row>
    <row r="479" spans="1:15" x14ac:dyDescent="0.35">
      <c r="A479" t="s">
        <v>517</v>
      </c>
      <c r="B479" t="s">
        <v>554</v>
      </c>
      <c r="C479" t="s">
        <v>554</v>
      </c>
      <c r="D479" t="s">
        <v>554</v>
      </c>
      <c r="E479" t="s">
        <v>554</v>
      </c>
      <c r="F479">
        <v>3.32</v>
      </c>
      <c r="G479">
        <v>2.08</v>
      </c>
      <c r="H479">
        <v>2.81</v>
      </c>
      <c r="I479" t="str">
        <v>-</v>
      </c>
      <c r="J479" t="str">
        <v>-</v>
      </c>
      <c r="K479" t="str">
        <v>-</v>
      </c>
      <c r="L479" t="str">
        <v>-</v>
      </c>
      <c r="M479" t="str">
        <v>-</v>
      </c>
      <c r="N479" t="str">
        <v>-</v>
      </c>
      <c r="O479" t="str">
        <v>-</v>
      </c>
    </row>
    <row r="480" spans="1:15" x14ac:dyDescent="0.35">
      <c r="A480" t="s">
        <v>516</v>
      </c>
      <c r="B480" t="s">
        <v>554</v>
      </c>
      <c r="C480" t="s">
        <v>554</v>
      </c>
      <c r="D480" t="s">
        <v>554</v>
      </c>
      <c r="E480" t="s">
        <v>554</v>
      </c>
      <c r="F480">
        <v>4.1100000000000003</v>
      </c>
      <c r="G480">
        <v>4.24</v>
      </c>
      <c r="H480">
        <v>4.1500000000000004</v>
      </c>
      <c r="I480" t="str">
        <v>-</v>
      </c>
      <c r="J480" t="str">
        <v>-</v>
      </c>
      <c r="K480" t="str">
        <v>-</v>
      </c>
      <c r="L480" t="str">
        <v>-</v>
      </c>
      <c r="M480" t="str">
        <v>-</v>
      </c>
      <c r="N480" t="str">
        <v>-</v>
      </c>
      <c r="O480" t="str">
        <v>-</v>
      </c>
    </row>
    <row r="481" spans="1:15" x14ac:dyDescent="0.35">
      <c r="A481" t="s">
        <v>515</v>
      </c>
      <c r="B481" t="s">
        <v>554</v>
      </c>
      <c r="C481" t="s">
        <v>554</v>
      </c>
      <c r="D481" t="s">
        <v>554</v>
      </c>
      <c r="E481" t="s">
        <v>554</v>
      </c>
      <c r="F481">
        <v>3.44</v>
      </c>
      <c r="G481">
        <v>6.28</v>
      </c>
      <c r="H481">
        <v>4.3899999999999997</v>
      </c>
      <c r="I481" t="str">
        <v>-</v>
      </c>
      <c r="J481" t="str">
        <v>-</v>
      </c>
      <c r="K481" t="str">
        <v>-</v>
      </c>
      <c r="L481" t="str">
        <v>-</v>
      </c>
      <c r="M481" t="str">
        <v>-</v>
      </c>
      <c r="N481" t="str">
        <v>-</v>
      </c>
      <c r="O481" t="str">
        <v>-</v>
      </c>
    </row>
    <row r="482" spans="1:15" x14ac:dyDescent="0.35">
      <c r="A482" t="s">
        <v>519</v>
      </c>
      <c r="B482" t="s">
        <v>554</v>
      </c>
      <c r="C482" t="s">
        <v>554</v>
      </c>
      <c r="D482" t="s">
        <v>554</v>
      </c>
      <c r="E482" t="s">
        <v>554</v>
      </c>
      <c r="F482">
        <v>1.32</v>
      </c>
      <c r="G482">
        <v>1.78</v>
      </c>
      <c r="H482">
        <v>1.52</v>
      </c>
      <c r="I482" t="str">
        <v>-</v>
      </c>
      <c r="J482" t="str">
        <v>-</v>
      </c>
      <c r="K482" t="str">
        <v>-</v>
      </c>
      <c r="L482" t="str">
        <v>-</v>
      </c>
      <c r="M482" t="str">
        <v>-</v>
      </c>
      <c r="N482" t="str">
        <v>-</v>
      </c>
      <c r="O482" t="str">
        <v>-</v>
      </c>
    </row>
    <row r="483" spans="1:15" x14ac:dyDescent="0.35">
      <c r="A483" t="s">
        <v>518</v>
      </c>
      <c r="B483" t="s">
        <v>554</v>
      </c>
      <c r="C483" t="s">
        <v>554</v>
      </c>
      <c r="D483" t="s">
        <v>554</v>
      </c>
      <c r="E483" t="s">
        <v>554</v>
      </c>
      <c r="F483">
        <v>2.69</v>
      </c>
      <c r="G483">
        <v>4.5</v>
      </c>
      <c r="H483">
        <v>3.56</v>
      </c>
      <c r="I483" t="str">
        <v>-</v>
      </c>
      <c r="J483" t="str">
        <v>-</v>
      </c>
      <c r="K483" t="str">
        <v>-</v>
      </c>
      <c r="L483" t="str">
        <v>-</v>
      </c>
      <c r="M483" t="str">
        <v>-</v>
      </c>
      <c r="N483" t="str">
        <v>-</v>
      </c>
      <c r="O483" t="str">
        <v>-</v>
      </c>
    </row>
    <row r="484" spans="1:15" x14ac:dyDescent="0.35">
      <c r="A484" t="s">
        <v>512</v>
      </c>
      <c r="B484">
        <v>9.89</v>
      </c>
      <c r="C484">
        <v>6.59</v>
      </c>
      <c r="D484">
        <v>12.77</v>
      </c>
      <c r="E484">
        <v>13.19</v>
      </c>
      <c r="F484">
        <v>2.0699999999999998</v>
      </c>
      <c r="G484">
        <v>3.12</v>
      </c>
      <c r="H484">
        <v>2.54</v>
      </c>
      <c r="I484">
        <v>87.77</v>
      </c>
      <c r="J484">
        <v>74.150000000000006</v>
      </c>
      <c r="K484">
        <v>80.960000000000008</v>
      </c>
      <c r="L484">
        <v>12</v>
      </c>
      <c r="M484">
        <v>71.540000000000006</v>
      </c>
      <c r="N484">
        <v>48.58</v>
      </c>
      <c r="O484">
        <v>62.45</v>
      </c>
    </row>
    <row r="485" spans="1:15" x14ac:dyDescent="0.35">
      <c r="A485" t="s">
        <v>513</v>
      </c>
      <c r="B485">
        <v>9.07</v>
      </c>
      <c r="C485">
        <v>5.2</v>
      </c>
      <c r="D485">
        <v>11.81</v>
      </c>
      <c r="E485">
        <v>9.4499999999999993</v>
      </c>
      <c r="F485">
        <v>0.59</v>
      </c>
      <c r="G485">
        <v>0</v>
      </c>
      <c r="H485">
        <v>0.31</v>
      </c>
      <c r="I485">
        <v>94.55</v>
      </c>
      <c r="J485">
        <v>89.75</v>
      </c>
      <c r="K485">
        <v>92.15</v>
      </c>
      <c r="L485">
        <v>8</v>
      </c>
      <c r="M485">
        <v>66.58</v>
      </c>
      <c r="N485">
        <v>53.24</v>
      </c>
      <c r="O485">
        <v>58.73</v>
      </c>
    </row>
    <row r="486" spans="1:15" x14ac:dyDescent="0.35">
      <c r="A486" t="s">
        <v>520</v>
      </c>
      <c r="B486" t="s">
        <v>554</v>
      </c>
      <c r="C486" t="s">
        <v>554</v>
      </c>
      <c r="D486" t="s">
        <v>554</v>
      </c>
      <c r="E486" t="s">
        <v>554</v>
      </c>
      <c r="F486">
        <v>8.25</v>
      </c>
      <c r="G486">
        <v>12.52</v>
      </c>
      <c r="H486">
        <v>9.85</v>
      </c>
      <c r="I486" t="str">
        <v>-</v>
      </c>
      <c r="J486" t="str">
        <v>-</v>
      </c>
      <c r="K486" t="e">
        <v>#DIV/0!</v>
      </c>
      <c r="L486" t="str">
        <v>-</v>
      </c>
      <c r="M486" t="str">
        <v>-</v>
      </c>
      <c r="N486" t="str">
        <v>-</v>
      </c>
      <c r="O486" t="str">
        <v>-</v>
      </c>
    </row>
    <row r="487" spans="1:15" x14ac:dyDescent="0.35">
      <c r="A487" t="s">
        <v>515</v>
      </c>
      <c r="B487">
        <v>9.39</v>
      </c>
      <c r="C487">
        <v>8.2100000000000009</v>
      </c>
      <c r="D487">
        <v>12.29</v>
      </c>
      <c r="E487">
        <v>12.11</v>
      </c>
      <c r="F487">
        <v>3.44</v>
      </c>
      <c r="G487">
        <v>6.28</v>
      </c>
      <c r="H487">
        <v>4.3899999999999997</v>
      </c>
      <c r="I487">
        <v>80.42</v>
      </c>
      <c r="J487">
        <v>45.15</v>
      </c>
      <c r="K487">
        <v>62.784999999999997</v>
      </c>
      <c r="L487" t="str">
        <v>-</v>
      </c>
      <c r="M487">
        <v>71.55</v>
      </c>
      <c r="N487">
        <v>56.94</v>
      </c>
      <c r="O487">
        <v>65.86</v>
      </c>
    </row>
    <row r="488" spans="1:15" x14ac:dyDescent="0.35">
      <c r="A488" t="s">
        <v>516</v>
      </c>
      <c r="B488">
        <v>9.4499999999999993</v>
      </c>
      <c r="C488">
        <v>8.5299999999999994</v>
      </c>
      <c r="D488">
        <v>14.11</v>
      </c>
      <c r="E488">
        <v>13.92</v>
      </c>
      <c r="F488">
        <v>4.1100000000000003</v>
      </c>
      <c r="G488">
        <v>4.24</v>
      </c>
      <c r="H488">
        <v>4.1500000000000004</v>
      </c>
      <c r="I488">
        <v>84.46</v>
      </c>
      <c r="J488">
        <v>53.71</v>
      </c>
      <c r="K488">
        <v>69.084999999999994</v>
      </c>
      <c r="L488" t="str">
        <v>-</v>
      </c>
      <c r="M488">
        <v>73.08</v>
      </c>
      <c r="N488">
        <v>63.5</v>
      </c>
      <c r="O488">
        <v>68.290000000000006</v>
      </c>
    </row>
    <row r="489" spans="1:15" x14ac:dyDescent="0.35">
      <c r="A489" t="s">
        <v>517</v>
      </c>
      <c r="B489">
        <v>9.7899999999999991</v>
      </c>
      <c r="C489">
        <v>7.76</v>
      </c>
      <c r="D489">
        <v>13.87</v>
      </c>
      <c r="E489">
        <v>13.1</v>
      </c>
      <c r="F489">
        <v>3.32</v>
      </c>
      <c r="G489">
        <v>2.08</v>
      </c>
      <c r="H489">
        <v>2.81</v>
      </c>
      <c r="I489">
        <v>78.86</v>
      </c>
      <c r="J489">
        <v>59.46</v>
      </c>
      <c r="K489">
        <v>69.16</v>
      </c>
      <c r="L489" t="str">
        <v>-</v>
      </c>
      <c r="M489">
        <v>70.319999999999993</v>
      </c>
      <c r="N489">
        <v>59.1</v>
      </c>
      <c r="O489">
        <v>64.5</v>
      </c>
    </row>
    <row r="490" spans="1:15" x14ac:dyDescent="0.35">
      <c r="A490" t="s">
        <v>518</v>
      </c>
      <c r="B490">
        <v>9.5500000000000007</v>
      </c>
      <c r="C490">
        <v>7.1</v>
      </c>
      <c r="D490">
        <v>14.52</v>
      </c>
      <c r="E490">
        <v>13.41</v>
      </c>
      <c r="F490">
        <v>2.69</v>
      </c>
      <c r="G490">
        <v>4.5</v>
      </c>
      <c r="H490">
        <v>3.56</v>
      </c>
      <c r="I490">
        <v>83.86</v>
      </c>
      <c r="J490">
        <v>78.510000000000005</v>
      </c>
      <c r="K490">
        <v>81.185000000000002</v>
      </c>
      <c r="L490" t="str">
        <v>-</v>
      </c>
      <c r="M490">
        <v>69.63</v>
      </c>
      <c r="N490">
        <v>55.33</v>
      </c>
      <c r="O490">
        <v>61.83</v>
      </c>
    </row>
    <row r="491" spans="1:15" x14ac:dyDescent="0.35">
      <c r="A491" t="s">
        <v>519</v>
      </c>
      <c r="B491">
        <v>8.06</v>
      </c>
      <c r="C491">
        <v>5.66</v>
      </c>
      <c r="D491">
        <v>13.07</v>
      </c>
      <c r="E491">
        <v>11.78</v>
      </c>
      <c r="F491">
        <v>1.32</v>
      </c>
      <c r="G491">
        <v>1.78</v>
      </c>
      <c r="H491">
        <v>1.52</v>
      </c>
      <c r="I491">
        <v>87.47</v>
      </c>
      <c r="J491">
        <v>71.13</v>
      </c>
      <c r="K491">
        <v>79.3</v>
      </c>
      <c r="L491" t="str">
        <v>-</v>
      </c>
      <c r="M491">
        <v>65.150000000000006</v>
      </c>
      <c r="N491">
        <v>46.4</v>
      </c>
      <c r="O491">
        <v>56.32</v>
      </c>
    </row>
    <row r="492" spans="1:15" x14ac:dyDescent="0.35">
      <c r="A492" t="s">
        <v>520</v>
      </c>
      <c r="B492">
        <v>11.6</v>
      </c>
      <c r="C492">
        <v>11.54</v>
      </c>
      <c r="D492">
        <v>14.37</v>
      </c>
      <c r="E492">
        <v>14.67</v>
      </c>
      <c r="F492">
        <v>8.25</v>
      </c>
      <c r="G492">
        <v>12.52</v>
      </c>
      <c r="H492">
        <v>9.85</v>
      </c>
      <c r="I492">
        <v>76.23</v>
      </c>
      <c r="J492">
        <v>50.71</v>
      </c>
      <c r="K492">
        <v>63.47</v>
      </c>
      <c r="L492" t="str">
        <v>-</v>
      </c>
      <c r="M492">
        <v>83.9</v>
      </c>
      <c r="N492">
        <v>77.33</v>
      </c>
      <c r="O492">
        <v>79.930000000000007</v>
      </c>
    </row>
    <row r="493" spans="1:15" x14ac:dyDescent="0.35">
      <c r="A493" t="s">
        <v>532</v>
      </c>
      <c r="B493" t="s">
        <v>554</v>
      </c>
      <c r="C493" t="s">
        <v>554</v>
      </c>
      <c r="D493" t="s">
        <v>554</v>
      </c>
      <c r="E493" t="s">
        <v>554</v>
      </c>
      <c r="F493">
        <v>4.68</v>
      </c>
      <c r="G493">
        <v>5.67</v>
      </c>
      <c r="H493">
        <v>5.07</v>
      </c>
      <c r="I493" t="str">
        <v>-</v>
      </c>
      <c r="J493" t="str">
        <v>-</v>
      </c>
      <c r="K493" t="str">
        <v>-</v>
      </c>
      <c r="L493" t="str">
        <v>-</v>
      </c>
      <c r="M493" t="str">
        <v>-</v>
      </c>
      <c r="N493" t="str">
        <v>-</v>
      </c>
      <c r="O493" t="str">
        <v>-</v>
      </c>
    </row>
    <row r="494" spans="1:15" x14ac:dyDescent="0.35">
      <c r="A494" t="s">
        <v>547</v>
      </c>
      <c r="B494" t="s">
        <v>554</v>
      </c>
      <c r="C494" t="s">
        <v>554</v>
      </c>
      <c r="D494" t="s">
        <v>554</v>
      </c>
      <c r="E494" t="s">
        <v>554</v>
      </c>
      <c r="F494">
        <v>3.05</v>
      </c>
      <c r="G494">
        <v>2.39</v>
      </c>
      <c r="H494">
        <v>2.74</v>
      </c>
      <c r="I494" t="str">
        <v>-</v>
      </c>
      <c r="J494" t="str">
        <v>-</v>
      </c>
      <c r="K494" t="str">
        <v>-</v>
      </c>
      <c r="L494" t="str">
        <v>-</v>
      </c>
      <c r="M494" t="str">
        <v>-</v>
      </c>
      <c r="N494" t="str">
        <v>-</v>
      </c>
      <c r="O494" t="str">
        <v>-</v>
      </c>
    </row>
    <row r="495" spans="1:15" x14ac:dyDescent="0.35">
      <c r="A495" t="s">
        <v>522</v>
      </c>
      <c r="B495">
        <v>10.85</v>
      </c>
      <c r="C495">
        <v>9.84</v>
      </c>
      <c r="D495">
        <v>14.58</v>
      </c>
      <c r="E495">
        <v>14.59</v>
      </c>
      <c r="F495">
        <v>6.02</v>
      </c>
      <c r="G495">
        <v>7.02</v>
      </c>
      <c r="H495">
        <v>6.39</v>
      </c>
      <c r="I495">
        <v>77</v>
      </c>
      <c r="J495">
        <v>51.68</v>
      </c>
      <c r="K495">
        <v>64.34</v>
      </c>
      <c r="L495">
        <v>16.670000000000002</v>
      </c>
      <c r="M495">
        <v>78.290000000000006</v>
      </c>
      <c r="N495">
        <v>71.739999999999995</v>
      </c>
      <c r="O495">
        <v>74.11</v>
      </c>
    </row>
    <row r="496" spans="1:15" x14ac:dyDescent="0.35">
      <c r="A496" t="s">
        <v>540</v>
      </c>
      <c r="B496" t="s">
        <v>554</v>
      </c>
      <c r="C496" t="s">
        <v>554</v>
      </c>
      <c r="D496" t="s">
        <v>554</v>
      </c>
      <c r="E496" t="s">
        <v>554</v>
      </c>
      <c r="F496">
        <v>3.88</v>
      </c>
      <c r="G496">
        <v>4.45</v>
      </c>
      <c r="H496">
        <v>4.0999999999999996</v>
      </c>
      <c r="I496" t="str">
        <v>-</v>
      </c>
      <c r="J496" t="str">
        <v>-</v>
      </c>
      <c r="K496" t="str">
        <v>-</v>
      </c>
      <c r="L496" t="str">
        <v>-</v>
      </c>
      <c r="M496" t="str">
        <v>-</v>
      </c>
      <c r="N496" t="str">
        <v>-</v>
      </c>
      <c r="O496" t="str">
        <v>-</v>
      </c>
    </row>
    <row r="497" spans="1:15" x14ac:dyDescent="0.35">
      <c r="A497" t="s">
        <v>523</v>
      </c>
      <c r="B497">
        <v>10.36</v>
      </c>
      <c r="C497">
        <v>8.86</v>
      </c>
      <c r="D497">
        <v>12.77</v>
      </c>
      <c r="E497">
        <v>13.28</v>
      </c>
      <c r="F497">
        <v>3.39</v>
      </c>
      <c r="G497">
        <v>7.5</v>
      </c>
      <c r="H497">
        <v>5</v>
      </c>
      <c r="I497">
        <v>79.16</v>
      </c>
      <c r="J497">
        <v>54.83</v>
      </c>
      <c r="K497">
        <v>66.995000000000005</v>
      </c>
      <c r="L497">
        <v>4</v>
      </c>
      <c r="M497">
        <v>74.569999999999993</v>
      </c>
      <c r="N497">
        <v>67.069999999999993</v>
      </c>
      <c r="O497">
        <v>69.650000000000006</v>
      </c>
    </row>
    <row r="498" spans="1:15" x14ac:dyDescent="0.35">
      <c r="A498" t="s">
        <v>524</v>
      </c>
      <c r="B498">
        <v>10.83</v>
      </c>
      <c r="C498">
        <v>10.1</v>
      </c>
      <c r="D498">
        <v>14.25</v>
      </c>
      <c r="E498">
        <v>14.22</v>
      </c>
      <c r="F498">
        <v>7.59</v>
      </c>
      <c r="G498">
        <v>5.93</v>
      </c>
      <c r="H498">
        <v>6.86</v>
      </c>
      <c r="I498">
        <v>80.650000000000006</v>
      </c>
      <c r="J498">
        <v>67.13</v>
      </c>
      <c r="K498">
        <v>73.89</v>
      </c>
      <c r="L498">
        <v>16</v>
      </c>
      <c r="M498">
        <v>78.39</v>
      </c>
      <c r="N498">
        <v>71.62</v>
      </c>
      <c r="O498">
        <v>73.98</v>
      </c>
    </row>
    <row r="499" spans="1:15" x14ac:dyDescent="0.35">
      <c r="A499" t="s">
        <v>541</v>
      </c>
      <c r="B499" t="s">
        <v>554</v>
      </c>
      <c r="C499" t="s">
        <v>554</v>
      </c>
      <c r="D499" t="s">
        <v>554</v>
      </c>
      <c r="E499" t="s">
        <v>554</v>
      </c>
      <c r="F499">
        <v>2.4</v>
      </c>
      <c r="G499">
        <v>0.89</v>
      </c>
      <c r="H499">
        <v>1.92</v>
      </c>
      <c r="I499" t="str">
        <v>-</v>
      </c>
      <c r="J499" t="str">
        <v>-</v>
      </c>
      <c r="K499" t="str">
        <v>-</v>
      </c>
      <c r="L499" t="str">
        <v>-</v>
      </c>
      <c r="M499" t="str">
        <v>-</v>
      </c>
      <c r="N499" t="str">
        <v>-</v>
      </c>
      <c r="O499" t="str">
        <v>-</v>
      </c>
    </row>
    <row r="500" spans="1:15" x14ac:dyDescent="0.35">
      <c r="A500" t="s">
        <v>544</v>
      </c>
      <c r="B500" t="s">
        <v>554</v>
      </c>
      <c r="C500" t="s">
        <v>554</v>
      </c>
      <c r="D500" t="s">
        <v>554</v>
      </c>
      <c r="E500" t="s">
        <v>554</v>
      </c>
      <c r="F500">
        <v>0.3</v>
      </c>
      <c r="G500">
        <v>0.62</v>
      </c>
      <c r="H500">
        <v>0.43</v>
      </c>
      <c r="I500" t="str">
        <v>-</v>
      </c>
      <c r="J500" t="str">
        <v>-</v>
      </c>
      <c r="K500" t="str">
        <v>-</v>
      </c>
      <c r="L500" t="str">
        <v>-</v>
      </c>
      <c r="M500" t="str">
        <v>-</v>
      </c>
      <c r="N500" t="str">
        <v>-</v>
      </c>
      <c r="O500" t="str">
        <v>-</v>
      </c>
    </row>
    <row r="501" spans="1:15" x14ac:dyDescent="0.35">
      <c r="A501" t="s">
        <v>537</v>
      </c>
      <c r="B501" t="s">
        <v>554</v>
      </c>
      <c r="C501" t="s">
        <v>554</v>
      </c>
      <c r="D501" t="s">
        <v>554</v>
      </c>
      <c r="E501" t="s">
        <v>554</v>
      </c>
      <c r="F501">
        <v>5.25</v>
      </c>
      <c r="G501">
        <v>10.02</v>
      </c>
      <c r="H501">
        <v>6.7</v>
      </c>
      <c r="I501" t="str">
        <v>-</v>
      </c>
      <c r="J501" t="str">
        <v>-</v>
      </c>
      <c r="K501" t="str">
        <v>-</v>
      </c>
      <c r="L501" t="str">
        <v>-</v>
      </c>
      <c r="M501" t="str">
        <v>-</v>
      </c>
      <c r="N501" t="str">
        <v>-</v>
      </c>
      <c r="O501" t="str">
        <v>-</v>
      </c>
    </row>
    <row r="502" spans="1:15" x14ac:dyDescent="0.35">
      <c r="A502" t="s">
        <v>533</v>
      </c>
      <c r="B502" t="s">
        <v>554</v>
      </c>
      <c r="C502" t="s">
        <v>554</v>
      </c>
      <c r="D502" t="s">
        <v>554</v>
      </c>
      <c r="E502" t="s">
        <v>554</v>
      </c>
      <c r="F502">
        <v>2.97</v>
      </c>
      <c r="G502">
        <v>3.71</v>
      </c>
      <c r="H502">
        <v>3.26</v>
      </c>
      <c r="I502" t="str">
        <v>-</v>
      </c>
      <c r="J502" t="str">
        <v>-</v>
      </c>
      <c r="K502" t="str">
        <v>-</v>
      </c>
      <c r="L502" t="str">
        <v>-</v>
      </c>
      <c r="M502" t="str">
        <v>-</v>
      </c>
      <c r="N502" t="str">
        <v>-</v>
      </c>
      <c r="O502" t="str">
        <v>-</v>
      </c>
    </row>
    <row r="503" spans="1:15" x14ac:dyDescent="0.35">
      <c r="A503" t="s">
        <v>534</v>
      </c>
      <c r="B503" t="s">
        <v>554</v>
      </c>
      <c r="C503" t="s">
        <v>554</v>
      </c>
      <c r="D503" t="s">
        <v>554</v>
      </c>
      <c r="E503" t="s">
        <v>554</v>
      </c>
      <c r="F503">
        <v>3.38</v>
      </c>
      <c r="G503">
        <v>5.4</v>
      </c>
      <c r="H503">
        <v>4.0999999999999996</v>
      </c>
      <c r="I503" t="str">
        <v>-</v>
      </c>
      <c r="J503" t="str">
        <v>-</v>
      </c>
      <c r="K503" t="str">
        <v>-</v>
      </c>
      <c r="L503" t="str">
        <v>-</v>
      </c>
      <c r="M503" t="str">
        <v>-</v>
      </c>
      <c r="N503" t="str">
        <v>-</v>
      </c>
      <c r="O503" t="str">
        <v>-</v>
      </c>
    </row>
    <row r="504" spans="1:15" x14ac:dyDescent="0.35">
      <c r="A504" t="s">
        <v>535</v>
      </c>
      <c r="B504" t="s">
        <v>554</v>
      </c>
      <c r="C504" t="s">
        <v>554</v>
      </c>
      <c r="D504" t="s">
        <v>554</v>
      </c>
      <c r="E504" t="s">
        <v>554</v>
      </c>
      <c r="F504">
        <v>1.1499999999999999</v>
      </c>
      <c r="G504">
        <v>3.26</v>
      </c>
      <c r="H504">
        <v>2.0499999999999998</v>
      </c>
      <c r="I504" t="str">
        <v>-</v>
      </c>
      <c r="J504" t="str">
        <v>-</v>
      </c>
      <c r="K504" t="str">
        <v>-</v>
      </c>
      <c r="L504" t="str">
        <v>-</v>
      </c>
      <c r="M504" t="str">
        <v>-</v>
      </c>
      <c r="N504" t="str">
        <v>-</v>
      </c>
      <c r="O504" t="str">
        <v>-</v>
      </c>
    </row>
    <row r="505" spans="1:15" x14ac:dyDescent="0.35">
      <c r="A505" t="s">
        <v>552</v>
      </c>
      <c r="B505" t="s">
        <v>554</v>
      </c>
      <c r="C505" t="s">
        <v>554</v>
      </c>
      <c r="D505" t="s">
        <v>554</v>
      </c>
      <c r="E505" t="s">
        <v>554</v>
      </c>
      <c r="F505">
        <v>2.0499999999999998</v>
      </c>
      <c r="G505">
        <v>2.02</v>
      </c>
      <c r="H505">
        <v>2.04</v>
      </c>
      <c r="I505" t="str">
        <v>-</v>
      </c>
      <c r="J505" t="str">
        <v>-</v>
      </c>
      <c r="K505" t="str">
        <v>-</v>
      </c>
      <c r="L505" t="str">
        <v>-</v>
      </c>
      <c r="M505" t="str">
        <v>-</v>
      </c>
      <c r="N505" t="str">
        <v>-</v>
      </c>
      <c r="O505" t="str">
        <v>-</v>
      </c>
    </row>
    <row r="506" spans="1:15" x14ac:dyDescent="0.35">
      <c r="A506" t="s">
        <v>553</v>
      </c>
      <c r="B506" t="s">
        <v>554</v>
      </c>
      <c r="C506" t="s">
        <v>554</v>
      </c>
      <c r="D506" t="s">
        <v>554</v>
      </c>
      <c r="E506" t="s">
        <v>554</v>
      </c>
      <c r="F506">
        <v>2.72</v>
      </c>
      <c r="G506">
        <v>2.13</v>
      </c>
      <c r="H506">
        <v>2.46</v>
      </c>
      <c r="I506" t="str">
        <v>-</v>
      </c>
      <c r="J506" t="str">
        <v>-</v>
      </c>
      <c r="K506" t="str">
        <v>-</v>
      </c>
      <c r="L506" t="str">
        <v>-</v>
      </c>
      <c r="M506" t="str">
        <v>-</v>
      </c>
      <c r="N506" t="str">
        <v>-</v>
      </c>
      <c r="O506" t="str">
        <v>-</v>
      </c>
    </row>
    <row r="507" spans="1:15" x14ac:dyDescent="0.35">
      <c r="A507" t="s">
        <v>549</v>
      </c>
      <c r="B507" t="s">
        <v>554</v>
      </c>
      <c r="C507" t="s">
        <v>554</v>
      </c>
      <c r="D507" t="s">
        <v>554</v>
      </c>
      <c r="E507" t="s">
        <v>554</v>
      </c>
      <c r="F507">
        <v>0.54</v>
      </c>
      <c r="G507">
        <v>0.44</v>
      </c>
      <c r="H507">
        <v>0.5</v>
      </c>
      <c r="I507" t="str">
        <v>-</v>
      </c>
      <c r="J507" t="str">
        <v>-</v>
      </c>
      <c r="K507" t="str">
        <v>-</v>
      </c>
      <c r="L507" t="str">
        <v>-</v>
      </c>
      <c r="M507" t="str">
        <v>-</v>
      </c>
      <c r="N507" t="str">
        <v>-</v>
      </c>
      <c r="O507" t="str">
        <v>-</v>
      </c>
    </row>
    <row r="508" spans="1:15" x14ac:dyDescent="0.35">
      <c r="A508" t="s">
        <v>525</v>
      </c>
      <c r="B508">
        <v>10</v>
      </c>
      <c r="C508">
        <v>8.99</v>
      </c>
      <c r="D508">
        <v>13.08</v>
      </c>
      <c r="E508">
        <v>12.37</v>
      </c>
      <c r="F508">
        <v>3.06</v>
      </c>
      <c r="G508">
        <v>4.04</v>
      </c>
      <c r="H508">
        <v>3.41</v>
      </c>
      <c r="I508">
        <v>73.69</v>
      </c>
      <c r="J508">
        <v>47.53</v>
      </c>
      <c r="K508">
        <v>60.61</v>
      </c>
      <c r="L508">
        <v>25</v>
      </c>
      <c r="M508">
        <v>72.16</v>
      </c>
      <c r="N508">
        <v>60.82</v>
      </c>
      <c r="O508">
        <v>66.72</v>
      </c>
    </row>
    <row r="509" spans="1:15" x14ac:dyDescent="0.35">
      <c r="A509" t="s">
        <v>526</v>
      </c>
      <c r="B509">
        <v>9.07</v>
      </c>
      <c r="C509">
        <v>8.01</v>
      </c>
      <c r="D509">
        <v>12.72</v>
      </c>
      <c r="E509">
        <v>12.51</v>
      </c>
      <c r="F509">
        <v>3.46</v>
      </c>
      <c r="G509">
        <v>2.0699999999999998</v>
      </c>
      <c r="H509">
        <v>2.91</v>
      </c>
      <c r="I509">
        <v>89.21</v>
      </c>
      <c r="J509">
        <v>67.150000000000006</v>
      </c>
      <c r="K509">
        <v>78.180000000000007</v>
      </c>
      <c r="L509">
        <v>15</v>
      </c>
      <c r="M509">
        <v>73.459999999999994</v>
      </c>
      <c r="N509">
        <v>64.739999999999995</v>
      </c>
      <c r="O509">
        <v>68.680000000000007</v>
      </c>
    </row>
    <row r="510" spans="1:15" x14ac:dyDescent="0.35">
      <c r="A510" t="s">
        <v>527</v>
      </c>
      <c r="B510">
        <v>9.93</v>
      </c>
      <c r="C510">
        <v>8.73</v>
      </c>
      <c r="D510">
        <v>13.03</v>
      </c>
      <c r="E510">
        <v>12.85</v>
      </c>
      <c r="F510">
        <v>2.97</v>
      </c>
      <c r="G510">
        <v>3.54</v>
      </c>
      <c r="H510">
        <v>3.21</v>
      </c>
      <c r="I510">
        <v>85.34</v>
      </c>
      <c r="J510">
        <v>71.19</v>
      </c>
      <c r="K510">
        <v>78.265000000000001</v>
      </c>
      <c r="L510">
        <v>5</v>
      </c>
      <c r="M510">
        <v>72.73</v>
      </c>
      <c r="N510">
        <v>52.57</v>
      </c>
      <c r="O510">
        <v>66.92</v>
      </c>
    </row>
    <row r="511" spans="1:15" x14ac:dyDescent="0.35">
      <c r="A511" t="s">
        <v>528</v>
      </c>
      <c r="B511">
        <v>9.6999999999999993</v>
      </c>
      <c r="C511">
        <v>8.36</v>
      </c>
      <c r="D511">
        <v>13.82</v>
      </c>
      <c r="E511">
        <v>12.95</v>
      </c>
      <c r="F511">
        <v>6.5</v>
      </c>
      <c r="G511">
        <v>4.3</v>
      </c>
      <c r="H511">
        <v>5.6</v>
      </c>
      <c r="I511">
        <v>74.61</v>
      </c>
      <c r="J511">
        <v>56.34</v>
      </c>
      <c r="K511">
        <v>65.474999999999994</v>
      </c>
      <c r="L511">
        <v>0</v>
      </c>
      <c r="M511">
        <v>70.92</v>
      </c>
      <c r="N511">
        <v>55.92</v>
      </c>
      <c r="O511">
        <v>65.150000000000006</v>
      </c>
    </row>
    <row r="512" spans="1:15" x14ac:dyDescent="0.35">
      <c r="A512" t="s">
        <v>529</v>
      </c>
      <c r="B512">
        <v>6.78</v>
      </c>
      <c r="C512">
        <v>5.09</v>
      </c>
      <c r="D512">
        <v>12.25</v>
      </c>
      <c r="E512">
        <v>11.91</v>
      </c>
      <c r="F512">
        <v>1.51</v>
      </c>
      <c r="G512">
        <v>0</v>
      </c>
      <c r="H512">
        <v>1.05</v>
      </c>
      <c r="I512">
        <v>73.03</v>
      </c>
      <c r="J512">
        <v>35.33</v>
      </c>
      <c r="K512">
        <v>54.18</v>
      </c>
      <c r="L512">
        <v>10</v>
      </c>
      <c r="M512">
        <v>59.99</v>
      </c>
      <c r="N512">
        <v>50.11</v>
      </c>
      <c r="O512">
        <v>55</v>
      </c>
    </row>
    <row r="513" spans="1:15" x14ac:dyDescent="0.35">
      <c r="A513" t="s">
        <v>546</v>
      </c>
      <c r="B513" t="s">
        <v>554</v>
      </c>
      <c r="C513" t="s">
        <v>554</v>
      </c>
      <c r="D513" t="s">
        <v>554</v>
      </c>
      <c r="E513" t="s">
        <v>554</v>
      </c>
      <c r="F513">
        <v>0.14000000000000001</v>
      </c>
      <c r="G513">
        <v>0</v>
      </c>
      <c r="H513">
        <v>7.0000000000000007E-2</v>
      </c>
      <c r="I513" t="str">
        <v>-</v>
      </c>
      <c r="J513" t="str">
        <v>-</v>
      </c>
      <c r="K513" t="str">
        <v>-</v>
      </c>
      <c r="L513" t="str">
        <v>-</v>
      </c>
      <c r="M513" t="str">
        <v>-</v>
      </c>
      <c r="N513" t="str">
        <v>-</v>
      </c>
      <c r="O513" t="str">
        <v>-</v>
      </c>
    </row>
    <row r="514" spans="1:15" x14ac:dyDescent="0.35">
      <c r="A514" t="s">
        <v>548</v>
      </c>
      <c r="B514" t="s">
        <v>554</v>
      </c>
      <c r="C514" t="s">
        <v>554</v>
      </c>
      <c r="D514" t="s">
        <v>554</v>
      </c>
      <c r="E514" t="s">
        <v>554</v>
      </c>
      <c r="F514">
        <v>0.38</v>
      </c>
      <c r="G514">
        <v>0.11</v>
      </c>
      <c r="H514">
        <v>0.25</v>
      </c>
      <c r="I514" t="str">
        <v>-</v>
      </c>
      <c r="J514" t="str">
        <v>-</v>
      </c>
      <c r="K514" t="str">
        <v>-</v>
      </c>
      <c r="L514" t="str">
        <v>-</v>
      </c>
      <c r="M514" t="str">
        <v>-</v>
      </c>
      <c r="N514" t="str">
        <v>-</v>
      </c>
      <c r="O514" t="str">
        <v>-</v>
      </c>
    </row>
    <row r="515" spans="1:15" x14ac:dyDescent="0.35">
      <c r="A515" t="s">
        <v>550</v>
      </c>
      <c r="B515" t="s">
        <v>554</v>
      </c>
      <c r="C515" t="s">
        <v>554</v>
      </c>
      <c r="D515" t="s">
        <v>554</v>
      </c>
      <c r="E515" t="s">
        <v>554</v>
      </c>
      <c r="F515">
        <v>0.81</v>
      </c>
      <c r="G515">
        <v>0.23</v>
      </c>
      <c r="H515">
        <v>0.54</v>
      </c>
      <c r="I515" t="str">
        <v>-</v>
      </c>
      <c r="J515" t="str">
        <v>-</v>
      </c>
      <c r="K515" t="str">
        <v>-</v>
      </c>
      <c r="L515" t="str">
        <v>-</v>
      </c>
      <c r="M515" t="str">
        <v>-</v>
      </c>
      <c r="N515" t="str">
        <v>-</v>
      </c>
      <c r="O515" t="str">
        <v>-</v>
      </c>
    </row>
    <row r="516" spans="1:15" x14ac:dyDescent="0.35">
      <c r="A516" t="s">
        <v>551</v>
      </c>
      <c r="B516" t="s">
        <v>554</v>
      </c>
      <c r="C516" t="s">
        <v>554</v>
      </c>
      <c r="D516" t="s">
        <v>554</v>
      </c>
      <c r="E516" t="s">
        <v>554</v>
      </c>
      <c r="F516">
        <v>0.35</v>
      </c>
      <c r="G516">
        <v>0.52</v>
      </c>
      <c r="H516">
        <v>0.43</v>
      </c>
      <c r="I516" t="str">
        <v>-</v>
      </c>
      <c r="J516" t="str">
        <v>-</v>
      </c>
      <c r="K516" t="str">
        <v>-</v>
      </c>
      <c r="L516" t="str">
        <v>-</v>
      </c>
      <c r="M516" t="str">
        <v>-</v>
      </c>
      <c r="N516" t="str">
        <v>-</v>
      </c>
      <c r="O516" t="str">
        <v>-</v>
      </c>
    </row>
    <row r="517" spans="1:15" x14ac:dyDescent="0.35">
      <c r="A517" t="s">
        <v>543</v>
      </c>
      <c r="B517" t="s">
        <v>554</v>
      </c>
      <c r="C517" t="s">
        <v>554</v>
      </c>
      <c r="D517" t="s">
        <v>554</v>
      </c>
      <c r="E517" t="s">
        <v>554</v>
      </c>
      <c r="F517">
        <v>0</v>
      </c>
      <c r="G517">
        <v>0</v>
      </c>
      <c r="H517">
        <v>0</v>
      </c>
      <c r="I517" t="str">
        <v>-</v>
      </c>
      <c r="J517" t="str">
        <v>-</v>
      </c>
      <c r="K517" t="str">
        <v>-</v>
      </c>
      <c r="L517" t="str">
        <v>-</v>
      </c>
      <c r="M517" t="str">
        <v>-</v>
      </c>
      <c r="N517" t="str">
        <v>-</v>
      </c>
      <c r="O517" t="str">
        <v>-</v>
      </c>
    </row>
    <row r="518" spans="1:15" x14ac:dyDescent="0.35">
      <c r="A518" t="s">
        <v>538</v>
      </c>
      <c r="B518" t="s">
        <v>554</v>
      </c>
      <c r="C518" t="s">
        <v>554</v>
      </c>
      <c r="D518" t="s">
        <v>554</v>
      </c>
      <c r="E518" t="s">
        <v>554</v>
      </c>
      <c r="F518">
        <v>4.71</v>
      </c>
      <c r="G518">
        <v>1.71</v>
      </c>
      <c r="H518">
        <v>3.27</v>
      </c>
      <c r="I518" t="str">
        <v>-</v>
      </c>
      <c r="J518" t="str">
        <v>-</v>
      </c>
      <c r="K518" t="str">
        <v>-</v>
      </c>
      <c r="L518" t="str">
        <v>-</v>
      </c>
      <c r="M518" t="str">
        <v>-</v>
      </c>
      <c r="N518" t="str">
        <v>-</v>
      </c>
      <c r="O518" t="str">
        <v>-</v>
      </c>
    </row>
    <row r="519" spans="1:15" x14ac:dyDescent="0.35">
      <c r="A519" t="s">
        <v>542</v>
      </c>
      <c r="B519" t="s">
        <v>554</v>
      </c>
      <c r="C519" t="s">
        <v>554</v>
      </c>
      <c r="D519" t="s">
        <v>554</v>
      </c>
      <c r="E519" t="s">
        <v>554</v>
      </c>
      <c r="F519">
        <v>1.87</v>
      </c>
      <c r="G519">
        <v>3.25</v>
      </c>
      <c r="H519">
        <v>2.4</v>
      </c>
      <c r="I519" t="str">
        <v>-</v>
      </c>
      <c r="J519" t="str">
        <v>-</v>
      </c>
      <c r="K519" t="str">
        <v>-</v>
      </c>
      <c r="L519" t="str">
        <v>-</v>
      </c>
      <c r="M519" t="str">
        <v>-</v>
      </c>
      <c r="N519" t="str">
        <v>-</v>
      </c>
      <c r="O519" t="str">
        <v>-</v>
      </c>
    </row>
    <row r="520" spans="1:15" x14ac:dyDescent="0.35">
      <c r="A520" t="s">
        <v>539</v>
      </c>
      <c r="B520" t="s">
        <v>554</v>
      </c>
      <c r="C520" t="s">
        <v>554</v>
      </c>
      <c r="D520" t="s">
        <v>554</v>
      </c>
      <c r="E520" t="s">
        <v>554</v>
      </c>
      <c r="F520">
        <v>1.82</v>
      </c>
      <c r="G520">
        <v>1.34</v>
      </c>
      <c r="H520">
        <v>1.66</v>
      </c>
      <c r="I520" t="str">
        <v>-</v>
      </c>
      <c r="J520" t="str">
        <v>-</v>
      </c>
      <c r="K520" t="str">
        <v>-</v>
      </c>
      <c r="L520" t="str">
        <v>-</v>
      </c>
      <c r="M520" t="str">
        <v>-</v>
      </c>
      <c r="N520" t="str">
        <v>-</v>
      </c>
      <c r="O520" t="str">
        <v>-</v>
      </c>
    </row>
    <row r="521" spans="1:15" x14ac:dyDescent="0.35">
      <c r="A521" t="s">
        <v>530</v>
      </c>
      <c r="B521">
        <v>12.39</v>
      </c>
      <c r="C521">
        <v>11.9</v>
      </c>
      <c r="D521">
        <v>15.53</v>
      </c>
      <c r="E521">
        <v>15.13</v>
      </c>
      <c r="F521">
        <v>6.71</v>
      </c>
      <c r="G521">
        <v>10.88</v>
      </c>
      <c r="H521">
        <v>8.2899999999999991</v>
      </c>
      <c r="I521">
        <v>78.569999999999993</v>
      </c>
      <c r="J521">
        <v>55.29</v>
      </c>
      <c r="K521">
        <v>66.929999999999993</v>
      </c>
      <c r="L521">
        <v>22.86</v>
      </c>
      <c r="M521">
        <v>84.51</v>
      </c>
      <c r="N521">
        <v>80.05</v>
      </c>
      <c r="O521">
        <v>81.67</v>
      </c>
    </row>
    <row r="522" spans="1:15" x14ac:dyDescent="0.35">
      <c r="A522" t="s">
        <v>532</v>
      </c>
      <c r="B522">
        <v>9.52</v>
      </c>
      <c r="C522">
        <v>9.11</v>
      </c>
      <c r="D522">
        <v>14.5</v>
      </c>
      <c r="E522">
        <v>14.48</v>
      </c>
      <c r="F522">
        <v>4.68</v>
      </c>
      <c r="G522">
        <v>5.67</v>
      </c>
      <c r="H522">
        <v>5.07</v>
      </c>
      <c r="I522">
        <v>84.72</v>
      </c>
      <c r="J522">
        <v>61.17</v>
      </c>
      <c r="K522">
        <v>72.944999999999993</v>
      </c>
      <c r="L522" t="str">
        <v>-</v>
      </c>
      <c r="M522">
        <v>77.45</v>
      </c>
      <c r="N522">
        <v>69.569999999999993</v>
      </c>
      <c r="O522">
        <v>72.73</v>
      </c>
    </row>
    <row r="523" spans="1:15" x14ac:dyDescent="0.35">
      <c r="A523" t="s">
        <v>533</v>
      </c>
      <c r="B523">
        <v>9.76</v>
      </c>
      <c r="C523">
        <v>8.8699999999999992</v>
      </c>
      <c r="D523">
        <v>11.95</v>
      </c>
      <c r="E523">
        <v>11.6</v>
      </c>
      <c r="F523">
        <v>2.97</v>
      </c>
      <c r="G523">
        <v>3.71</v>
      </c>
      <c r="H523">
        <v>3.26</v>
      </c>
      <c r="I523">
        <v>80.89</v>
      </c>
      <c r="J523">
        <v>61.59</v>
      </c>
      <c r="K523">
        <v>71.240000000000009</v>
      </c>
      <c r="L523" t="str">
        <v>-</v>
      </c>
      <c r="M523">
        <v>69.17</v>
      </c>
      <c r="N523">
        <v>55.88</v>
      </c>
      <c r="O523">
        <v>64.260000000000005</v>
      </c>
    </row>
    <row r="524" spans="1:15" x14ac:dyDescent="0.35">
      <c r="A524" t="s">
        <v>534</v>
      </c>
      <c r="B524">
        <v>7.9</v>
      </c>
      <c r="C524">
        <v>6.45</v>
      </c>
      <c r="D524">
        <v>11.1</v>
      </c>
      <c r="E524">
        <v>11.9</v>
      </c>
      <c r="F524">
        <v>3.38</v>
      </c>
      <c r="G524">
        <v>5.4</v>
      </c>
      <c r="H524">
        <v>4.0999999999999996</v>
      </c>
      <c r="I524">
        <v>75.569999999999993</v>
      </c>
      <c r="J524">
        <v>45.54</v>
      </c>
      <c r="K524">
        <v>60.554999999999993</v>
      </c>
      <c r="L524" t="str">
        <v>-</v>
      </c>
      <c r="M524">
        <v>66.77</v>
      </c>
      <c r="N524">
        <v>57.36</v>
      </c>
      <c r="O524">
        <v>61.51</v>
      </c>
    </row>
    <row r="525" spans="1:15" x14ac:dyDescent="0.35">
      <c r="A525" t="s">
        <v>535</v>
      </c>
      <c r="B525">
        <v>6.81</v>
      </c>
      <c r="C525">
        <v>5.0999999999999996</v>
      </c>
      <c r="D525">
        <v>9.9</v>
      </c>
      <c r="E525">
        <v>9.58</v>
      </c>
      <c r="F525">
        <v>1.1499999999999999</v>
      </c>
      <c r="G525">
        <v>3.26</v>
      </c>
      <c r="H525">
        <v>2.0499999999999998</v>
      </c>
      <c r="I525">
        <v>84.78</v>
      </c>
      <c r="J525">
        <v>70.14</v>
      </c>
      <c r="K525">
        <v>77.460000000000008</v>
      </c>
      <c r="L525" t="str">
        <v>-</v>
      </c>
      <c r="M525">
        <v>60.32</v>
      </c>
      <c r="N525">
        <v>35.01</v>
      </c>
      <c r="O525">
        <v>53.92</v>
      </c>
    </row>
    <row r="526" spans="1:15" x14ac:dyDescent="0.35">
      <c r="A526" t="s">
        <v>537</v>
      </c>
      <c r="B526">
        <v>10.81</v>
      </c>
      <c r="C526">
        <v>10.44</v>
      </c>
      <c r="D526">
        <v>13.12</v>
      </c>
      <c r="E526">
        <v>13.35</v>
      </c>
      <c r="F526">
        <v>5.25</v>
      </c>
      <c r="G526">
        <v>10.02</v>
      </c>
      <c r="H526">
        <v>6.7</v>
      </c>
      <c r="I526">
        <v>85.54</v>
      </c>
      <c r="J526">
        <v>47.38</v>
      </c>
      <c r="K526">
        <v>66.460000000000008</v>
      </c>
      <c r="L526" t="str">
        <v>-</v>
      </c>
      <c r="M526">
        <v>82.06</v>
      </c>
      <c r="N526">
        <v>64.319999999999993</v>
      </c>
      <c r="O526">
        <v>76.849999999999994</v>
      </c>
    </row>
    <row r="527" spans="1:15" x14ac:dyDescent="0.35">
      <c r="A527" t="s">
        <v>538</v>
      </c>
      <c r="B527">
        <v>5.46</v>
      </c>
      <c r="C527">
        <v>4.1399999999999997</v>
      </c>
      <c r="D527">
        <v>10.52</v>
      </c>
      <c r="E527">
        <v>10.9</v>
      </c>
      <c r="F527">
        <v>4.71</v>
      </c>
      <c r="G527">
        <v>1.71</v>
      </c>
      <c r="H527">
        <v>3.27</v>
      </c>
      <c r="I527">
        <v>93.58</v>
      </c>
      <c r="J527">
        <v>92.75</v>
      </c>
      <c r="K527">
        <v>93.164999999999992</v>
      </c>
      <c r="L527" t="str">
        <v>-</v>
      </c>
      <c r="M527">
        <v>62.11</v>
      </c>
      <c r="N527">
        <v>51.05</v>
      </c>
      <c r="O527">
        <v>57.68</v>
      </c>
    </row>
    <row r="528" spans="1:15" x14ac:dyDescent="0.35">
      <c r="A528" t="s">
        <v>539</v>
      </c>
      <c r="B528">
        <v>4.41</v>
      </c>
      <c r="C528">
        <v>1.85</v>
      </c>
      <c r="D528">
        <v>10.84</v>
      </c>
      <c r="E528">
        <v>9.5500000000000007</v>
      </c>
      <c r="F528">
        <v>1.82</v>
      </c>
      <c r="G528">
        <v>1.34</v>
      </c>
      <c r="H528">
        <v>1.66</v>
      </c>
      <c r="I528">
        <v>72.41</v>
      </c>
      <c r="J528">
        <v>41.31</v>
      </c>
      <c r="K528">
        <v>56.86</v>
      </c>
      <c r="L528" t="str">
        <v>-</v>
      </c>
      <c r="M528">
        <v>58.29</v>
      </c>
      <c r="N528">
        <v>42</v>
      </c>
      <c r="O528">
        <v>52.07</v>
      </c>
    </row>
    <row r="529" spans="1:15" x14ac:dyDescent="0.35">
      <c r="A529" t="s">
        <v>540</v>
      </c>
      <c r="B529">
        <v>10.65</v>
      </c>
      <c r="C529">
        <v>9.99</v>
      </c>
      <c r="D529">
        <v>12.87</v>
      </c>
      <c r="E529">
        <v>12.81</v>
      </c>
      <c r="F529">
        <v>3.88</v>
      </c>
      <c r="G529">
        <v>4.45</v>
      </c>
      <c r="H529">
        <v>4.0999999999999996</v>
      </c>
      <c r="I529">
        <v>83.59</v>
      </c>
      <c r="J529">
        <v>57.71</v>
      </c>
      <c r="K529">
        <v>70.650000000000006</v>
      </c>
      <c r="L529" t="str">
        <v>-</v>
      </c>
      <c r="M529">
        <v>76.8</v>
      </c>
      <c r="N529">
        <v>70.260000000000005</v>
      </c>
      <c r="O529">
        <v>71.77</v>
      </c>
    </row>
    <row r="530" spans="1:15" x14ac:dyDescent="0.35">
      <c r="A530" t="s">
        <v>541</v>
      </c>
      <c r="B530">
        <v>5.09</v>
      </c>
      <c r="C530">
        <v>3.48</v>
      </c>
      <c r="D530">
        <v>11.06</v>
      </c>
      <c r="E530">
        <v>10.18</v>
      </c>
      <c r="F530">
        <v>2.4</v>
      </c>
      <c r="G530">
        <v>0.89</v>
      </c>
      <c r="H530">
        <v>1.92</v>
      </c>
      <c r="I530">
        <v>86.8</v>
      </c>
      <c r="J530">
        <v>48.63</v>
      </c>
      <c r="K530">
        <v>67.715000000000003</v>
      </c>
      <c r="L530" t="str">
        <v>-</v>
      </c>
      <c r="M530">
        <v>64.11</v>
      </c>
      <c r="N530">
        <v>45.11</v>
      </c>
      <c r="O530">
        <v>58.69</v>
      </c>
    </row>
    <row r="531" spans="1:15" x14ac:dyDescent="0.35">
      <c r="A531" t="s">
        <v>542</v>
      </c>
      <c r="B531">
        <v>4.78</v>
      </c>
      <c r="C531">
        <v>2.0699999999999998</v>
      </c>
      <c r="D531">
        <v>8.49</v>
      </c>
      <c r="E531">
        <v>7.02</v>
      </c>
      <c r="F531">
        <v>1.87</v>
      </c>
      <c r="G531">
        <v>3.25</v>
      </c>
      <c r="H531">
        <v>2.4</v>
      </c>
      <c r="I531">
        <v>79.010000000000005</v>
      </c>
      <c r="J531">
        <v>55.03</v>
      </c>
      <c r="K531">
        <v>67.02000000000001</v>
      </c>
      <c r="L531" t="str">
        <v>-</v>
      </c>
      <c r="M531">
        <v>57.65</v>
      </c>
      <c r="N531">
        <v>42.47</v>
      </c>
      <c r="O531">
        <v>50.71</v>
      </c>
    </row>
    <row r="532" spans="1:15" x14ac:dyDescent="0.35">
      <c r="A532" t="s">
        <v>543</v>
      </c>
      <c r="B532">
        <v>2.78</v>
      </c>
      <c r="C532">
        <v>1.65</v>
      </c>
      <c r="D532">
        <v>5.9</v>
      </c>
      <c r="E532">
        <v>5.43</v>
      </c>
      <c r="F532">
        <v>0</v>
      </c>
      <c r="G532">
        <v>0</v>
      </c>
      <c r="H532">
        <v>0</v>
      </c>
      <c r="I532">
        <v>88.62</v>
      </c>
      <c r="J532">
        <v>83.77</v>
      </c>
      <c r="K532">
        <v>86.194999999999993</v>
      </c>
      <c r="L532" t="str">
        <v>-</v>
      </c>
      <c r="M532">
        <v>47.53</v>
      </c>
      <c r="N532">
        <v>41.34</v>
      </c>
      <c r="O532">
        <v>45.6</v>
      </c>
    </row>
    <row r="533" spans="1:15" x14ac:dyDescent="0.35">
      <c r="A533" t="s">
        <v>544</v>
      </c>
      <c r="B533">
        <v>5.6</v>
      </c>
      <c r="C533">
        <v>4.24</v>
      </c>
      <c r="D533">
        <v>7.68</v>
      </c>
      <c r="E533">
        <v>7.52</v>
      </c>
      <c r="F533">
        <v>0.3</v>
      </c>
      <c r="G533">
        <v>0.62</v>
      </c>
      <c r="H533">
        <v>0.43</v>
      </c>
      <c r="I533">
        <v>86.32</v>
      </c>
      <c r="J533">
        <v>63.37</v>
      </c>
      <c r="K533">
        <v>74.844999999999999</v>
      </c>
      <c r="L533" t="str">
        <v>-</v>
      </c>
      <c r="M533">
        <v>57.94</v>
      </c>
      <c r="N533">
        <v>40.35</v>
      </c>
      <c r="O533">
        <v>51.78</v>
      </c>
    </row>
    <row r="534" spans="1:15" x14ac:dyDescent="0.35">
      <c r="A534" t="s">
        <v>546</v>
      </c>
      <c r="B534">
        <v>2.7</v>
      </c>
      <c r="C534">
        <v>1.91</v>
      </c>
      <c r="D534">
        <v>5.37</v>
      </c>
      <c r="E534">
        <v>4.1500000000000004</v>
      </c>
      <c r="F534">
        <v>0.14000000000000001</v>
      </c>
      <c r="G534">
        <v>0</v>
      </c>
      <c r="H534">
        <v>7.0000000000000007E-2</v>
      </c>
      <c r="I534">
        <v>94.58</v>
      </c>
      <c r="J534">
        <v>95.08</v>
      </c>
      <c r="K534">
        <v>94.83</v>
      </c>
      <c r="L534" t="str">
        <v>-</v>
      </c>
      <c r="M534">
        <v>39.72</v>
      </c>
      <c r="N534">
        <v>36.08</v>
      </c>
      <c r="O534">
        <v>36.299999999999997</v>
      </c>
    </row>
    <row r="535" spans="1:15" x14ac:dyDescent="0.35">
      <c r="A535" t="s">
        <v>547</v>
      </c>
      <c r="B535">
        <v>7.16</v>
      </c>
      <c r="C535">
        <v>5.33</v>
      </c>
      <c r="D535">
        <v>13.43</v>
      </c>
      <c r="E535">
        <v>11.93</v>
      </c>
      <c r="F535">
        <v>3.05</v>
      </c>
      <c r="G535">
        <v>2.39</v>
      </c>
      <c r="H535">
        <v>2.74</v>
      </c>
      <c r="I535">
        <v>88.02</v>
      </c>
      <c r="J535">
        <v>83.77</v>
      </c>
      <c r="K535">
        <v>85.894999999999996</v>
      </c>
      <c r="L535" t="str">
        <v>-</v>
      </c>
      <c r="M535">
        <v>64.489999999999995</v>
      </c>
      <c r="N535">
        <v>55.51</v>
      </c>
      <c r="O535">
        <v>61.03</v>
      </c>
    </row>
    <row r="536" spans="1:15" x14ac:dyDescent="0.35">
      <c r="A536" t="s">
        <v>548</v>
      </c>
      <c r="B536">
        <v>4.97</v>
      </c>
      <c r="C536">
        <v>2.5</v>
      </c>
      <c r="D536">
        <v>10.27</v>
      </c>
      <c r="E536">
        <v>9.44</v>
      </c>
      <c r="F536">
        <v>0.38</v>
      </c>
      <c r="G536">
        <v>0.11</v>
      </c>
      <c r="H536">
        <v>0.25</v>
      </c>
      <c r="I536">
        <v>93.69</v>
      </c>
      <c r="J536">
        <v>93.41</v>
      </c>
      <c r="K536">
        <v>93.55</v>
      </c>
      <c r="L536" t="str">
        <v>-</v>
      </c>
      <c r="M536">
        <v>54.38</v>
      </c>
      <c r="N536">
        <v>51.34</v>
      </c>
      <c r="O536">
        <v>51.59</v>
      </c>
    </row>
    <row r="537" spans="1:15" x14ac:dyDescent="0.35">
      <c r="A537" t="s">
        <v>549</v>
      </c>
      <c r="B537">
        <v>4.8600000000000003</v>
      </c>
      <c r="C537">
        <v>2.35</v>
      </c>
      <c r="D537">
        <v>9.39</v>
      </c>
      <c r="E537">
        <v>8.7899999999999991</v>
      </c>
      <c r="F537">
        <v>0.54</v>
      </c>
      <c r="G537">
        <v>0.44</v>
      </c>
      <c r="H537">
        <v>0.5</v>
      </c>
      <c r="I537">
        <v>91.33</v>
      </c>
      <c r="J537">
        <v>85.85</v>
      </c>
      <c r="K537">
        <v>88.59</v>
      </c>
      <c r="L537" t="str">
        <v>-</v>
      </c>
      <c r="M537">
        <v>59.71</v>
      </c>
      <c r="N537">
        <v>38.08</v>
      </c>
      <c r="O537">
        <v>52.05</v>
      </c>
    </row>
    <row r="538" spans="1:15" x14ac:dyDescent="0.35">
      <c r="A538" t="s">
        <v>550</v>
      </c>
      <c r="B538">
        <v>5.28</v>
      </c>
      <c r="C538">
        <v>2.96</v>
      </c>
      <c r="D538">
        <v>10.52</v>
      </c>
      <c r="E538">
        <v>9.4499999999999993</v>
      </c>
      <c r="F538">
        <v>0.81</v>
      </c>
      <c r="G538">
        <v>0.23</v>
      </c>
      <c r="H538">
        <v>0.54</v>
      </c>
      <c r="I538">
        <v>91.94</v>
      </c>
      <c r="J538">
        <v>88.97</v>
      </c>
      <c r="K538">
        <v>90.454999999999998</v>
      </c>
      <c r="L538" t="str">
        <v>-</v>
      </c>
      <c r="M538">
        <v>54.34</v>
      </c>
      <c r="N538">
        <v>49.02</v>
      </c>
      <c r="O538">
        <v>50.72</v>
      </c>
    </row>
    <row r="539" spans="1:15" x14ac:dyDescent="0.35">
      <c r="A539" t="s">
        <v>551</v>
      </c>
      <c r="B539">
        <v>5.33</v>
      </c>
      <c r="C539">
        <v>3.55</v>
      </c>
      <c r="D539">
        <v>10.14</v>
      </c>
      <c r="E539">
        <v>9.8000000000000007</v>
      </c>
      <c r="F539">
        <v>0.35</v>
      </c>
      <c r="G539">
        <v>0.52</v>
      </c>
      <c r="H539">
        <v>0.43</v>
      </c>
      <c r="I539">
        <v>83.09</v>
      </c>
      <c r="J539">
        <v>84.36</v>
      </c>
      <c r="K539">
        <v>83.724999999999994</v>
      </c>
      <c r="L539" t="str">
        <v>-</v>
      </c>
      <c r="M539">
        <v>59.29</v>
      </c>
      <c r="N539">
        <v>51.25</v>
      </c>
      <c r="O539">
        <v>51.85</v>
      </c>
    </row>
    <row r="540" spans="1:15" x14ac:dyDescent="0.35">
      <c r="A540" t="s">
        <v>552</v>
      </c>
      <c r="B540">
        <v>5.85</v>
      </c>
      <c r="C540">
        <v>3.28</v>
      </c>
      <c r="D540">
        <v>8.4600000000000009</v>
      </c>
      <c r="E540">
        <v>8.0500000000000007</v>
      </c>
      <c r="F540">
        <v>2.0499999999999998</v>
      </c>
      <c r="G540">
        <v>2.02</v>
      </c>
      <c r="H540">
        <v>2.04</v>
      </c>
      <c r="I540">
        <v>90.21</v>
      </c>
      <c r="J540">
        <v>80.209999999999994</v>
      </c>
      <c r="K540">
        <v>85.21</v>
      </c>
      <c r="L540" t="str">
        <v>-</v>
      </c>
      <c r="M540">
        <v>60.79</v>
      </c>
      <c r="N540">
        <v>46.61</v>
      </c>
      <c r="O540">
        <v>51.98</v>
      </c>
    </row>
    <row r="541" spans="1:15" x14ac:dyDescent="0.35">
      <c r="A541" t="s">
        <v>553</v>
      </c>
      <c r="B541">
        <v>5.35</v>
      </c>
      <c r="C541">
        <v>2.85</v>
      </c>
      <c r="D541">
        <v>6.97</v>
      </c>
      <c r="E541">
        <v>7.31</v>
      </c>
      <c r="F541">
        <v>2.72</v>
      </c>
      <c r="G541">
        <v>2.13</v>
      </c>
      <c r="H541">
        <v>2.46</v>
      </c>
      <c r="I541">
        <v>89.51</v>
      </c>
      <c r="J541">
        <v>85.1</v>
      </c>
      <c r="K541">
        <v>87.305000000000007</v>
      </c>
      <c r="L541" t="str">
        <v>-</v>
      </c>
      <c r="M541">
        <v>55.97</v>
      </c>
      <c r="N541">
        <v>46.45</v>
      </c>
      <c r="O541">
        <v>49.36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7C281-4CFD-408A-863E-9F7F49CAA9EE}">
  <dimension ref="A1:AO580"/>
  <sheetViews>
    <sheetView topLeftCell="AI477" zoomScale="63" workbookViewId="0">
      <selection activeCell="AO2" sqref="AO2:AO515"/>
    </sheetView>
  </sheetViews>
  <sheetFormatPr defaultRowHeight="14.5" x14ac:dyDescent="0.35"/>
  <sheetData>
    <row r="1" spans="1:41" x14ac:dyDescent="0.35">
      <c r="A1" t="s">
        <v>0</v>
      </c>
      <c r="B1" t="s">
        <v>556</v>
      </c>
      <c r="C1" t="s">
        <v>555</v>
      </c>
      <c r="D1" t="s">
        <v>580</v>
      </c>
      <c r="E1" t="s">
        <v>557</v>
      </c>
      <c r="F1" t="s">
        <v>558</v>
      </c>
      <c r="G1" t="s">
        <v>579</v>
      </c>
      <c r="H1" t="s">
        <v>569</v>
      </c>
      <c r="I1" t="s">
        <v>570</v>
      </c>
      <c r="J1" t="s">
        <v>571</v>
      </c>
      <c r="K1" t="s">
        <v>560</v>
      </c>
      <c r="L1" t="s">
        <v>561</v>
      </c>
      <c r="M1" t="s">
        <v>562</v>
      </c>
      <c r="N1" t="s">
        <v>581</v>
      </c>
      <c r="O1" t="s">
        <v>582</v>
      </c>
      <c r="P1" t="s">
        <v>583</v>
      </c>
      <c r="Q1" t="s">
        <v>563</v>
      </c>
      <c r="R1" t="s">
        <v>564</v>
      </c>
      <c r="S1" t="s">
        <v>565</v>
      </c>
      <c r="T1" t="s">
        <v>596</v>
      </c>
    </row>
    <row r="2" spans="1:41" x14ac:dyDescent="0.35">
      <c r="A2" t="s">
        <v>25</v>
      </c>
      <c r="B2">
        <v>10.07</v>
      </c>
      <c r="C2">
        <v>9.83</v>
      </c>
      <c r="D2">
        <v>9.9499999999999993</v>
      </c>
      <c r="E2">
        <v>14.31</v>
      </c>
      <c r="F2">
        <v>14.63</v>
      </c>
      <c r="G2">
        <v>14.4</v>
      </c>
      <c r="H2">
        <v>79.849999999999994</v>
      </c>
      <c r="I2">
        <v>74.349999999999994</v>
      </c>
      <c r="J2">
        <v>76.23</v>
      </c>
      <c r="K2">
        <v>4.4800000000000004</v>
      </c>
      <c r="L2">
        <v>7.52</v>
      </c>
      <c r="M2">
        <v>5.64</v>
      </c>
      <c r="N2">
        <v>71.319999999999993</v>
      </c>
      <c r="O2">
        <v>75.75</v>
      </c>
      <c r="P2">
        <v>73.48</v>
      </c>
      <c r="Q2">
        <v>80.680000000000007</v>
      </c>
      <c r="R2">
        <v>50.01</v>
      </c>
      <c r="S2">
        <v>65.349999999999994</v>
      </c>
      <c r="T2">
        <v>5625960</v>
      </c>
      <c r="V2" t="str" cm="1">
        <f t="array" ref="V2:AO515">_xlfn._xlws.FILTER(A2:T580,NOT(EXACT(UPPER(A2:A580),A2:A580)) * (B2:B580 &lt;&gt; "-"),"")</f>
        <v>Simeulue</v>
      </c>
      <c r="W2">
        <v>10.36</v>
      </c>
      <c r="X2">
        <v>9.66</v>
      </c>
      <c r="Y2">
        <v>10.09</v>
      </c>
      <c r="Z2">
        <v>14.58</v>
      </c>
      <c r="AA2">
        <v>14.76</v>
      </c>
      <c r="AB2">
        <v>14.59</v>
      </c>
      <c r="AC2">
        <v>77.3</v>
      </c>
      <c r="AD2">
        <v>62.04</v>
      </c>
      <c r="AE2">
        <v>71.94</v>
      </c>
      <c r="AF2">
        <v>6.48</v>
      </c>
      <c r="AG2">
        <v>3.58</v>
      </c>
      <c r="AH2">
        <v>5.31</v>
      </c>
      <c r="AI2">
        <v>67.989999999999995</v>
      </c>
      <c r="AJ2">
        <v>71.94</v>
      </c>
      <c r="AK2">
        <v>69.92</v>
      </c>
      <c r="AL2">
        <v>82.15</v>
      </c>
      <c r="AM2">
        <v>58.12</v>
      </c>
      <c r="AN2">
        <v>70.14</v>
      </c>
      <c r="AO2">
        <v>100136</v>
      </c>
    </row>
    <row r="3" spans="1:41" x14ac:dyDescent="0.35">
      <c r="A3" t="s">
        <v>2</v>
      </c>
      <c r="B3">
        <v>10.36</v>
      </c>
      <c r="C3">
        <v>9.66</v>
      </c>
      <c r="D3">
        <v>10.09</v>
      </c>
      <c r="E3">
        <v>14.58</v>
      </c>
      <c r="F3">
        <v>14.76</v>
      </c>
      <c r="G3">
        <v>14.59</v>
      </c>
      <c r="H3">
        <v>77.3</v>
      </c>
      <c r="I3">
        <v>62.04</v>
      </c>
      <c r="J3">
        <v>71.94</v>
      </c>
      <c r="K3">
        <v>6.48</v>
      </c>
      <c r="L3">
        <v>3.58</v>
      </c>
      <c r="M3">
        <v>5.31</v>
      </c>
      <c r="N3">
        <v>67.989999999999995</v>
      </c>
      <c r="O3">
        <v>71.94</v>
      </c>
      <c r="P3">
        <v>69.92</v>
      </c>
      <c r="Q3">
        <v>82.15</v>
      </c>
      <c r="R3">
        <v>58.12</v>
      </c>
      <c r="S3">
        <v>70.14</v>
      </c>
      <c r="T3">
        <v>100136</v>
      </c>
      <c r="V3" t="str">
        <v>Aceh Singkil</v>
      </c>
      <c r="W3">
        <v>9.35</v>
      </c>
      <c r="X3">
        <v>8.64</v>
      </c>
      <c r="Y3">
        <v>9.0500000000000007</v>
      </c>
      <c r="Z3">
        <v>14.41</v>
      </c>
      <c r="AA3">
        <v>14.16</v>
      </c>
      <c r="AB3">
        <v>14.37</v>
      </c>
      <c r="AC3">
        <v>78.41</v>
      </c>
      <c r="AD3">
        <v>67.239999999999995</v>
      </c>
      <c r="AE3">
        <v>72.62</v>
      </c>
      <c r="AF3">
        <v>4.25</v>
      </c>
      <c r="AG3">
        <v>10.24</v>
      </c>
      <c r="AH3">
        <v>6.55</v>
      </c>
      <c r="AI3">
        <v>68.23</v>
      </c>
      <c r="AJ3">
        <v>72.17</v>
      </c>
      <c r="AK3">
        <v>70.150000000000006</v>
      </c>
      <c r="AL3">
        <v>70.540000000000006</v>
      </c>
      <c r="AM3">
        <v>44.68</v>
      </c>
      <c r="AN3">
        <v>57.61</v>
      </c>
      <c r="AO3">
        <v>138070</v>
      </c>
    </row>
    <row r="4" spans="1:41" x14ac:dyDescent="0.35">
      <c r="A4" t="s">
        <v>3</v>
      </c>
      <c r="B4">
        <v>9.35</v>
      </c>
      <c r="C4">
        <v>8.64</v>
      </c>
      <c r="D4">
        <v>9.0500000000000007</v>
      </c>
      <c r="E4">
        <v>14.41</v>
      </c>
      <c r="F4">
        <v>14.16</v>
      </c>
      <c r="G4">
        <v>14.37</v>
      </c>
      <c r="H4">
        <v>78.41</v>
      </c>
      <c r="I4">
        <v>67.239999999999995</v>
      </c>
      <c r="J4">
        <v>72.62</v>
      </c>
      <c r="K4">
        <v>4.25</v>
      </c>
      <c r="L4">
        <v>10.24</v>
      </c>
      <c r="M4">
        <v>6.55</v>
      </c>
      <c r="N4">
        <v>68.23</v>
      </c>
      <c r="O4">
        <v>72.17</v>
      </c>
      <c r="P4">
        <v>70.150000000000006</v>
      </c>
      <c r="Q4">
        <v>70.540000000000006</v>
      </c>
      <c r="R4">
        <v>44.68</v>
      </c>
      <c r="S4">
        <v>57.61</v>
      </c>
      <c r="T4">
        <v>138070</v>
      </c>
      <c r="V4" t="str">
        <v>Aceh Selatan</v>
      </c>
      <c r="W4">
        <v>9.3800000000000008</v>
      </c>
      <c r="X4">
        <v>8.7899999999999991</v>
      </c>
      <c r="Y4">
        <v>9.25</v>
      </c>
      <c r="Z4">
        <v>14.6</v>
      </c>
      <c r="AA4">
        <v>15</v>
      </c>
      <c r="AB4">
        <v>14.72</v>
      </c>
      <c r="AC4">
        <v>76.260000000000005</v>
      </c>
      <c r="AD4">
        <v>70.760000000000005</v>
      </c>
      <c r="AE4">
        <v>72.790000000000006</v>
      </c>
      <c r="AF4">
        <v>4.8499999999999996</v>
      </c>
      <c r="AG4">
        <v>3.33</v>
      </c>
      <c r="AH4">
        <v>4.3899999999999997</v>
      </c>
      <c r="AI4">
        <v>68.89</v>
      </c>
      <c r="AJ4">
        <v>72.83</v>
      </c>
      <c r="AK4">
        <v>70.81</v>
      </c>
      <c r="AL4">
        <v>83.12</v>
      </c>
      <c r="AM4">
        <v>35.64</v>
      </c>
      <c r="AN4">
        <v>59.38</v>
      </c>
      <c r="AO4">
        <v>244472</v>
      </c>
    </row>
    <row r="5" spans="1:41" x14ac:dyDescent="0.35">
      <c r="A5" t="s">
        <v>4</v>
      </c>
      <c r="B5">
        <v>9.3800000000000008</v>
      </c>
      <c r="C5">
        <v>8.7899999999999991</v>
      </c>
      <c r="D5">
        <v>9.25</v>
      </c>
      <c r="E5">
        <v>14.6</v>
      </c>
      <c r="F5">
        <v>15</v>
      </c>
      <c r="G5">
        <v>14.72</v>
      </c>
      <c r="H5">
        <v>76.260000000000005</v>
      </c>
      <c r="I5">
        <v>70.760000000000005</v>
      </c>
      <c r="J5">
        <v>72.790000000000006</v>
      </c>
      <c r="K5">
        <v>4.8499999999999996</v>
      </c>
      <c r="L5">
        <v>3.33</v>
      </c>
      <c r="M5">
        <v>4.3899999999999997</v>
      </c>
      <c r="N5">
        <v>68.89</v>
      </c>
      <c r="O5">
        <v>72.83</v>
      </c>
      <c r="P5">
        <v>70.81</v>
      </c>
      <c r="Q5">
        <v>83.12</v>
      </c>
      <c r="R5">
        <v>35.64</v>
      </c>
      <c r="S5">
        <v>59.38</v>
      </c>
      <c r="T5">
        <v>244472</v>
      </c>
      <c r="V5" t="str">
        <v>Aceh Tenggara</v>
      </c>
      <c r="W5">
        <v>10.75</v>
      </c>
      <c r="X5">
        <v>10.11</v>
      </c>
      <c r="Y5">
        <v>10.39</v>
      </c>
      <c r="Z5">
        <v>14.35</v>
      </c>
      <c r="AA5">
        <v>15.02</v>
      </c>
      <c r="AB5">
        <v>14.52</v>
      </c>
      <c r="AC5">
        <v>78.94</v>
      </c>
      <c r="AD5">
        <v>73.98</v>
      </c>
      <c r="AE5">
        <v>74.36</v>
      </c>
      <c r="AF5">
        <v>1.54</v>
      </c>
      <c r="AG5">
        <v>8.6</v>
      </c>
      <c r="AH5">
        <v>4.72</v>
      </c>
      <c r="AI5">
        <v>71.010000000000005</v>
      </c>
      <c r="AJ5">
        <v>75.11</v>
      </c>
      <c r="AK5">
        <v>73.010000000000005</v>
      </c>
      <c r="AL5">
        <v>77.819999999999993</v>
      </c>
      <c r="AM5">
        <v>63.82</v>
      </c>
      <c r="AN5">
        <v>70.819999999999993</v>
      </c>
      <c r="AO5">
        <v>237910</v>
      </c>
    </row>
    <row r="6" spans="1:41" x14ac:dyDescent="0.35">
      <c r="A6" t="s">
        <v>5</v>
      </c>
      <c r="B6">
        <v>10.75</v>
      </c>
      <c r="C6">
        <v>10.11</v>
      </c>
      <c r="D6">
        <v>10.39</v>
      </c>
      <c r="E6">
        <v>14.35</v>
      </c>
      <c r="F6">
        <v>15.02</v>
      </c>
      <c r="G6">
        <v>14.52</v>
      </c>
      <c r="H6">
        <v>78.94</v>
      </c>
      <c r="I6">
        <v>73.98</v>
      </c>
      <c r="J6">
        <v>74.36</v>
      </c>
      <c r="K6">
        <v>1.54</v>
      </c>
      <c r="L6">
        <v>8.6</v>
      </c>
      <c r="M6">
        <v>4.72</v>
      </c>
      <c r="N6">
        <v>71.010000000000005</v>
      </c>
      <c r="O6">
        <v>75.11</v>
      </c>
      <c r="P6">
        <v>73.010000000000005</v>
      </c>
      <c r="Q6">
        <v>77.819999999999993</v>
      </c>
      <c r="R6">
        <v>63.82</v>
      </c>
      <c r="S6">
        <v>70.819999999999993</v>
      </c>
      <c r="T6">
        <v>237910</v>
      </c>
      <c r="V6" t="str">
        <v>Aceh Timur</v>
      </c>
      <c r="W6">
        <v>8.93</v>
      </c>
      <c r="X6">
        <v>8.6300000000000008</v>
      </c>
      <c r="Y6">
        <v>8.8000000000000007</v>
      </c>
      <c r="Z6">
        <v>12.9</v>
      </c>
      <c r="AA6">
        <v>13.14</v>
      </c>
      <c r="AB6">
        <v>13.09</v>
      </c>
      <c r="AC6">
        <v>76.599999999999994</v>
      </c>
      <c r="AD6">
        <v>67.22</v>
      </c>
      <c r="AE6">
        <v>72.2</v>
      </c>
      <c r="AF6">
        <v>4.8</v>
      </c>
      <c r="AG6">
        <v>13.48</v>
      </c>
      <c r="AH6">
        <v>7.74</v>
      </c>
      <c r="AI6">
        <v>70.489999999999995</v>
      </c>
      <c r="AJ6">
        <v>74.510000000000005</v>
      </c>
      <c r="AK6">
        <v>72.45</v>
      </c>
      <c r="AL6">
        <v>81.010000000000005</v>
      </c>
      <c r="AM6">
        <v>41.37</v>
      </c>
      <c r="AN6">
        <v>61.19</v>
      </c>
      <c r="AO6">
        <v>449080</v>
      </c>
    </row>
    <row r="7" spans="1:41" x14ac:dyDescent="0.35">
      <c r="A7" t="s">
        <v>6</v>
      </c>
      <c r="B7">
        <v>8.93</v>
      </c>
      <c r="C7">
        <v>8.6300000000000008</v>
      </c>
      <c r="D7">
        <v>8.8000000000000007</v>
      </c>
      <c r="E7">
        <v>12.9</v>
      </c>
      <c r="F7">
        <v>13.14</v>
      </c>
      <c r="G7">
        <v>13.09</v>
      </c>
      <c r="H7">
        <v>76.599999999999994</v>
      </c>
      <c r="I7">
        <v>67.22</v>
      </c>
      <c r="J7">
        <v>72.2</v>
      </c>
      <c r="K7">
        <v>4.8</v>
      </c>
      <c r="L7">
        <v>13.48</v>
      </c>
      <c r="M7">
        <v>7.74</v>
      </c>
      <c r="N7">
        <v>70.489999999999995</v>
      </c>
      <c r="O7">
        <v>74.510000000000005</v>
      </c>
      <c r="P7">
        <v>72.45</v>
      </c>
      <c r="Q7">
        <v>81.010000000000005</v>
      </c>
      <c r="R7">
        <v>41.37</v>
      </c>
      <c r="S7">
        <v>61.19</v>
      </c>
      <c r="T7">
        <v>449080</v>
      </c>
      <c r="V7" t="str">
        <v>Aceh Tengah</v>
      </c>
      <c r="W7">
        <v>10.37</v>
      </c>
      <c r="X7">
        <v>10.27</v>
      </c>
      <c r="Y7">
        <v>10.35</v>
      </c>
      <c r="Z7">
        <v>14.37</v>
      </c>
      <c r="AA7">
        <v>15.65</v>
      </c>
      <c r="AB7">
        <v>15.04</v>
      </c>
      <c r="AC7">
        <v>78.430000000000007</v>
      </c>
      <c r="AD7">
        <v>77.02</v>
      </c>
      <c r="AE7">
        <v>78.09</v>
      </c>
      <c r="AF7">
        <v>3.23</v>
      </c>
      <c r="AG7">
        <v>5.03</v>
      </c>
      <c r="AH7">
        <v>4.03</v>
      </c>
      <c r="AI7">
        <v>71.2</v>
      </c>
      <c r="AJ7">
        <v>75.5</v>
      </c>
      <c r="AK7">
        <v>73.290000000000006</v>
      </c>
      <c r="AL7">
        <v>85.7</v>
      </c>
      <c r="AM7">
        <v>69.33</v>
      </c>
      <c r="AN7">
        <v>77.52</v>
      </c>
      <c r="AO7">
        <v>229608</v>
      </c>
    </row>
    <row r="8" spans="1:41" x14ac:dyDescent="0.35">
      <c r="A8" t="s">
        <v>7</v>
      </c>
      <c r="B8">
        <v>10.37</v>
      </c>
      <c r="C8">
        <v>10.27</v>
      </c>
      <c r="D8">
        <v>10.35</v>
      </c>
      <c r="E8">
        <v>14.37</v>
      </c>
      <c r="F8">
        <v>15.65</v>
      </c>
      <c r="G8">
        <v>15.04</v>
      </c>
      <c r="H8">
        <v>78.430000000000007</v>
      </c>
      <c r="I8">
        <v>77.02</v>
      </c>
      <c r="J8">
        <v>78.09</v>
      </c>
      <c r="K8">
        <v>3.23</v>
      </c>
      <c r="L8">
        <v>5.03</v>
      </c>
      <c r="M8">
        <v>4.03</v>
      </c>
      <c r="N8">
        <v>71.2</v>
      </c>
      <c r="O8">
        <v>75.5</v>
      </c>
      <c r="P8">
        <v>73.290000000000006</v>
      </c>
      <c r="Q8">
        <v>85.7</v>
      </c>
      <c r="R8">
        <v>69.33</v>
      </c>
      <c r="S8">
        <v>77.52</v>
      </c>
      <c r="T8">
        <v>229608</v>
      </c>
      <c r="V8" t="str">
        <v>Aceh Barat</v>
      </c>
      <c r="W8">
        <v>10.34</v>
      </c>
      <c r="X8">
        <v>10.1</v>
      </c>
      <c r="Y8">
        <v>10.27</v>
      </c>
      <c r="Z8">
        <v>14.94</v>
      </c>
      <c r="AA8">
        <v>15.04</v>
      </c>
      <c r="AB8">
        <v>14.94</v>
      </c>
      <c r="AC8">
        <v>80.52</v>
      </c>
      <c r="AD8">
        <v>70.23</v>
      </c>
      <c r="AE8">
        <v>76.3</v>
      </c>
      <c r="AF8">
        <v>5.32</v>
      </c>
      <c r="AG8">
        <v>5.69</v>
      </c>
      <c r="AH8">
        <v>5.46</v>
      </c>
      <c r="AI8">
        <v>70.349999999999994</v>
      </c>
      <c r="AJ8">
        <v>74.36</v>
      </c>
      <c r="AK8">
        <v>72.31</v>
      </c>
      <c r="AL8">
        <v>74.28</v>
      </c>
      <c r="AM8">
        <v>47</v>
      </c>
      <c r="AN8">
        <v>60.64</v>
      </c>
      <c r="AO8">
        <v>208812</v>
      </c>
    </row>
    <row r="9" spans="1:41" x14ac:dyDescent="0.35">
      <c r="A9" t="s">
        <v>8</v>
      </c>
      <c r="B9">
        <v>10.34</v>
      </c>
      <c r="C9">
        <v>10.1</v>
      </c>
      <c r="D9">
        <v>10.27</v>
      </c>
      <c r="E9">
        <v>14.94</v>
      </c>
      <c r="F9">
        <v>15.04</v>
      </c>
      <c r="G9">
        <v>14.94</v>
      </c>
      <c r="H9">
        <v>80.52</v>
      </c>
      <c r="I9">
        <v>70.23</v>
      </c>
      <c r="J9">
        <v>76.3</v>
      </c>
      <c r="K9">
        <v>5.32</v>
      </c>
      <c r="L9">
        <v>5.69</v>
      </c>
      <c r="M9">
        <v>5.46</v>
      </c>
      <c r="N9">
        <v>70.349999999999994</v>
      </c>
      <c r="O9">
        <v>74.36</v>
      </c>
      <c r="P9">
        <v>72.31</v>
      </c>
      <c r="Q9">
        <v>74.28</v>
      </c>
      <c r="R9">
        <v>47</v>
      </c>
      <c r="S9">
        <v>60.64</v>
      </c>
      <c r="T9">
        <v>208812</v>
      </c>
      <c r="V9" t="str">
        <v>Aceh Besar</v>
      </c>
      <c r="W9">
        <v>10.81</v>
      </c>
      <c r="X9">
        <v>10.69</v>
      </c>
      <c r="Y9">
        <v>10.69</v>
      </c>
      <c r="Z9">
        <v>14.86</v>
      </c>
      <c r="AA9">
        <v>15.56</v>
      </c>
      <c r="AB9">
        <v>14.92</v>
      </c>
      <c r="AC9">
        <v>80.260000000000005</v>
      </c>
      <c r="AD9">
        <v>77.06</v>
      </c>
      <c r="AE9">
        <v>77.459999999999994</v>
      </c>
      <c r="AF9">
        <v>3.57</v>
      </c>
      <c r="AG9">
        <v>14.13</v>
      </c>
      <c r="AH9">
        <v>7.86</v>
      </c>
      <c r="AI9">
        <v>71.34</v>
      </c>
      <c r="AJ9">
        <v>75.8</v>
      </c>
      <c r="AK9">
        <v>73.510000000000005</v>
      </c>
      <c r="AL9">
        <v>79.239999999999995</v>
      </c>
      <c r="AM9">
        <v>54.62</v>
      </c>
      <c r="AN9">
        <v>66.930000000000007</v>
      </c>
      <c r="AO9">
        <v>434042</v>
      </c>
    </row>
    <row r="10" spans="1:41" x14ac:dyDescent="0.35">
      <c r="A10" t="s">
        <v>9</v>
      </c>
      <c r="B10">
        <v>10.81</v>
      </c>
      <c r="C10">
        <v>10.69</v>
      </c>
      <c r="D10">
        <v>10.69</v>
      </c>
      <c r="E10">
        <v>14.86</v>
      </c>
      <c r="F10">
        <v>15.56</v>
      </c>
      <c r="G10">
        <v>14.92</v>
      </c>
      <c r="H10">
        <v>80.260000000000005</v>
      </c>
      <c r="I10">
        <v>77.06</v>
      </c>
      <c r="J10">
        <v>77.459999999999994</v>
      </c>
      <c r="K10">
        <v>3.57</v>
      </c>
      <c r="L10">
        <v>14.13</v>
      </c>
      <c r="M10">
        <v>7.86</v>
      </c>
      <c r="N10">
        <v>71.34</v>
      </c>
      <c r="O10">
        <v>75.8</v>
      </c>
      <c r="P10">
        <v>73.510000000000005</v>
      </c>
      <c r="Q10">
        <v>79.239999999999995</v>
      </c>
      <c r="R10">
        <v>54.62</v>
      </c>
      <c r="S10">
        <v>66.930000000000007</v>
      </c>
      <c r="T10">
        <v>434042</v>
      </c>
      <c r="V10" t="str">
        <v>Pidie</v>
      </c>
      <c r="W10">
        <v>9.7799999999999994</v>
      </c>
      <c r="X10">
        <v>9.0399999999999991</v>
      </c>
      <c r="Y10">
        <v>9.3699999999999992</v>
      </c>
      <c r="Z10">
        <v>14.39</v>
      </c>
      <c r="AA10">
        <v>14.91</v>
      </c>
      <c r="AB10">
        <v>14.53</v>
      </c>
      <c r="AC10">
        <v>77.67</v>
      </c>
      <c r="AD10">
        <v>73.040000000000006</v>
      </c>
      <c r="AE10">
        <v>74.459999999999994</v>
      </c>
      <c r="AF10">
        <v>5.72</v>
      </c>
      <c r="AG10">
        <v>5.7</v>
      </c>
      <c r="AH10">
        <v>5.71</v>
      </c>
      <c r="AI10">
        <v>68.27</v>
      </c>
      <c r="AJ10">
        <v>72.209999999999994</v>
      </c>
      <c r="AK10">
        <v>70.19</v>
      </c>
      <c r="AL10">
        <v>76.98</v>
      </c>
      <c r="AM10">
        <v>49.32</v>
      </c>
      <c r="AN10">
        <v>63.15</v>
      </c>
      <c r="AO10">
        <v>456942</v>
      </c>
    </row>
    <row r="11" spans="1:41" x14ac:dyDescent="0.35">
      <c r="A11" t="s">
        <v>10</v>
      </c>
      <c r="B11">
        <v>9.7799999999999994</v>
      </c>
      <c r="C11">
        <v>9.0399999999999991</v>
      </c>
      <c r="D11">
        <v>9.3699999999999992</v>
      </c>
      <c r="E11">
        <v>14.39</v>
      </c>
      <c r="F11">
        <v>14.91</v>
      </c>
      <c r="G11">
        <v>14.53</v>
      </c>
      <c r="H11">
        <v>77.67</v>
      </c>
      <c r="I11">
        <v>73.040000000000006</v>
      </c>
      <c r="J11">
        <v>74.459999999999994</v>
      </c>
      <c r="K11">
        <v>5.72</v>
      </c>
      <c r="L11">
        <v>5.7</v>
      </c>
      <c r="M11">
        <v>5.71</v>
      </c>
      <c r="N11">
        <v>68.27</v>
      </c>
      <c r="O11">
        <v>72.209999999999994</v>
      </c>
      <c r="P11">
        <v>70.19</v>
      </c>
      <c r="Q11">
        <v>76.98</v>
      </c>
      <c r="R11">
        <v>49.32</v>
      </c>
      <c r="S11">
        <v>63.15</v>
      </c>
      <c r="T11">
        <v>456942</v>
      </c>
      <c r="V11" t="str">
        <v>Bireuen</v>
      </c>
      <c r="W11">
        <v>9.99</v>
      </c>
      <c r="X11">
        <v>9.8000000000000007</v>
      </c>
      <c r="Y11">
        <v>9.92</v>
      </c>
      <c r="Z11">
        <v>14.91</v>
      </c>
      <c r="AA11">
        <v>15.31</v>
      </c>
      <c r="AB11">
        <v>14.98</v>
      </c>
      <c r="AC11">
        <v>79.55</v>
      </c>
      <c r="AD11">
        <v>75.989999999999995</v>
      </c>
      <c r="AE11">
        <v>76.290000000000006</v>
      </c>
      <c r="AF11">
        <v>4.04</v>
      </c>
      <c r="AG11">
        <v>3.5</v>
      </c>
      <c r="AH11">
        <v>3.82</v>
      </c>
      <c r="AI11">
        <v>71.739999999999995</v>
      </c>
      <c r="AJ11">
        <v>76.64</v>
      </c>
      <c r="AK11">
        <v>74.13</v>
      </c>
      <c r="AL11">
        <v>82</v>
      </c>
      <c r="AM11">
        <v>53.61</v>
      </c>
      <c r="AN11">
        <v>67.81</v>
      </c>
      <c r="AO11">
        <v>464776</v>
      </c>
    </row>
    <row r="12" spans="1:41" x14ac:dyDescent="0.35">
      <c r="A12" t="s">
        <v>11</v>
      </c>
      <c r="B12">
        <v>9.99</v>
      </c>
      <c r="C12">
        <v>9.8000000000000007</v>
      </c>
      <c r="D12">
        <v>9.92</v>
      </c>
      <c r="E12">
        <v>14.91</v>
      </c>
      <c r="F12">
        <v>15.31</v>
      </c>
      <c r="G12">
        <v>14.98</v>
      </c>
      <c r="H12">
        <v>79.55</v>
      </c>
      <c r="I12">
        <v>75.989999999999995</v>
      </c>
      <c r="J12">
        <v>76.290000000000006</v>
      </c>
      <c r="K12">
        <v>4.04</v>
      </c>
      <c r="L12">
        <v>3.5</v>
      </c>
      <c r="M12">
        <v>3.82</v>
      </c>
      <c r="N12">
        <v>71.739999999999995</v>
      </c>
      <c r="O12">
        <v>76.64</v>
      </c>
      <c r="P12">
        <v>74.13</v>
      </c>
      <c r="Q12">
        <v>82</v>
      </c>
      <c r="R12">
        <v>53.61</v>
      </c>
      <c r="S12">
        <v>67.81</v>
      </c>
      <c r="T12">
        <v>464776</v>
      </c>
      <c r="V12" t="str">
        <v>Aceh Utara</v>
      </c>
      <c r="W12">
        <v>9.59</v>
      </c>
      <c r="X12">
        <v>9.2100000000000009</v>
      </c>
      <c r="Y12">
        <v>9.3800000000000008</v>
      </c>
      <c r="Z12">
        <v>14.6</v>
      </c>
      <c r="AA12">
        <v>15.16</v>
      </c>
      <c r="AB12">
        <v>14.76</v>
      </c>
      <c r="AC12">
        <v>77.52</v>
      </c>
      <c r="AD12">
        <v>72.459999999999994</v>
      </c>
      <c r="AE12">
        <v>74.290000000000006</v>
      </c>
      <c r="AF12">
        <v>5.8</v>
      </c>
      <c r="AG12">
        <v>9.0500000000000007</v>
      </c>
      <c r="AH12">
        <v>6.88</v>
      </c>
      <c r="AI12">
        <v>71.010000000000005</v>
      </c>
      <c r="AJ12">
        <v>75.11</v>
      </c>
      <c r="AK12">
        <v>73.010000000000005</v>
      </c>
      <c r="AL12">
        <v>80.03</v>
      </c>
      <c r="AM12">
        <v>39.39</v>
      </c>
      <c r="AN12">
        <v>59.71</v>
      </c>
      <c r="AO12">
        <v>638957</v>
      </c>
    </row>
    <row r="13" spans="1:41" x14ac:dyDescent="0.35">
      <c r="A13" t="s">
        <v>12</v>
      </c>
      <c r="B13">
        <v>9.59</v>
      </c>
      <c r="C13">
        <v>9.2100000000000009</v>
      </c>
      <c r="D13">
        <v>9.3800000000000008</v>
      </c>
      <c r="E13">
        <v>14.6</v>
      </c>
      <c r="F13">
        <v>15.16</v>
      </c>
      <c r="G13">
        <v>14.76</v>
      </c>
      <c r="H13">
        <v>77.52</v>
      </c>
      <c r="I13">
        <v>72.459999999999994</v>
      </c>
      <c r="J13">
        <v>74.290000000000006</v>
      </c>
      <c r="K13">
        <v>5.8</v>
      </c>
      <c r="L13">
        <v>9.0500000000000007</v>
      </c>
      <c r="M13">
        <v>6.88</v>
      </c>
      <c r="N13">
        <v>71.010000000000005</v>
      </c>
      <c r="O13">
        <v>75.11</v>
      </c>
      <c r="P13">
        <v>73.010000000000005</v>
      </c>
      <c r="Q13">
        <v>80.03</v>
      </c>
      <c r="R13">
        <v>39.39</v>
      </c>
      <c r="S13">
        <v>59.71</v>
      </c>
      <c r="T13">
        <v>638957</v>
      </c>
      <c r="V13" t="str">
        <v>Aceh Barat Daya</v>
      </c>
      <c r="W13">
        <v>9.2799999999999994</v>
      </c>
      <c r="X13">
        <v>9.01</v>
      </c>
      <c r="Y13">
        <v>9.11</v>
      </c>
      <c r="Z13">
        <v>13.69</v>
      </c>
      <c r="AA13">
        <v>14.86</v>
      </c>
      <c r="AB13">
        <v>13.7</v>
      </c>
      <c r="AC13">
        <v>77.739999999999995</v>
      </c>
      <c r="AD13">
        <v>70.709999999999994</v>
      </c>
      <c r="AE13">
        <v>72.099999999999994</v>
      </c>
      <c r="AF13">
        <v>1.8</v>
      </c>
      <c r="AG13">
        <v>6.76</v>
      </c>
      <c r="AH13">
        <v>3.66</v>
      </c>
      <c r="AI13">
        <v>69.03</v>
      </c>
      <c r="AJ13">
        <v>72.98</v>
      </c>
      <c r="AK13">
        <v>70.95</v>
      </c>
      <c r="AL13">
        <v>75.66</v>
      </c>
      <c r="AM13">
        <v>45.89</v>
      </c>
      <c r="AN13">
        <v>60.78</v>
      </c>
      <c r="AO13">
        <v>161341</v>
      </c>
    </row>
    <row r="14" spans="1:41" x14ac:dyDescent="0.35">
      <c r="A14" t="s">
        <v>13</v>
      </c>
      <c r="B14">
        <v>9.2799999999999994</v>
      </c>
      <c r="C14">
        <v>9.01</v>
      </c>
      <c r="D14">
        <v>9.11</v>
      </c>
      <c r="E14">
        <v>13.69</v>
      </c>
      <c r="F14">
        <v>14.86</v>
      </c>
      <c r="G14">
        <v>13.7</v>
      </c>
      <c r="H14">
        <v>77.739999999999995</v>
      </c>
      <c r="I14">
        <v>70.709999999999994</v>
      </c>
      <c r="J14">
        <v>72.099999999999994</v>
      </c>
      <c r="K14">
        <v>1.8</v>
      </c>
      <c r="L14">
        <v>6.76</v>
      </c>
      <c r="M14">
        <v>3.66</v>
      </c>
      <c r="N14">
        <v>69.03</v>
      </c>
      <c r="O14">
        <v>72.98</v>
      </c>
      <c r="P14">
        <v>70.95</v>
      </c>
      <c r="Q14">
        <v>75.66</v>
      </c>
      <c r="R14">
        <v>45.89</v>
      </c>
      <c r="S14">
        <v>60.78</v>
      </c>
      <c r="T14">
        <v>161341</v>
      </c>
      <c r="V14" t="str">
        <v>Gayo Lues</v>
      </c>
      <c r="W14">
        <v>9.2799999999999994</v>
      </c>
      <c r="X14">
        <v>8.17</v>
      </c>
      <c r="Y14">
        <v>8.75</v>
      </c>
      <c r="Z14">
        <v>14.45</v>
      </c>
      <c r="AA14">
        <v>14.94</v>
      </c>
      <c r="AB14">
        <v>14.73</v>
      </c>
      <c r="AC14">
        <v>77.41</v>
      </c>
      <c r="AD14">
        <v>70.319999999999993</v>
      </c>
      <c r="AE14">
        <v>72.61</v>
      </c>
      <c r="AF14">
        <v>3.07</v>
      </c>
      <c r="AG14">
        <v>1.28</v>
      </c>
      <c r="AH14">
        <v>2.2400000000000002</v>
      </c>
      <c r="AI14">
        <v>68.2</v>
      </c>
      <c r="AJ14">
        <v>72.14</v>
      </c>
      <c r="AK14">
        <v>70.12</v>
      </c>
      <c r="AL14">
        <v>84.03</v>
      </c>
      <c r="AM14">
        <v>72.790000000000006</v>
      </c>
      <c r="AN14">
        <v>78.41</v>
      </c>
      <c r="AO14">
        <v>108672</v>
      </c>
    </row>
    <row r="15" spans="1:41" x14ac:dyDescent="0.35">
      <c r="A15" t="s">
        <v>14</v>
      </c>
      <c r="B15">
        <v>9.2799999999999994</v>
      </c>
      <c r="C15">
        <v>8.17</v>
      </c>
      <c r="D15">
        <v>8.75</v>
      </c>
      <c r="E15">
        <v>14.45</v>
      </c>
      <c r="F15">
        <v>14.94</v>
      </c>
      <c r="G15">
        <v>14.73</v>
      </c>
      <c r="H15">
        <v>77.41</v>
      </c>
      <c r="I15">
        <v>70.319999999999993</v>
      </c>
      <c r="J15">
        <v>72.61</v>
      </c>
      <c r="K15">
        <v>3.07</v>
      </c>
      <c r="L15">
        <v>1.28</v>
      </c>
      <c r="M15">
        <v>2.2400000000000002</v>
      </c>
      <c r="N15">
        <v>68.2</v>
      </c>
      <c r="O15">
        <v>72.14</v>
      </c>
      <c r="P15">
        <v>70.12</v>
      </c>
      <c r="Q15">
        <v>84.03</v>
      </c>
      <c r="R15">
        <v>72.790000000000006</v>
      </c>
      <c r="S15">
        <v>78.41</v>
      </c>
      <c r="T15">
        <v>108672</v>
      </c>
      <c r="V15" t="str">
        <v>Aceh Tamiang</v>
      </c>
      <c r="W15">
        <v>9.5299999999999994</v>
      </c>
      <c r="X15">
        <v>9.25</v>
      </c>
      <c r="Y15">
        <v>9.42</v>
      </c>
      <c r="Z15">
        <v>14.25</v>
      </c>
      <c r="AA15">
        <v>14.57</v>
      </c>
      <c r="AB15">
        <v>14.52</v>
      </c>
      <c r="AC15">
        <v>80.84</v>
      </c>
      <c r="AD15">
        <v>67.72</v>
      </c>
      <c r="AE15">
        <v>74.78</v>
      </c>
      <c r="AF15">
        <v>6.62</v>
      </c>
      <c r="AG15">
        <v>7.03</v>
      </c>
      <c r="AH15">
        <v>6.78</v>
      </c>
      <c r="AI15">
        <v>71.73</v>
      </c>
      <c r="AJ15">
        <v>76.63</v>
      </c>
      <c r="AK15">
        <v>74.12</v>
      </c>
      <c r="AL15">
        <v>85.04</v>
      </c>
      <c r="AM15">
        <v>54.24</v>
      </c>
      <c r="AN15">
        <v>69.64</v>
      </c>
      <c r="AO15">
        <v>312820</v>
      </c>
    </row>
    <row r="16" spans="1:41" x14ac:dyDescent="0.35">
      <c r="A16" t="s">
        <v>15</v>
      </c>
      <c r="B16">
        <v>9.5299999999999994</v>
      </c>
      <c r="C16">
        <v>9.25</v>
      </c>
      <c r="D16">
        <v>9.42</v>
      </c>
      <c r="E16">
        <v>14.25</v>
      </c>
      <c r="F16">
        <v>14.57</v>
      </c>
      <c r="G16">
        <v>14.52</v>
      </c>
      <c r="H16">
        <v>80.84</v>
      </c>
      <c r="I16">
        <v>67.72</v>
      </c>
      <c r="J16">
        <v>74.78</v>
      </c>
      <c r="K16">
        <v>6.62</v>
      </c>
      <c r="L16">
        <v>7.03</v>
      </c>
      <c r="M16">
        <v>6.78</v>
      </c>
      <c r="N16">
        <v>71.73</v>
      </c>
      <c r="O16">
        <v>76.63</v>
      </c>
      <c r="P16">
        <v>74.12</v>
      </c>
      <c r="Q16">
        <v>85.04</v>
      </c>
      <c r="R16">
        <v>54.24</v>
      </c>
      <c r="S16">
        <v>69.64</v>
      </c>
      <c r="T16">
        <v>312820</v>
      </c>
      <c r="V16" t="str">
        <v>Nagan Raya</v>
      </c>
      <c r="W16">
        <v>9.7200000000000006</v>
      </c>
      <c r="X16">
        <v>9.4</v>
      </c>
      <c r="Y16">
        <v>9.57</v>
      </c>
      <c r="Z16">
        <v>13.96</v>
      </c>
      <c r="AA16">
        <v>14.51</v>
      </c>
      <c r="AB16">
        <v>14.19</v>
      </c>
      <c r="AC16">
        <v>78.38</v>
      </c>
      <c r="AD16">
        <v>71.66</v>
      </c>
      <c r="AE16">
        <v>73.87</v>
      </c>
      <c r="AF16">
        <v>3.76</v>
      </c>
      <c r="AG16">
        <v>7.85</v>
      </c>
      <c r="AH16">
        <v>5.0599999999999996</v>
      </c>
      <c r="AI16">
        <v>70.97</v>
      </c>
      <c r="AJ16">
        <v>75.03</v>
      </c>
      <c r="AK16">
        <v>72.95</v>
      </c>
      <c r="AL16">
        <v>87.38</v>
      </c>
      <c r="AM16">
        <v>40.97</v>
      </c>
      <c r="AN16">
        <v>64.180000000000007</v>
      </c>
      <c r="AO16">
        <v>178460</v>
      </c>
    </row>
    <row r="17" spans="1:41" x14ac:dyDescent="0.35">
      <c r="A17" t="s">
        <v>16</v>
      </c>
      <c r="B17">
        <v>9.7200000000000006</v>
      </c>
      <c r="C17">
        <v>9.4</v>
      </c>
      <c r="D17">
        <v>9.57</v>
      </c>
      <c r="E17">
        <v>13.96</v>
      </c>
      <c r="F17">
        <v>14.51</v>
      </c>
      <c r="G17">
        <v>14.19</v>
      </c>
      <c r="H17">
        <v>78.38</v>
      </c>
      <c r="I17">
        <v>71.66</v>
      </c>
      <c r="J17">
        <v>73.87</v>
      </c>
      <c r="K17">
        <v>3.76</v>
      </c>
      <c r="L17">
        <v>7.85</v>
      </c>
      <c r="M17">
        <v>5.0599999999999996</v>
      </c>
      <c r="N17">
        <v>70.97</v>
      </c>
      <c r="O17">
        <v>75.03</v>
      </c>
      <c r="P17">
        <v>72.95</v>
      </c>
      <c r="Q17">
        <v>87.38</v>
      </c>
      <c r="R17">
        <v>40.97</v>
      </c>
      <c r="S17">
        <v>64.180000000000007</v>
      </c>
      <c r="T17">
        <v>178460</v>
      </c>
      <c r="V17" t="str">
        <v>Aceh Jaya</v>
      </c>
      <c r="W17">
        <v>9.6</v>
      </c>
      <c r="X17">
        <v>8.9</v>
      </c>
      <c r="Y17">
        <v>9.34</v>
      </c>
      <c r="Z17">
        <v>14.06</v>
      </c>
      <c r="AA17">
        <v>14.24</v>
      </c>
      <c r="AB17">
        <v>14.07</v>
      </c>
      <c r="AC17">
        <v>78.83</v>
      </c>
      <c r="AD17">
        <v>71.209999999999994</v>
      </c>
      <c r="AE17">
        <v>74.2</v>
      </c>
      <c r="AF17">
        <v>0</v>
      </c>
      <c r="AG17">
        <v>6.57</v>
      </c>
      <c r="AH17">
        <v>2.57</v>
      </c>
      <c r="AI17">
        <v>69.209999999999994</v>
      </c>
      <c r="AJ17">
        <v>73.17</v>
      </c>
      <c r="AK17">
        <v>71.150000000000006</v>
      </c>
      <c r="AL17">
        <v>85.51</v>
      </c>
      <c r="AM17">
        <v>55.84</v>
      </c>
      <c r="AN17">
        <v>70.680000000000007</v>
      </c>
      <c r="AO17">
        <v>100738</v>
      </c>
    </row>
    <row r="18" spans="1:41" x14ac:dyDescent="0.35">
      <c r="A18" t="s">
        <v>17</v>
      </c>
      <c r="B18">
        <v>9.6</v>
      </c>
      <c r="C18">
        <v>8.9</v>
      </c>
      <c r="D18">
        <v>9.34</v>
      </c>
      <c r="E18">
        <v>14.06</v>
      </c>
      <c r="F18">
        <v>14.24</v>
      </c>
      <c r="G18">
        <v>14.07</v>
      </c>
      <c r="H18">
        <v>78.83</v>
      </c>
      <c r="I18">
        <v>71.209999999999994</v>
      </c>
      <c r="J18">
        <v>74.2</v>
      </c>
      <c r="K18">
        <v>0</v>
      </c>
      <c r="L18">
        <v>6.57</v>
      </c>
      <c r="M18">
        <v>2.57</v>
      </c>
      <c r="N18">
        <v>69.209999999999994</v>
      </c>
      <c r="O18">
        <v>73.17</v>
      </c>
      <c r="P18">
        <v>71.150000000000006</v>
      </c>
      <c r="Q18">
        <v>85.51</v>
      </c>
      <c r="R18">
        <v>55.84</v>
      </c>
      <c r="S18">
        <v>70.680000000000007</v>
      </c>
      <c r="T18">
        <v>100738</v>
      </c>
      <c r="V18" t="str">
        <v>Bener Meriah</v>
      </c>
      <c r="W18">
        <v>10.43</v>
      </c>
      <c r="X18">
        <v>10.36</v>
      </c>
      <c r="Y18">
        <v>10.41</v>
      </c>
      <c r="Z18">
        <v>13.73</v>
      </c>
      <c r="AA18">
        <v>14.19</v>
      </c>
      <c r="AB18">
        <v>13.93</v>
      </c>
      <c r="AC18">
        <v>79.42</v>
      </c>
      <c r="AD18">
        <v>77.239999999999995</v>
      </c>
      <c r="AE18">
        <v>77.48</v>
      </c>
      <c r="AF18">
        <v>1.21</v>
      </c>
      <c r="AG18">
        <v>3.14</v>
      </c>
      <c r="AH18">
        <v>2.1</v>
      </c>
      <c r="AI18">
        <v>71.180000000000007</v>
      </c>
      <c r="AJ18">
        <v>75.47</v>
      </c>
      <c r="AK18">
        <v>73.27</v>
      </c>
      <c r="AL18">
        <v>88.73</v>
      </c>
      <c r="AM18">
        <v>77.290000000000006</v>
      </c>
      <c r="AN18">
        <v>83.01</v>
      </c>
      <c r="AO18">
        <v>174824</v>
      </c>
    </row>
    <row r="19" spans="1:41" x14ac:dyDescent="0.35">
      <c r="A19" t="s">
        <v>18</v>
      </c>
      <c r="B19">
        <v>10.43</v>
      </c>
      <c r="C19">
        <v>10.36</v>
      </c>
      <c r="D19">
        <v>10.41</v>
      </c>
      <c r="E19">
        <v>13.73</v>
      </c>
      <c r="F19">
        <v>14.19</v>
      </c>
      <c r="G19">
        <v>13.93</v>
      </c>
      <c r="H19">
        <v>79.42</v>
      </c>
      <c r="I19">
        <v>77.239999999999995</v>
      </c>
      <c r="J19">
        <v>77.48</v>
      </c>
      <c r="K19">
        <v>1.21</v>
      </c>
      <c r="L19">
        <v>3.14</v>
      </c>
      <c r="M19">
        <v>2.1</v>
      </c>
      <c r="N19">
        <v>71.180000000000007</v>
      </c>
      <c r="O19">
        <v>75.47</v>
      </c>
      <c r="P19">
        <v>73.27</v>
      </c>
      <c r="Q19">
        <v>88.73</v>
      </c>
      <c r="R19">
        <v>77.290000000000006</v>
      </c>
      <c r="S19">
        <v>83.01</v>
      </c>
      <c r="T19">
        <v>174824</v>
      </c>
      <c r="V19" t="str">
        <v>Pidie Jaya</v>
      </c>
      <c r="W19">
        <v>10.029999999999999</v>
      </c>
      <c r="X19">
        <v>9.65</v>
      </c>
      <c r="Y19">
        <v>9.8000000000000007</v>
      </c>
      <c r="Z19">
        <v>14.89</v>
      </c>
      <c r="AA19">
        <v>15.3</v>
      </c>
      <c r="AB19">
        <v>15.02</v>
      </c>
      <c r="AC19">
        <v>80.22</v>
      </c>
      <c r="AD19">
        <v>76.709999999999994</v>
      </c>
      <c r="AE19">
        <v>77.040000000000006</v>
      </c>
      <c r="AF19">
        <v>2.44</v>
      </c>
      <c r="AG19">
        <v>5.86</v>
      </c>
      <c r="AH19">
        <v>3.67</v>
      </c>
      <c r="AI19">
        <v>71.41</v>
      </c>
      <c r="AJ19">
        <v>75.94</v>
      </c>
      <c r="AK19">
        <v>73.62</v>
      </c>
      <c r="AL19">
        <v>78.31</v>
      </c>
      <c r="AM19">
        <v>42.72</v>
      </c>
      <c r="AN19">
        <v>60.52</v>
      </c>
      <c r="AO19">
        <v>168546</v>
      </c>
    </row>
    <row r="20" spans="1:41" x14ac:dyDescent="0.35">
      <c r="A20" t="s">
        <v>19</v>
      </c>
      <c r="B20">
        <v>10.029999999999999</v>
      </c>
      <c r="C20">
        <v>9.65</v>
      </c>
      <c r="D20">
        <v>9.8000000000000007</v>
      </c>
      <c r="E20">
        <v>14.89</v>
      </c>
      <c r="F20">
        <v>15.3</v>
      </c>
      <c r="G20">
        <v>15.02</v>
      </c>
      <c r="H20">
        <v>80.22</v>
      </c>
      <c r="I20">
        <v>76.709999999999994</v>
      </c>
      <c r="J20">
        <v>77.040000000000006</v>
      </c>
      <c r="K20">
        <v>2.44</v>
      </c>
      <c r="L20">
        <v>5.86</v>
      </c>
      <c r="M20">
        <v>3.67</v>
      </c>
      <c r="N20">
        <v>71.41</v>
      </c>
      <c r="O20">
        <v>75.94</v>
      </c>
      <c r="P20">
        <v>73.62</v>
      </c>
      <c r="Q20">
        <v>78.31</v>
      </c>
      <c r="R20">
        <v>42.72</v>
      </c>
      <c r="S20">
        <v>60.52</v>
      </c>
      <c r="T20">
        <v>168546</v>
      </c>
      <c r="V20" t="str">
        <v>Kota Banda Aceh</v>
      </c>
      <c r="W20">
        <v>13.47</v>
      </c>
      <c r="X20">
        <v>13.29</v>
      </c>
      <c r="Y20">
        <v>13.37</v>
      </c>
      <c r="Z20">
        <v>17.89</v>
      </c>
      <c r="AA20">
        <v>18.09</v>
      </c>
      <c r="AB20">
        <v>17.95</v>
      </c>
      <c r="AC20">
        <v>91.05</v>
      </c>
      <c r="AD20">
        <v>88.63</v>
      </c>
      <c r="AE20">
        <v>89.55</v>
      </c>
      <c r="AF20">
        <v>5.77</v>
      </c>
      <c r="AG20">
        <v>9.7100000000000009</v>
      </c>
      <c r="AH20">
        <v>7.3</v>
      </c>
      <c r="AI20">
        <v>72.959999999999994</v>
      </c>
      <c r="AJ20">
        <v>78.66</v>
      </c>
      <c r="AK20">
        <v>75.739999999999995</v>
      </c>
      <c r="AL20">
        <v>79.61</v>
      </c>
      <c r="AM20">
        <v>50.48</v>
      </c>
      <c r="AN20">
        <v>65.05</v>
      </c>
      <c r="AO20">
        <v>267962</v>
      </c>
    </row>
    <row r="21" spans="1:41" x14ac:dyDescent="0.35">
      <c r="A21" t="s">
        <v>20</v>
      </c>
      <c r="B21">
        <v>13.47</v>
      </c>
      <c r="C21">
        <v>13.29</v>
      </c>
      <c r="D21">
        <v>13.37</v>
      </c>
      <c r="E21">
        <v>17.89</v>
      </c>
      <c r="F21">
        <v>18.09</v>
      </c>
      <c r="G21">
        <v>17.95</v>
      </c>
      <c r="H21">
        <v>91.05</v>
      </c>
      <c r="I21">
        <v>88.63</v>
      </c>
      <c r="J21">
        <v>89.55</v>
      </c>
      <c r="K21">
        <v>5.77</v>
      </c>
      <c r="L21">
        <v>9.7100000000000009</v>
      </c>
      <c r="M21">
        <v>7.3</v>
      </c>
      <c r="N21">
        <v>72.959999999999994</v>
      </c>
      <c r="O21">
        <v>78.66</v>
      </c>
      <c r="P21">
        <v>75.739999999999995</v>
      </c>
      <c r="Q21">
        <v>79.61</v>
      </c>
      <c r="R21">
        <v>50.48</v>
      </c>
      <c r="S21">
        <v>65.05</v>
      </c>
      <c r="T21">
        <v>267962</v>
      </c>
      <c r="V21" t="str">
        <v>Kota Sabang</v>
      </c>
      <c r="W21">
        <v>11.35</v>
      </c>
      <c r="X21">
        <v>11.22</v>
      </c>
      <c r="Y21">
        <v>11.23</v>
      </c>
      <c r="Z21">
        <v>14.98</v>
      </c>
      <c r="AA21">
        <v>15.2</v>
      </c>
      <c r="AB21">
        <v>14.98</v>
      </c>
      <c r="AC21">
        <v>82.31</v>
      </c>
      <c r="AD21">
        <v>79.33</v>
      </c>
      <c r="AE21">
        <v>80.040000000000006</v>
      </c>
      <c r="AF21">
        <v>1.86</v>
      </c>
      <c r="AG21">
        <v>3.82</v>
      </c>
      <c r="AH21">
        <v>2.67</v>
      </c>
      <c r="AI21">
        <v>71.58</v>
      </c>
      <c r="AJ21">
        <v>76.3</v>
      </c>
      <c r="AK21">
        <v>73.88</v>
      </c>
      <c r="AL21">
        <v>79.87</v>
      </c>
      <c r="AM21">
        <v>56.02</v>
      </c>
      <c r="AN21">
        <v>67.95</v>
      </c>
      <c r="AO21">
        <v>44042</v>
      </c>
    </row>
    <row r="22" spans="1:41" x14ac:dyDescent="0.35">
      <c r="A22" t="s">
        <v>21</v>
      </c>
      <c r="B22">
        <v>11.35</v>
      </c>
      <c r="C22">
        <v>11.22</v>
      </c>
      <c r="D22">
        <v>11.23</v>
      </c>
      <c r="E22">
        <v>14.98</v>
      </c>
      <c r="F22">
        <v>15.2</v>
      </c>
      <c r="G22">
        <v>14.98</v>
      </c>
      <c r="H22">
        <v>82.31</v>
      </c>
      <c r="I22">
        <v>79.33</v>
      </c>
      <c r="J22">
        <v>80.040000000000006</v>
      </c>
      <c r="K22">
        <v>1.86</v>
      </c>
      <c r="L22">
        <v>3.82</v>
      </c>
      <c r="M22">
        <v>2.67</v>
      </c>
      <c r="N22">
        <v>71.58</v>
      </c>
      <c r="O22">
        <v>76.3</v>
      </c>
      <c r="P22">
        <v>73.88</v>
      </c>
      <c r="Q22">
        <v>79.87</v>
      </c>
      <c r="R22">
        <v>56.02</v>
      </c>
      <c r="S22">
        <v>67.95</v>
      </c>
      <c r="T22">
        <v>44042</v>
      </c>
      <c r="V22" t="str">
        <v>Kota Langsa</v>
      </c>
      <c r="W22">
        <v>11.7</v>
      </c>
      <c r="X22">
        <v>11.38</v>
      </c>
      <c r="Y22">
        <v>11.6</v>
      </c>
      <c r="Z22">
        <v>15.24</v>
      </c>
      <c r="AA22">
        <v>16.62</v>
      </c>
      <c r="AB22">
        <v>15.72</v>
      </c>
      <c r="AC22">
        <v>84.06</v>
      </c>
      <c r="AD22">
        <v>81.37</v>
      </c>
      <c r="AE22">
        <v>81.77</v>
      </c>
      <c r="AF22">
        <v>5.35</v>
      </c>
      <c r="AG22">
        <v>11.13</v>
      </c>
      <c r="AH22">
        <v>7.31</v>
      </c>
      <c r="AI22">
        <v>71.92</v>
      </c>
      <c r="AJ22">
        <v>77.02</v>
      </c>
      <c r="AK22">
        <v>74.41</v>
      </c>
      <c r="AL22">
        <v>80.2</v>
      </c>
      <c r="AM22">
        <v>40.659999999999997</v>
      </c>
      <c r="AN22">
        <v>60.43</v>
      </c>
      <c r="AO22">
        <v>201058</v>
      </c>
    </row>
    <row r="23" spans="1:41" x14ac:dyDescent="0.35">
      <c r="A23" t="s">
        <v>22</v>
      </c>
      <c r="B23">
        <v>11.7</v>
      </c>
      <c r="C23">
        <v>11.38</v>
      </c>
      <c r="D23">
        <v>11.6</v>
      </c>
      <c r="E23">
        <v>15.24</v>
      </c>
      <c r="F23">
        <v>16.62</v>
      </c>
      <c r="G23">
        <v>15.72</v>
      </c>
      <c r="H23">
        <v>84.06</v>
      </c>
      <c r="I23">
        <v>81.37</v>
      </c>
      <c r="J23">
        <v>81.77</v>
      </c>
      <c r="K23">
        <v>5.35</v>
      </c>
      <c r="L23">
        <v>11.13</v>
      </c>
      <c r="M23">
        <v>7.31</v>
      </c>
      <c r="N23">
        <v>71.92</v>
      </c>
      <c r="O23">
        <v>77.02</v>
      </c>
      <c r="P23">
        <v>74.41</v>
      </c>
      <c r="Q23">
        <v>80.2</v>
      </c>
      <c r="R23">
        <v>40.659999999999997</v>
      </c>
      <c r="S23">
        <v>60.43</v>
      </c>
      <c r="T23">
        <v>201058</v>
      </c>
      <c r="V23" t="str">
        <v>Kota Lhokseumawe</v>
      </c>
      <c r="W23">
        <v>11.71</v>
      </c>
      <c r="X23">
        <v>11.64</v>
      </c>
      <c r="Y23">
        <v>11.64</v>
      </c>
      <c r="Z23">
        <v>15.3</v>
      </c>
      <c r="AA23">
        <v>15.99</v>
      </c>
      <c r="AB23">
        <v>15.56</v>
      </c>
      <c r="AC23">
        <v>84.38</v>
      </c>
      <c r="AD23">
        <v>81.7</v>
      </c>
      <c r="AE23">
        <v>81.75</v>
      </c>
      <c r="AF23">
        <v>8.2899999999999991</v>
      </c>
      <c r="AG23">
        <v>8.17</v>
      </c>
      <c r="AH23">
        <v>8.24</v>
      </c>
      <c r="AI23">
        <v>72.59</v>
      </c>
      <c r="AJ23">
        <v>78.13</v>
      </c>
      <c r="AK23">
        <v>75.290000000000006</v>
      </c>
      <c r="AL23">
        <v>79.61</v>
      </c>
      <c r="AM23">
        <v>49.98</v>
      </c>
      <c r="AN23">
        <v>64.8</v>
      </c>
      <c r="AO23">
        <v>203410</v>
      </c>
    </row>
    <row r="24" spans="1:41" x14ac:dyDescent="0.35">
      <c r="A24" t="s">
        <v>23</v>
      </c>
      <c r="B24">
        <v>11.71</v>
      </c>
      <c r="C24">
        <v>11.64</v>
      </c>
      <c r="D24">
        <v>11.64</v>
      </c>
      <c r="E24">
        <v>15.3</v>
      </c>
      <c r="F24">
        <v>15.99</v>
      </c>
      <c r="G24">
        <v>15.56</v>
      </c>
      <c r="H24">
        <v>84.38</v>
      </c>
      <c r="I24">
        <v>81.7</v>
      </c>
      <c r="J24">
        <v>81.75</v>
      </c>
      <c r="K24">
        <v>8.2899999999999991</v>
      </c>
      <c r="L24">
        <v>8.17</v>
      </c>
      <c r="M24">
        <v>8.24</v>
      </c>
      <c r="N24">
        <v>72.59</v>
      </c>
      <c r="O24">
        <v>78.13</v>
      </c>
      <c r="P24">
        <v>75.290000000000006</v>
      </c>
      <c r="Q24">
        <v>79.61</v>
      </c>
      <c r="R24">
        <v>49.98</v>
      </c>
      <c r="S24">
        <v>64.8</v>
      </c>
      <c r="T24">
        <v>203410</v>
      </c>
      <c r="V24" t="str">
        <v>Kota Subulussalam</v>
      </c>
      <c r="W24">
        <v>9.31</v>
      </c>
      <c r="X24">
        <v>8.2100000000000009</v>
      </c>
      <c r="Y24">
        <v>8.75</v>
      </c>
      <c r="Z24">
        <v>14.97</v>
      </c>
      <c r="AA24">
        <v>15.35</v>
      </c>
      <c r="AB24">
        <v>15.32</v>
      </c>
      <c r="AC24">
        <v>77.19</v>
      </c>
      <c r="AD24">
        <v>66.5</v>
      </c>
      <c r="AE24">
        <v>71.63</v>
      </c>
      <c r="AF24">
        <v>2.94</v>
      </c>
      <c r="AG24">
        <v>8.2799999999999994</v>
      </c>
      <c r="AH24">
        <v>4.87</v>
      </c>
      <c r="AI24">
        <v>68.08</v>
      </c>
      <c r="AJ24">
        <v>72.02</v>
      </c>
      <c r="AK24">
        <v>70.010000000000005</v>
      </c>
      <c r="AL24">
        <v>85.84</v>
      </c>
      <c r="AM24">
        <v>49.8</v>
      </c>
      <c r="AN24">
        <v>67.819999999999993</v>
      </c>
      <c r="AO24">
        <v>101282</v>
      </c>
    </row>
    <row r="25" spans="1:41" x14ac:dyDescent="0.35">
      <c r="A25" t="s">
        <v>24</v>
      </c>
      <c r="B25">
        <v>9.31</v>
      </c>
      <c r="C25">
        <v>8.2100000000000009</v>
      </c>
      <c r="D25">
        <v>8.75</v>
      </c>
      <c r="E25">
        <v>14.97</v>
      </c>
      <c r="F25">
        <v>15.35</v>
      </c>
      <c r="G25">
        <v>15.32</v>
      </c>
      <c r="H25">
        <v>77.19</v>
      </c>
      <c r="I25">
        <v>66.5</v>
      </c>
      <c r="J25">
        <v>71.63</v>
      </c>
      <c r="K25">
        <v>2.94</v>
      </c>
      <c r="L25">
        <v>8.2799999999999994</v>
      </c>
      <c r="M25">
        <v>4.87</v>
      </c>
      <c r="N25">
        <v>68.08</v>
      </c>
      <c r="O25">
        <v>72.02</v>
      </c>
      <c r="P25">
        <v>70.010000000000005</v>
      </c>
      <c r="Q25">
        <v>85.84</v>
      </c>
      <c r="R25">
        <v>49.8</v>
      </c>
      <c r="S25">
        <v>67.819999999999993</v>
      </c>
      <c r="T25">
        <v>101282</v>
      </c>
      <c r="V25" t="str">
        <v>Nias</v>
      </c>
      <c r="W25">
        <v>7.69</v>
      </c>
      <c r="X25">
        <v>5.47</v>
      </c>
      <c r="Y25">
        <v>6.41</v>
      </c>
      <c r="Z25">
        <v>13.37</v>
      </c>
      <c r="AA25">
        <v>12.91</v>
      </c>
      <c r="AB25">
        <v>13.32</v>
      </c>
      <c r="AC25">
        <v>70.13</v>
      </c>
      <c r="AD25">
        <v>64.17</v>
      </c>
      <c r="AE25">
        <v>66.790000000000006</v>
      </c>
      <c r="AF25">
        <v>1.23</v>
      </c>
      <c r="AG25">
        <v>2.92</v>
      </c>
      <c r="AH25">
        <v>2.08</v>
      </c>
      <c r="AI25">
        <v>70.09</v>
      </c>
      <c r="AJ25">
        <v>74.08</v>
      </c>
      <c r="AK25">
        <v>72.040000000000006</v>
      </c>
      <c r="AL25">
        <v>79.78</v>
      </c>
      <c r="AM25">
        <v>75.150000000000006</v>
      </c>
      <c r="AN25">
        <v>77.47</v>
      </c>
      <c r="AO25">
        <v>157513</v>
      </c>
    </row>
    <row r="26" spans="1:41" x14ac:dyDescent="0.35">
      <c r="A26" t="s">
        <v>59</v>
      </c>
      <c r="B26">
        <v>10.25</v>
      </c>
      <c r="C26">
        <v>9.92</v>
      </c>
      <c r="D26">
        <v>10.08</v>
      </c>
      <c r="E26">
        <v>13.35</v>
      </c>
      <c r="F26">
        <v>13.75</v>
      </c>
      <c r="G26">
        <v>13.5</v>
      </c>
      <c r="H26">
        <v>80.14</v>
      </c>
      <c r="I26">
        <v>73.900000000000006</v>
      </c>
      <c r="J26">
        <v>76.47</v>
      </c>
      <c r="K26">
        <v>5.05</v>
      </c>
      <c r="L26">
        <v>5.7</v>
      </c>
      <c r="M26">
        <v>5.32</v>
      </c>
      <c r="N26">
        <v>71.78</v>
      </c>
      <c r="O26">
        <v>76.72</v>
      </c>
      <c r="P26">
        <v>74.19</v>
      </c>
      <c r="Q26">
        <v>84.85</v>
      </c>
      <c r="R26">
        <v>59.8</v>
      </c>
      <c r="S26">
        <v>72.33</v>
      </c>
      <c r="T26">
        <v>15785839</v>
      </c>
      <c r="V26" t="str">
        <v>Mandailing Natal</v>
      </c>
      <c r="W26">
        <v>9.3699999999999992</v>
      </c>
      <c r="X26">
        <v>9.08</v>
      </c>
      <c r="Y26">
        <v>9.17</v>
      </c>
      <c r="Z26">
        <v>13.75</v>
      </c>
      <c r="AA26">
        <v>14.22</v>
      </c>
      <c r="AB26">
        <v>14.1</v>
      </c>
      <c r="AC26">
        <v>78.42</v>
      </c>
      <c r="AD26">
        <v>73.84</v>
      </c>
      <c r="AE26">
        <v>74.260000000000005</v>
      </c>
      <c r="AF26">
        <v>5.98</v>
      </c>
      <c r="AG26">
        <v>8.7899999999999991</v>
      </c>
      <c r="AH26">
        <v>7.18</v>
      </c>
      <c r="AI26">
        <v>70.11</v>
      </c>
      <c r="AJ26">
        <v>74.11</v>
      </c>
      <c r="AK26">
        <v>72.06</v>
      </c>
      <c r="AL26">
        <v>83.18</v>
      </c>
      <c r="AM26">
        <v>60.08</v>
      </c>
      <c r="AN26">
        <v>71.63</v>
      </c>
      <c r="AO26">
        <v>513536</v>
      </c>
    </row>
    <row r="27" spans="1:41" x14ac:dyDescent="0.35">
      <c r="A27" t="s">
        <v>26</v>
      </c>
      <c r="B27">
        <v>7.69</v>
      </c>
      <c r="C27">
        <v>5.47</v>
      </c>
      <c r="D27">
        <v>6.41</v>
      </c>
      <c r="E27">
        <v>13.37</v>
      </c>
      <c r="F27">
        <v>12.91</v>
      </c>
      <c r="G27">
        <v>13.32</v>
      </c>
      <c r="H27">
        <v>70.13</v>
      </c>
      <c r="I27">
        <v>64.17</v>
      </c>
      <c r="J27">
        <v>66.790000000000006</v>
      </c>
      <c r="K27">
        <v>1.23</v>
      </c>
      <c r="L27">
        <v>2.92</v>
      </c>
      <c r="M27">
        <v>2.08</v>
      </c>
      <c r="N27">
        <v>70.09</v>
      </c>
      <c r="O27">
        <v>74.08</v>
      </c>
      <c r="P27">
        <v>72.040000000000006</v>
      </c>
      <c r="Q27">
        <v>79.78</v>
      </c>
      <c r="R27">
        <v>75.150000000000006</v>
      </c>
      <c r="S27">
        <v>77.47</v>
      </c>
      <c r="T27">
        <v>157513</v>
      </c>
      <c r="V27" t="str">
        <v>Tapanuli Selatan</v>
      </c>
      <c r="W27">
        <v>9.8800000000000008</v>
      </c>
      <c r="X27">
        <v>9.3800000000000008</v>
      </c>
      <c r="Y27">
        <v>9.6</v>
      </c>
      <c r="Z27">
        <v>13.89</v>
      </c>
      <c r="AA27">
        <v>14.32</v>
      </c>
      <c r="AB27">
        <v>13.9</v>
      </c>
      <c r="AC27">
        <v>80.13</v>
      </c>
      <c r="AD27">
        <v>73.23</v>
      </c>
      <c r="AE27">
        <v>75.78</v>
      </c>
      <c r="AF27">
        <v>2.64</v>
      </c>
      <c r="AG27">
        <v>4.26</v>
      </c>
      <c r="AH27">
        <v>3.35</v>
      </c>
      <c r="AI27">
        <v>70.02</v>
      </c>
      <c r="AJ27">
        <v>74.010000000000005</v>
      </c>
      <c r="AK27">
        <v>71.97</v>
      </c>
      <c r="AL27">
        <v>85.04</v>
      </c>
      <c r="AM27">
        <v>65.599999999999994</v>
      </c>
      <c r="AN27">
        <v>75.319999999999993</v>
      </c>
      <c r="AO27">
        <v>320330</v>
      </c>
    </row>
    <row r="28" spans="1:41" x14ac:dyDescent="0.35">
      <c r="A28" t="s">
        <v>27</v>
      </c>
      <c r="B28">
        <v>9.3699999999999992</v>
      </c>
      <c r="C28">
        <v>9.08</v>
      </c>
      <c r="D28">
        <v>9.17</v>
      </c>
      <c r="E28">
        <v>13.75</v>
      </c>
      <c r="F28">
        <v>14.22</v>
      </c>
      <c r="G28">
        <v>14.1</v>
      </c>
      <c r="H28">
        <v>78.42</v>
      </c>
      <c r="I28">
        <v>73.84</v>
      </c>
      <c r="J28">
        <v>74.260000000000005</v>
      </c>
      <c r="K28">
        <v>5.98</v>
      </c>
      <c r="L28">
        <v>8.7899999999999991</v>
      </c>
      <c r="M28">
        <v>7.18</v>
      </c>
      <c r="N28">
        <v>70.11</v>
      </c>
      <c r="O28">
        <v>74.11</v>
      </c>
      <c r="P28">
        <v>72.06</v>
      </c>
      <c r="Q28">
        <v>83.18</v>
      </c>
      <c r="R28">
        <v>60.08</v>
      </c>
      <c r="S28">
        <v>71.63</v>
      </c>
      <c r="T28">
        <v>513536</v>
      </c>
      <c r="V28" t="str">
        <v>Tapanuli Tengah</v>
      </c>
      <c r="W28">
        <v>9.2100000000000009</v>
      </c>
      <c r="X28">
        <v>8.91</v>
      </c>
      <c r="Y28">
        <v>8.93</v>
      </c>
      <c r="Z28">
        <v>13.14</v>
      </c>
      <c r="AA28">
        <v>13.97</v>
      </c>
      <c r="AB28">
        <v>13.51</v>
      </c>
      <c r="AC28">
        <v>76.95</v>
      </c>
      <c r="AD28">
        <v>73.63</v>
      </c>
      <c r="AE28">
        <v>73.97</v>
      </c>
      <c r="AF28">
        <v>6.24</v>
      </c>
      <c r="AG28">
        <v>8.41</v>
      </c>
      <c r="AH28">
        <v>7.21</v>
      </c>
      <c r="AI28">
        <v>70.239999999999995</v>
      </c>
      <c r="AJ28">
        <v>74.25</v>
      </c>
      <c r="AK28">
        <v>72.2</v>
      </c>
      <c r="AL28">
        <v>85.66</v>
      </c>
      <c r="AM28">
        <v>69.27</v>
      </c>
      <c r="AN28">
        <v>77.47</v>
      </c>
      <c r="AO28">
        <v>402904</v>
      </c>
    </row>
    <row r="29" spans="1:41" x14ac:dyDescent="0.35">
      <c r="A29" t="s">
        <v>28</v>
      </c>
      <c r="B29">
        <v>9.8800000000000008</v>
      </c>
      <c r="C29">
        <v>9.3800000000000008</v>
      </c>
      <c r="D29">
        <v>9.6</v>
      </c>
      <c r="E29">
        <v>13.89</v>
      </c>
      <c r="F29">
        <v>14.32</v>
      </c>
      <c r="G29">
        <v>13.9</v>
      </c>
      <c r="H29">
        <v>80.13</v>
      </c>
      <c r="I29">
        <v>73.23</v>
      </c>
      <c r="J29">
        <v>75.78</v>
      </c>
      <c r="K29">
        <v>2.64</v>
      </c>
      <c r="L29">
        <v>4.26</v>
      </c>
      <c r="M29">
        <v>3.35</v>
      </c>
      <c r="N29">
        <v>70.02</v>
      </c>
      <c r="O29">
        <v>74.010000000000005</v>
      </c>
      <c r="P29">
        <v>71.97</v>
      </c>
      <c r="Q29">
        <v>85.04</v>
      </c>
      <c r="R29">
        <v>65.599999999999994</v>
      </c>
      <c r="S29">
        <v>75.319999999999993</v>
      </c>
      <c r="T29">
        <v>320330</v>
      </c>
      <c r="V29" t="str">
        <v>Tapanuli Utara</v>
      </c>
      <c r="W29">
        <v>10.73</v>
      </c>
      <c r="X29">
        <v>10.33</v>
      </c>
      <c r="Y29">
        <v>10.5</v>
      </c>
      <c r="Z29">
        <v>13.69</v>
      </c>
      <c r="AA29">
        <v>14.23</v>
      </c>
      <c r="AB29">
        <v>13.75</v>
      </c>
      <c r="AC29">
        <v>79.22</v>
      </c>
      <c r="AD29">
        <v>78.09</v>
      </c>
      <c r="AE29">
        <v>78.09</v>
      </c>
      <c r="AF29">
        <v>0.39</v>
      </c>
      <c r="AG29">
        <v>1.84</v>
      </c>
      <c r="AH29">
        <v>1.1000000000000001</v>
      </c>
      <c r="AI29">
        <v>72.11</v>
      </c>
      <c r="AJ29">
        <v>77.41</v>
      </c>
      <c r="AK29">
        <v>74.7</v>
      </c>
      <c r="AL29">
        <v>85.1</v>
      </c>
      <c r="AM29">
        <v>80.739999999999995</v>
      </c>
      <c r="AN29">
        <v>82.92</v>
      </c>
      <c r="AO29">
        <v>330856</v>
      </c>
    </row>
    <row r="30" spans="1:41" x14ac:dyDescent="0.35">
      <c r="A30" t="s">
        <v>29</v>
      </c>
      <c r="B30">
        <v>9.2100000000000009</v>
      </c>
      <c r="C30">
        <v>8.91</v>
      </c>
      <c r="D30">
        <v>8.93</v>
      </c>
      <c r="E30">
        <v>13.14</v>
      </c>
      <c r="F30">
        <v>13.97</v>
      </c>
      <c r="G30">
        <v>13.51</v>
      </c>
      <c r="H30">
        <v>76.95</v>
      </c>
      <c r="I30">
        <v>73.63</v>
      </c>
      <c r="J30">
        <v>73.97</v>
      </c>
      <c r="K30">
        <v>6.24</v>
      </c>
      <c r="L30">
        <v>8.41</v>
      </c>
      <c r="M30">
        <v>7.21</v>
      </c>
      <c r="N30">
        <v>70.239999999999995</v>
      </c>
      <c r="O30">
        <v>74.25</v>
      </c>
      <c r="P30">
        <v>72.2</v>
      </c>
      <c r="Q30">
        <v>85.66</v>
      </c>
      <c r="R30">
        <v>69.27</v>
      </c>
      <c r="S30">
        <v>77.47</v>
      </c>
      <c r="T30">
        <v>402904</v>
      </c>
      <c r="V30" t="str">
        <v>Toba Samosir / Toba</v>
      </c>
      <c r="W30">
        <v>10.94</v>
      </c>
      <c r="X30">
        <v>10.66</v>
      </c>
      <c r="Y30">
        <v>10.78</v>
      </c>
      <c r="Z30">
        <v>13.69</v>
      </c>
      <c r="AA30">
        <v>14.16</v>
      </c>
      <c r="AB30">
        <v>13.82</v>
      </c>
      <c r="AC30">
        <v>79.75</v>
      </c>
      <c r="AD30">
        <v>79.14</v>
      </c>
      <c r="AE30">
        <v>79.17</v>
      </c>
      <c r="AF30">
        <v>0.88</v>
      </c>
      <c r="AG30">
        <v>1.1499999999999999</v>
      </c>
      <c r="AH30">
        <v>1</v>
      </c>
      <c r="AI30">
        <v>72.33</v>
      </c>
      <c r="AJ30">
        <v>77.760000000000005</v>
      </c>
      <c r="AK30">
        <v>74.98</v>
      </c>
      <c r="AL30">
        <v>84.2</v>
      </c>
      <c r="AM30">
        <v>72.5</v>
      </c>
      <c r="AN30">
        <v>78.349999999999994</v>
      </c>
      <c r="AO30">
        <v>219580</v>
      </c>
    </row>
    <row r="31" spans="1:41" x14ac:dyDescent="0.35">
      <c r="A31" t="s">
        <v>30</v>
      </c>
      <c r="B31">
        <v>10.73</v>
      </c>
      <c r="C31">
        <v>10.33</v>
      </c>
      <c r="D31">
        <v>10.5</v>
      </c>
      <c r="E31">
        <v>13.69</v>
      </c>
      <c r="F31">
        <v>14.23</v>
      </c>
      <c r="G31">
        <v>13.75</v>
      </c>
      <c r="H31">
        <v>79.22</v>
      </c>
      <c r="I31">
        <v>78.09</v>
      </c>
      <c r="J31">
        <v>78.09</v>
      </c>
      <c r="K31">
        <v>0.39</v>
      </c>
      <c r="L31">
        <v>1.84</v>
      </c>
      <c r="M31">
        <v>1.1000000000000001</v>
      </c>
      <c r="N31">
        <v>72.11</v>
      </c>
      <c r="O31">
        <v>77.41</v>
      </c>
      <c r="P31">
        <v>74.7</v>
      </c>
      <c r="Q31">
        <v>85.1</v>
      </c>
      <c r="R31">
        <v>80.739999999999995</v>
      </c>
      <c r="S31">
        <v>82.92</v>
      </c>
      <c r="T31">
        <v>330856</v>
      </c>
      <c r="V31" t="str">
        <v>Labuhan Batu</v>
      </c>
      <c r="W31">
        <v>9.74</v>
      </c>
      <c r="X31">
        <v>9.31</v>
      </c>
      <c r="Y31">
        <v>9.5299999999999994</v>
      </c>
      <c r="Z31">
        <v>13.29</v>
      </c>
      <c r="AA31">
        <v>13.65</v>
      </c>
      <c r="AB31">
        <v>13.3</v>
      </c>
      <c r="AC31">
        <v>80.2</v>
      </c>
      <c r="AD31">
        <v>73.319999999999993</v>
      </c>
      <c r="AE31">
        <v>75.790000000000006</v>
      </c>
      <c r="AF31">
        <v>5.24</v>
      </c>
      <c r="AG31">
        <v>6.08</v>
      </c>
      <c r="AH31">
        <v>5.53</v>
      </c>
      <c r="AI31">
        <v>71.3</v>
      </c>
      <c r="AJ31">
        <v>75.709999999999994</v>
      </c>
      <c r="AK31">
        <v>73.45</v>
      </c>
      <c r="AL31">
        <v>85.06</v>
      </c>
      <c r="AM31">
        <v>46.87</v>
      </c>
      <c r="AN31">
        <v>65.97</v>
      </c>
      <c r="AO31">
        <v>527043</v>
      </c>
    </row>
    <row r="32" spans="1:41" x14ac:dyDescent="0.35">
      <c r="A32" t="s">
        <v>31</v>
      </c>
      <c r="B32">
        <v>10.94</v>
      </c>
      <c r="C32">
        <v>10.66</v>
      </c>
      <c r="D32">
        <v>10.78</v>
      </c>
      <c r="E32">
        <v>13.69</v>
      </c>
      <c r="F32">
        <v>14.16</v>
      </c>
      <c r="G32">
        <v>13.82</v>
      </c>
      <c r="H32">
        <v>79.75</v>
      </c>
      <c r="I32">
        <v>79.14</v>
      </c>
      <c r="J32">
        <v>79.17</v>
      </c>
      <c r="K32">
        <v>0.88</v>
      </c>
      <c r="L32">
        <v>1.1499999999999999</v>
      </c>
      <c r="M32">
        <v>1</v>
      </c>
      <c r="N32">
        <v>72.33</v>
      </c>
      <c r="O32">
        <v>77.760000000000005</v>
      </c>
      <c r="P32">
        <v>74.98</v>
      </c>
      <c r="Q32">
        <v>84.2</v>
      </c>
      <c r="R32">
        <v>72.5</v>
      </c>
      <c r="S32">
        <v>78.349999999999994</v>
      </c>
      <c r="T32">
        <v>219580</v>
      </c>
      <c r="V32" t="str">
        <v>Asahan</v>
      </c>
      <c r="W32">
        <v>9.31</v>
      </c>
      <c r="X32">
        <v>8.86</v>
      </c>
      <c r="Y32">
        <v>9.06</v>
      </c>
      <c r="Z32">
        <v>12.84</v>
      </c>
      <c r="AA32">
        <v>13.35</v>
      </c>
      <c r="AB32">
        <v>12.84</v>
      </c>
      <c r="AC32">
        <v>79.12</v>
      </c>
      <c r="AD32">
        <v>73.3</v>
      </c>
      <c r="AE32">
        <v>75.13</v>
      </c>
      <c r="AF32">
        <v>4.71</v>
      </c>
      <c r="AG32">
        <v>6.68</v>
      </c>
      <c r="AH32">
        <v>5.46</v>
      </c>
      <c r="AI32">
        <v>71.61</v>
      </c>
      <c r="AJ32">
        <v>76.36</v>
      </c>
      <c r="AK32">
        <v>73.930000000000007</v>
      </c>
      <c r="AL32">
        <v>85.05</v>
      </c>
      <c r="AM32">
        <v>52.98</v>
      </c>
      <c r="AN32">
        <v>69.02</v>
      </c>
      <c r="AO32">
        <v>824597</v>
      </c>
    </row>
    <row r="33" spans="1:41" x14ac:dyDescent="0.35">
      <c r="A33" t="s">
        <v>32</v>
      </c>
      <c r="B33">
        <v>9.74</v>
      </c>
      <c r="C33">
        <v>9.31</v>
      </c>
      <c r="D33">
        <v>9.5299999999999994</v>
      </c>
      <c r="E33">
        <v>13.29</v>
      </c>
      <c r="F33">
        <v>13.65</v>
      </c>
      <c r="G33">
        <v>13.3</v>
      </c>
      <c r="H33">
        <v>80.2</v>
      </c>
      <c r="I33">
        <v>73.319999999999993</v>
      </c>
      <c r="J33">
        <v>75.790000000000006</v>
      </c>
      <c r="K33">
        <v>5.24</v>
      </c>
      <c r="L33">
        <v>6.08</v>
      </c>
      <c r="M33">
        <v>5.53</v>
      </c>
      <c r="N33">
        <v>71.3</v>
      </c>
      <c r="O33">
        <v>75.709999999999994</v>
      </c>
      <c r="P33">
        <v>73.45</v>
      </c>
      <c r="Q33">
        <v>85.06</v>
      </c>
      <c r="R33">
        <v>46.87</v>
      </c>
      <c r="S33">
        <v>65.97</v>
      </c>
      <c r="T33">
        <v>527043</v>
      </c>
      <c r="V33" t="str">
        <v>Simalungun</v>
      </c>
      <c r="W33">
        <v>9.94</v>
      </c>
      <c r="X33">
        <v>9.5500000000000007</v>
      </c>
      <c r="Y33">
        <v>9.74</v>
      </c>
      <c r="Z33">
        <v>13.08</v>
      </c>
      <c r="AA33">
        <v>13.67</v>
      </c>
      <c r="AB33">
        <v>13.16</v>
      </c>
      <c r="AC33">
        <v>80.03</v>
      </c>
      <c r="AD33">
        <v>75.349999999999994</v>
      </c>
      <c r="AE33">
        <v>76.48</v>
      </c>
      <c r="AF33">
        <v>4.3099999999999996</v>
      </c>
      <c r="AG33">
        <v>4.72</v>
      </c>
      <c r="AH33">
        <v>4.4800000000000004</v>
      </c>
      <c r="AI33">
        <v>72.040000000000006</v>
      </c>
      <c r="AJ33">
        <v>77.27</v>
      </c>
      <c r="AK33">
        <v>74.59</v>
      </c>
      <c r="AL33">
        <v>88.81</v>
      </c>
      <c r="AM33">
        <v>60.16</v>
      </c>
      <c r="AN33">
        <v>74.489999999999995</v>
      </c>
      <c r="AO33">
        <v>1067499</v>
      </c>
    </row>
    <row r="34" spans="1:41" x14ac:dyDescent="0.35">
      <c r="A34" t="s">
        <v>33</v>
      </c>
      <c r="B34">
        <v>9.31</v>
      </c>
      <c r="C34">
        <v>8.86</v>
      </c>
      <c r="D34">
        <v>9.06</v>
      </c>
      <c r="E34">
        <v>12.84</v>
      </c>
      <c r="F34">
        <v>13.35</v>
      </c>
      <c r="G34">
        <v>12.84</v>
      </c>
      <c r="H34">
        <v>79.12</v>
      </c>
      <c r="I34">
        <v>73.3</v>
      </c>
      <c r="J34">
        <v>75.13</v>
      </c>
      <c r="K34">
        <v>4.71</v>
      </c>
      <c r="L34">
        <v>6.68</v>
      </c>
      <c r="M34">
        <v>5.46</v>
      </c>
      <c r="N34">
        <v>71.61</v>
      </c>
      <c r="O34">
        <v>76.36</v>
      </c>
      <c r="P34">
        <v>73.930000000000007</v>
      </c>
      <c r="Q34">
        <v>85.05</v>
      </c>
      <c r="R34">
        <v>52.98</v>
      </c>
      <c r="S34">
        <v>69.02</v>
      </c>
      <c r="T34">
        <v>824597</v>
      </c>
      <c r="V34" t="str">
        <v>Dairi</v>
      </c>
      <c r="W34">
        <v>10.15</v>
      </c>
      <c r="X34">
        <v>10.06</v>
      </c>
      <c r="Y34">
        <v>10.09</v>
      </c>
      <c r="Z34">
        <v>13.33</v>
      </c>
      <c r="AA34">
        <v>13.63</v>
      </c>
      <c r="AB34">
        <v>13.54</v>
      </c>
      <c r="AC34">
        <v>76.89</v>
      </c>
      <c r="AD34">
        <v>76.319999999999993</v>
      </c>
      <c r="AE34">
        <v>76.680000000000007</v>
      </c>
      <c r="AF34">
        <v>1.1299999999999999</v>
      </c>
      <c r="AG34">
        <v>1.3</v>
      </c>
      <c r="AH34">
        <v>1.21</v>
      </c>
      <c r="AI34">
        <v>72.12</v>
      </c>
      <c r="AJ34">
        <v>77.430000000000007</v>
      </c>
      <c r="AK34">
        <v>74.709999999999994</v>
      </c>
      <c r="AL34">
        <v>87.85</v>
      </c>
      <c r="AM34">
        <v>78.66</v>
      </c>
      <c r="AN34">
        <v>83.26</v>
      </c>
      <c r="AO34">
        <v>336403</v>
      </c>
    </row>
    <row r="35" spans="1:41" x14ac:dyDescent="0.35">
      <c r="A35" t="s">
        <v>34</v>
      </c>
      <c r="B35">
        <v>9.94</v>
      </c>
      <c r="C35">
        <v>9.5500000000000007</v>
      </c>
      <c r="D35">
        <v>9.74</v>
      </c>
      <c r="E35">
        <v>13.08</v>
      </c>
      <c r="F35">
        <v>13.67</v>
      </c>
      <c r="G35">
        <v>13.16</v>
      </c>
      <c r="H35">
        <v>80.03</v>
      </c>
      <c r="I35">
        <v>75.349999999999994</v>
      </c>
      <c r="J35">
        <v>76.48</v>
      </c>
      <c r="K35">
        <v>4.3099999999999996</v>
      </c>
      <c r="L35">
        <v>4.72</v>
      </c>
      <c r="M35">
        <v>4.4800000000000004</v>
      </c>
      <c r="N35">
        <v>72.040000000000006</v>
      </c>
      <c r="O35">
        <v>77.27</v>
      </c>
      <c r="P35">
        <v>74.59</v>
      </c>
      <c r="Q35">
        <v>88.81</v>
      </c>
      <c r="R35">
        <v>60.16</v>
      </c>
      <c r="S35">
        <v>74.489999999999995</v>
      </c>
      <c r="T35">
        <v>1067499</v>
      </c>
      <c r="V35" t="str">
        <v>Karo</v>
      </c>
      <c r="W35">
        <v>10.28</v>
      </c>
      <c r="X35">
        <v>10.3</v>
      </c>
      <c r="Y35">
        <v>10.3</v>
      </c>
      <c r="Z35">
        <v>12.94</v>
      </c>
      <c r="AA35">
        <v>13.78</v>
      </c>
      <c r="AB35">
        <v>13.27</v>
      </c>
      <c r="AC35">
        <v>78.94</v>
      </c>
      <c r="AD35">
        <v>76.83</v>
      </c>
      <c r="AE35">
        <v>78.099999999999994</v>
      </c>
      <c r="AF35">
        <v>1.76</v>
      </c>
      <c r="AG35">
        <v>2.1</v>
      </c>
      <c r="AH35">
        <v>1.93</v>
      </c>
      <c r="AI35">
        <v>72.12</v>
      </c>
      <c r="AJ35">
        <v>77.430000000000007</v>
      </c>
      <c r="AK35">
        <v>74.709999999999994</v>
      </c>
      <c r="AL35">
        <v>88.73</v>
      </c>
      <c r="AM35">
        <v>83.42</v>
      </c>
      <c r="AN35">
        <v>86.08</v>
      </c>
      <c r="AO35">
        <v>432049</v>
      </c>
    </row>
    <row r="36" spans="1:41" x14ac:dyDescent="0.35">
      <c r="A36" t="s">
        <v>35</v>
      </c>
      <c r="B36">
        <v>10.15</v>
      </c>
      <c r="C36">
        <v>10.06</v>
      </c>
      <c r="D36">
        <v>10.09</v>
      </c>
      <c r="E36">
        <v>13.33</v>
      </c>
      <c r="F36">
        <v>13.63</v>
      </c>
      <c r="G36">
        <v>13.54</v>
      </c>
      <c r="H36">
        <v>76.89</v>
      </c>
      <c r="I36">
        <v>76.319999999999993</v>
      </c>
      <c r="J36">
        <v>76.680000000000007</v>
      </c>
      <c r="K36">
        <v>1.1299999999999999</v>
      </c>
      <c r="L36">
        <v>1.3</v>
      </c>
      <c r="M36">
        <v>1.21</v>
      </c>
      <c r="N36">
        <v>72.12</v>
      </c>
      <c r="O36">
        <v>77.430000000000007</v>
      </c>
      <c r="P36">
        <v>74.709999999999994</v>
      </c>
      <c r="Q36">
        <v>87.85</v>
      </c>
      <c r="R36">
        <v>78.66</v>
      </c>
      <c r="S36">
        <v>83.26</v>
      </c>
      <c r="T36">
        <v>336403</v>
      </c>
      <c r="V36" t="str">
        <v>Deli Serdang</v>
      </c>
      <c r="W36">
        <v>10.88</v>
      </c>
      <c r="X36">
        <v>10.46</v>
      </c>
      <c r="Y36">
        <v>10.5</v>
      </c>
      <c r="Z36">
        <v>13.39</v>
      </c>
      <c r="AA36">
        <v>14</v>
      </c>
      <c r="AB36">
        <v>13.46</v>
      </c>
      <c r="AC36">
        <v>82.51</v>
      </c>
      <c r="AD36">
        <v>76.45</v>
      </c>
      <c r="AE36">
        <v>78.290000000000006</v>
      </c>
      <c r="AF36">
        <v>7.1</v>
      </c>
      <c r="AG36">
        <v>8.6</v>
      </c>
      <c r="AH36">
        <v>7.69</v>
      </c>
      <c r="AI36">
        <v>71.67</v>
      </c>
      <c r="AJ36">
        <v>76.489999999999995</v>
      </c>
      <c r="AK36">
        <v>74.02</v>
      </c>
      <c r="AL36">
        <v>84.86</v>
      </c>
      <c r="AM36">
        <v>55.45</v>
      </c>
      <c r="AN36">
        <v>70.16</v>
      </c>
      <c r="AO36">
        <v>2078046</v>
      </c>
    </row>
    <row r="37" spans="1:41" x14ac:dyDescent="0.35">
      <c r="A37" t="s">
        <v>36</v>
      </c>
      <c r="B37">
        <v>10.28</v>
      </c>
      <c r="C37">
        <v>10.3</v>
      </c>
      <c r="D37">
        <v>10.3</v>
      </c>
      <c r="E37">
        <v>12.94</v>
      </c>
      <c r="F37">
        <v>13.78</v>
      </c>
      <c r="G37">
        <v>13.27</v>
      </c>
      <c r="H37">
        <v>78.94</v>
      </c>
      <c r="I37">
        <v>76.83</v>
      </c>
      <c r="J37">
        <v>78.099999999999994</v>
      </c>
      <c r="K37">
        <v>1.76</v>
      </c>
      <c r="L37">
        <v>2.1</v>
      </c>
      <c r="M37">
        <v>1.93</v>
      </c>
      <c r="N37">
        <v>72.12</v>
      </c>
      <c r="O37">
        <v>77.430000000000007</v>
      </c>
      <c r="P37">
        <v>74.709999999999994</v>
      </c>
      <c r="Q37">
        <v>88.73</v>
      </c>
      <c r="R37">
        <v>83.42</v>
      </c>
      <c r="S37">
        <v>86.08</v>
      </c>
      <c r="T37">
        <v>432049</v>
      </c>
      <c r="V37" t="str">
        <v>Langkat</v>
      </c>
      <c r="W37">
        <v>9.06</v>
      </c>
      <c r="X37">
        <v>8.5500000000000007</v>
      </c>
      <c r="Y37">
        <v>8.9499999999999993</v>
      </c>
      <c r="Z37">
        <v>13.29</v>
      </c>
      <c r="AA37">
        <v>13.55</v>
      </c>
      <c r="AB37">
        <v>13.29</v>
      </c>
      <c r="AC37">
        <v>79.27</v>
      </c>
      <c r="AD37">
        <v>71.72</v>
      </c>
      <c r="AE37">
        <v>75.58</v>
      </c>
      <c r="AF37">
        <v>4.57</v>
      </c>
      <c r="AG37">
        <v>7.98</v>
      </c>
      <c r="AH37">
        <v>5.85</v>
      </c>
      <c r="AI37">
        <v>72.12</v>
      </c>
      <c r="AJ37">
        <v>77.44</v>
      </c>
      <c r="AK37">
        <v>74.72</v>
      </c>
      <c r="AL37">
        <v>88.04</v>
      </c>
      <c r="AM37">
        <v>53.45</v>
      </c>
      <c r="AN37">
        <v>70.75</v>
      </c>
      <c r="AO37">
        <v>1089969</v>
      </c>
    </row>
    <row r="38" spans="1:41" x14ac:dyDescent="0.35">
      <c r="A38" t="s">
        <v>37</v>
      </c>
      <c r="B38">
        <v>10.88</v>
      </c>
      <c r="C38">
        <v>10.46</v>
      </c>
      <c r="D38">
        <v>10.5</v>
      </c>
      <c r="E38">
        <v>13.39</v>
      </c>
      <c r="F38">
        <v>14</v>
      </c>
      <c r="G38">
        <v>13.46</v>
      </c>
      <c r="H38">
        <v>82.51</v>
      </c>
      <c r="I38">
        <v>76.45</v>
      </c>
      <c r="J38">
        <v>78.290000000000006</v>
      </c>
      <c r="K38">
        <v>7.1</v>
      </c>
      <c r="L38">
        <v>8.6</v>
      </c>
      <c r="M38">
        <v>7.69</v>
      </c>
      <c r="N38">
        <v>71.67</v>
      </c>
      <c r="O38">
        <v>76.489999999999995</v>
      </c>
      <c r="P38">
        <v>74.02</v>
      </c>
      <c r="Q38">
        <v>84.86</v>
      </c>
      <c r="R38">
        <v>55.45</v>
      </c>
      <c r="S38">
        <v>70.16</v>
      </c>
      <c r="T38">
        <v>2078046</v>
      </c>
      <c r="V38" t="str">
        <v>Nias Selatan</v>
      </c>
      <c r="W38">
        <v>7.51</v>
      </c>
      <c r="X38">
        <v>5.81</v>
      </c>
      <c r="Y38">
        <v>6.61</v>
      </c>
      <c r="Z38">
        <v>13</v>
      </c>
      <c r="AA38">
        <v>13.12</v>
      </c>
      <c r="AB38">
        <v>13.12</v>
      </c>
      <c r="AC38">
        <v>71.790000000000006</v>
      </c>
      <c r="AD38">
        <v>64.650000000000006</v>
      </c>
      <c r="AE38">
        <v>66.739999999999995</v>
      </c>
      <c r="AF38">
        <v>4.3499999999999996</v>
      </c>
      <c r="AG38">
        <v>1.37</v>
      </c>
      <c r="AH38">
        <v>2.98</v>
      </c>
      <c r="AI38">
        <v>69.97</v>
      </c>
      <c r="AJ38">
        <v>73.97</v>
      </c>
      <c r="AK38">
        <v>71.92</v>
      </c>
      <c r="AL38">
        <v>85.04</v>
      </c>
      <c r="AM38">
        <v>72.48</v>
      </c>
      <c r="AN38">
        <v>78.760000000000005</v>
      </c>
      <c r="AO38">
        <v>397224</v>
      </c>
    </row>
    <row r="39" spans="1:41" x14ac:dyDescent="0.35">
      <c r="A39" t="s">
        <v>38</v>
      </c>
      <c r="B39">
        <v>9.06</v>
      </c>
      <c r="C39">
        <v>8.5500000000000007</v>
      </c>
      <c r="D39">
        <v>8.9499999999999993</v>
      </c>
      <c r="E39">
        <v>13.29</v>
      </c>
      <c r="F39">
        <v>13.55</v>
      </c>
      <c r="G39">
        <v>13.29</v>
      </c>
      <c r="H39">
        <v>79.27</v>
      </c>
      <c r="I39">
        <v>71.72</v>
      </c>
      <c r="J39">
        <v>75.58</v>
      </c>
      <c r="K39">
        <v>4.57</v>
      </c>
      <c r="L39">
        <v>7.98</v>
      </c>
      <c r="M39">
        <v>5.85</v>
      </c>
      <c r="N39">
        <v>72.12</v>
      </c>
      <c r="O39">
        <v>77.44</v>
      </c>
      <c r="P39">
        <v>74.72</v>
      </c>
      <c r="Q39">
        <v>88.04</v>
      </c>
      <c r="R39">
        <v>53.45</v>
      </c>
      <c r="S39">
        <v>70.75</v>
      </c>
      <c r="T39">
        <v>1089969</v>
      </c>
      <c r="V39" t="str">
        <v>Humbang Hasundutan</v>
      </c>
      <c r="W39">
        <v>10.58</v>
      </c>
      <c r="X39">
        <v>10.11</v>
      </c>
      <c r="Y39">
        <v>10.26</v>
      </c>
      <c r="Z39">
        <v>13.47</v>
      </c>
      <c r="AA39">
        <v>14.47</v>
      </c>
      <c r="AB39">
        <v>13.47</v>
      </c>
      <c r="AC39">
        <v>74.94</v>
      </c>
      <c r="AD39">
        <v>73.78</v>
      </c>
      <c r="AE39">
        <v>73.930000000000007</v>
      </c>
      <c r="AF39">
        <v>1.18</v>
      </c>
      <c r="AG39">
        <v>0.22</v>
      </c>
      <c r="AH39">
        <v>0.72</v>
      </c>
      <c r="AI39">
        <v>72.010000000000005</v>
      </c>
      <c r="AJ39">
        <v>77.209999999999994</v>
      </c>
      <c r="AK39">
        <v>74.55</v>
      </c>
      <c r="AL39">
        <v>91.56</v>
      </c>
      <c r="AM39">
        <v>82.48</v>
      </c>
      <c r="AN39">
        <v>87.02</v>
      </c>
      <c r="AO39">
        <v>209460</v>
      </c>
    </row>
    <row r="40" spans="1:41" x14ac:dyDescent="0.35">
      <c r="A40" t="s">
        <v>39</v>
      </c>
      <c r="B40">
        <v>7.51</v>
      </c>
      <c r="C40">
        <v>5.81</v>
      </c>
      <c r="D40">
        <v>6.61</v>
      </c>
      <c r="E40">
        <v>13</v>
      </c>
      <c r="F40">
        <v>13.12</v>
      </c>
      <c r="G40">
        <v>13.12</v>
      </c>
      <c r="H40">
        <v>71.790000000000006</v>
      </c>
      <c r="I40">
        <v>64.650000000000006</v>
      </c>
      <c r="J40">
        <v>66.739999999999995</v>
      </c>
      <c r="K40">
        <v>4.3499999999999996</v>
      </c>
      <c r="L40">
        <v>1.37</v>
      </c>
      <c r="M40">
        <v>2.98</v>
      </c>
      <c r="N40">
        <v>69.97</v>
      </c>
      <c r="O40">
        <v>73.97</v>
      </c>
      <c r="P40">
        <v>71.92</v>
      </c>
      <c r="Q40">
        <v>85.04</v>
      </c>
      <c r="R40">
        <v>72.48</v>
      </c>
      <c r="S40">
        <v>78.760000000000005</v>
      </c>
      <c r="T40">
        <v>397224</v>
      </c>
      <c r="V40" t="str">
        <v>Pakpak Bharat</v>
      </c>
      <c r="W40">
        <v>10.119999999999999</v>
      </c>
      <c r="X40">
        <v>9.58</v>
      </c>
      <c r="Y40">
        <v>9.94</v>
      </c>
      <c r="Z40">
        <v>12.9</v>
      </c>
      <c r="AA40">
        <v>15.08</v>
      </c>
      <c r="AB40">
        <v>13.92</v>
      </c>
      <c r="AC40">
        <v>74.34</v>
      </c>
      <c r="AD40">
        <v>73.87</v>
      </c>
      <c r="AE40">
        <v>73.89</v>
      </c>
      <c r="AF40">
        <v>1.1599999999999999</v>
      </c>
      <c r="AG40">
        <v>0.63</v>
      </c>
      <c r="AH40">
        <v>0.91</v>
      </c>
      <c r="AI40">
        <v>71.23</v>
      </c>
      <c r="AJ40">
        <v>75.569999999999993</v>
      </c>
      <c r="AK40">
        <v>73.349999999999994</v>
      </c>
      <c r="AL40">
        <v>90.62</v>
      </c>
      <c r="AM40">
        <v>83.89</v>
      </c>
      <c r="AN40">
        <v>87.26</v>
      </c>
      <c r="AO40">
        <v>57246</v>
      </c>
    </row>
    <row r="41" spans="1:41" x14ac:dyDescent="0.35">
      <c r="A41" t="s">
        <v>40</v>
      </c>
      <c r="B41">
        <v>10.58</v>
      </c>
      <c r="C41">
        <v>10.11</v>
      </c>
      <c r="D41">
        <v>10.26</v>
      </c>
      <c r="E41">
        <v>13.47</v>
      </c>
      <c r="F41">
        <v>14.47</v>
      </c>
      <c r="G41">
        <v>13.47</v>
      </c>
      <c r="H41">
        <v>74.94</v>
      </c>
      <c r="I41">
        <v>73.78</v>
      </c>
      <c r="J41">
        <v>73.930000000000007</v>
      </c>
      <c r="K41">
        <v>1.18</v>
      </c>
      <c r="L41">
        <v>0.22</v>
      </c>
      <c r="M41">
        <v>0.72</v>
      </c>
      <c r="N41">
        <v>72.010000000000005</v>
      </c>
      <c r="O41">
        <v>77.209999999999994</v>
      </c>
      <c r="P41">
        <v>74.55</v>
      </c>
      <c r="Q41">
        <v>91.56</v>
      </c>
      <c r="R41">
        <v>82.48</v>
      </c>
      <c r="S41">
        <v>87.02</v>
      </c>
      <c r="T41">
        <v>209460</v>
      </c>
      <c r="V41" t="str">
        <v>Samosir</v>
      </c>
      <c r="W41">
        <v>10.26</v>
      </c>
      <c r="X41">
        <v>9.35</v>
      </c>
      <c r="Y41">
        <v>9.81</v>
      </c>
      <c r="Z41">
        <v>13.4</v>
      </c>
      <c r="AA41">
        <v>14.52</v>
      </c>
      <c r="AB41">
        <v>13.53</v>
      </c>
      <c r="AC41">
        <v>76.319999999999993</v>
      </c>
      <c r="AD41">
        <v>74.62</v>
      </c>
      <c r="AE41">
        <v>74.63</v>
      </c>
      <c r="AF41">
        <v>1.28</v>
      </c>
      <c r="AG41">
        <v>0.45</v>
      </c>
      <c r="AH41">
        <v>0.87</v>
      </c>
      <c r="AI41">
        <v>72.099999999999994</v>
      </c>
      <c r="AJ41">
        <v>77.39</v>
      </c>
      <c r="AK41">
        <v>74.680000000000007</v>
      </c>
      <c r="AL41">
        <v>86.67</v>
      </c>
      <c r="AM41">
        <v>82.94</v>
      </c>
      <c r="AN41">
        <v>84.81</v>
      </c>
      <c r="AO41">
        <v>144813</v>
      </c>
    </row>
    <row r="42" spans="1:41" x14ac:dyDescent="0.35">
      <c r="A42" t="s">
        <v>41</v>
      </c>
      <c r="B42">
        <v>10.119999999999999</v>
      </c>
      <c r="C42">
        <v>9.58</v>
      </c>
      <c r="D42">
        <v>9.94</v>
      </c>
      <c r="E42">
        <v>12.9</v>
      </c>
      <c r="F42">
        <v>15.08</v>
      </c>
      <c r="G42">
        <v>13.92</v>
      </c>
      <c r="H42">
        <v>74.34</v>
      </c>
      <c r="I42">
        <v>73.87</v>
      </c>
      <c r="J42">
        <v>73.89</v>
      </c>
      <c r="K42">
        <v>1.1599999999999999</v>
      </c>
      <c r="L42">
        <v>0.63</v>
      </c>
      <c r="M42">
        <v>0.91</v>
      </c>
      <c r="N42">
        <v>71.23</v>
      </c>
      <c r="O42">
        <v>75.569999999999993</v>
      </c>
      <c r="P42">
        <v>73.349999999999994</v>
      </c>
      <c r="Q42">
        <v>90.62</v>
      </c>
      <c r="R42">
        <v>83.89</v>
      </c>
      <c r="S42">
        <v>87.26</v>
      </c>
      <c r="T42">
        <v>57246</v>
      </c>
      <c r="V42" t="str">
        <v>Serdang Bedagai</v>
      </c>
      <c r="W42">
        <v>9.34</v>
      </c>
      <c r="X42">
        <v>8.92</v>
      </c>
      <c r="Y42">
        <v>9.1300000000000008</v>
      </c>
      <c r="Z42">
        <v>12.61</v>
      </c>
      <c r="AA42">
        <v>12.87</v>
      </c>
      <c r="AB42">
        <v>12.66</v>
      </c>
      <c r="AC42">
        <v>78.92</v>
      </c>
      <c r="AD42">
        <v>71.010000000000005</v>
      </c>
      <c r="AE42">
        <v>74.69</v>
      </c>
      <c r="AF42">
        <v>2.76</v>
      </c>
      <c r="AG42">
        <v>6.8</v>
      </c>
      <c r="AH42">
        <v>4.3099999999999996</v>
      </c>
      <c r="AI42">
        <v>71.5</v>
      </c>
      <c r="AJ42">
        <v>76.13</v>
      </c>
      <c r="AK42">
        <v>73.760000000000005</v>
      </c>
      <c r="AL42">
        <v>89.69</v>
      </c>
      <c r="AM42">
        <v>56.01</v>
      </c>
      <c r="AN42">
        <v>72.849999999999994</v>
      </c>
      <c r="AO42">
        <v>700077</v>
      </c>
    </row>
    <row r="43" spans="1:41" x14ac:dyDescent="0.35">
      <c r="A43" t="s">
        <v>42</v>
      </c>
      <c r="B43">
        <v>10.26</v>
      </c>
      <c r="C43">
        <v>9.35</v>
      </c>
      <c r="D43">
        <v>9.81</v>
      </c>
      <c r="E43">
        <v>13.4</v>
      </c>
      <c r="F43">
        <v>14.52</v>
      </c>
      <c r="G43">
        <v>13.53</v>
      </c>
      <c r="H43">
        <v>76.319999999999993</v>
      </c>
      <c r="I43">
        <v>74.62</v>
      </c>
      <c r="J43">
        <v>74.63</v>
      </c>
      <c r="K43">
        <v>1.28</v>
      </c>
      <c r="L43">
        <v>0.45</v>
      </c>
      <c r="M43">
        <v>0.87</v>
      </c>
      <c r="N43">
        <v>72.099999999999994</v>
      </c>
      <c r="O43">
        <v>77.39</v>
      </c>
      <c r="P43">
        <v>74.680000000000007</v>
      </c>
      <c r="Q43">
        <v>86.67</v>
      </c>
      <c r="R43">
        <v>82.94</v>
      </c>
      <c r="S43">
        <v>84.81</v>
      </c>
      <c r="T43">
        <v>144813</v>
      </c>
      <c r="V43" t="str">
        <v>Batu Bara</v>
      </c>
      <c r="W43">
        <v>8.92</v>
      </c>
      <c r="X43">
        <v>8.6300000000000008</v>
      </c>
      <c r="Y43">
        <v>8.7100000000000009</v>
      </c>
      <c r="Z43">
        <v>12.96</v>
      </c>
      <c r="AA43">
        <v>13.39</v>
      </c>
      <c r="AB43">
        <v>13.13</v>
      </c>
      <c r="AC43">
        <v>78.61</v>
      </c>
      <c r="AD43">
        <v>66.55</v>
      </c>
      <c r="AE43">
        <v>73.92</v>
      </c>
      <c r="AF43">
        <v>5.09</v>
      </c>
      <c r="AG43">
        <v>5.97</v>
      </c>
      <c r="AH43">
        <v>5.44</v>
      </c>
      <c r="AI43">
        <v>71.260000000000005</v>
      </c>
      <c r="AJ43">
        <v>75.64</v>
      </c>
      <c r="AK43">
        <v>73.400000000000006</v>
      </c>
      <c r="AL43">
        <v>85.13</v>
      </c>
      <c r="AM43">
        <v>55.57</v>
      </c>
      <c r="AN43">
        <v>70.349999999999994</v>
      </c>
      <c r="AO43">
        <v>443998</v>
      </c>
    </row>
    <row r="44" spans="1:41" x14ac:dyDescent="0.35">
      <c r="A44" t="s">
        <v>43</v>
      </c>
      <c r="B44">
        <v>9.34</v>
      </c>
      <c r="C44">
        <v>8.92</v>
      </c>
      <c r="D44">
        <v>9.1300000000000008</v>
      </c>
      <c r="E44">
        <v>12.61</v>
      </c>
      <c r="F44">
        <v>12.87</v>
      </c>
      <c r="G44">
        <v>12.66</v>
      </c>
      <c r="H44">
        <v>78.92</v>
      </c>
      <c r="I44">
        <v>71.010000000000005</v>
      </c>
      <c r="J44">
        <v>74.69</v>
      </c>
      <c r="K44">
        <v>2.76</v>
      </c>
      <c r="L44">
        <v>6.8</v>
      </c>
      <c r="M44">
        <v>4.3099999999999996</v>
      </c>
      <c r="N44">
        <v>71.5</v>
      </c>
      <c r="O44">
        <v>76.13</v>
      </c>
      <c r="P44">
        <v>73.760000000000005</v>
      </c>
      <c r="Q44">
        <v>89.69</v>
      </c>
      <c r="R44">
        <v>56.01</v>
      </c>
      <c r="S44">
        <v>72.849999999999994</v>
      </c>
      <c r="T44">
        <v>700077</v>
      </c>
      <c r="V44" t="str">
        <v>Padang Lawas Utara</v>
      </c>
      <c r="W44">
        <v>10.220000000000001</v>
      </c>
      <c r="X44">
        <v>9.89</v>
      </c>
      <c r="Y44">
        <v>10.050000000000001</v>
      </c>
      <c r="Z44">
        <v>13.63</v>
      </c>
      <c r="AA44">
        <v>13.73</v>
      </c>
      <c r="AB44">
        <v>13.73</v>
      </c>
      <c r="AC44">
        <v>79.83</v>
      </c>
      <c r="AD44">
        <v>70.849999999999994</v>
      </c>
      <c r="AE44">
        <v>75.12</v>
      </c>
      <c r="AF44">
        <v>3.44</v>
      </c>
      <c r="AG44">
        <v>4.1399999999999997</v>
      </c>
      <c r="AH44">
        <v>3.73</v>
      </c>
      <c r="AI44">
        <v>69.989999999999995</v>
      </c>
      <c r="AJ44">
        <v>73.989999999999995</v>
      </c>
      <c r="AK44">
        <v>71.94</v>
      </c>
      <c r="AL44">
        <v>87.36</v>
      </c>
      <c r="AM44">
        <v>64.58</v>
      </c>
      <c r="AN44">
        <v>75.97</v>
      </c>
      <c r="AO44">
        <v>285659</v>
      </c>
    </row>
    <row r="45" spans="1:41" x14ac:dyDescent="0.35">
      <c r="A45" t="s">
        <v>44</v>
      </c>
      <c r="B45">
        <v>8.92</v>
      </c>
      <c r="C45">
        <v>8.6300000000000008</v>
      </c>
      <c r="D45">
        <v>8.7100000000000009</v>
      </c>
      <c r="E45">
        <v>12.96</v>
      </c>
      <c r="F45">
        <v>13.39</v>
      </c>
      <c r="G45">
        <v>13.13</v>
      </c>
      <c r="H45">
        <v>78.61</v>
      </c>
      <c r="I45">
        <v>66.55</v>
      </c>
      <c r="J45">
        <v>73.92</v>
      </c>
      <c r="K45">
        <v>5.09</v>
      </c>
      <c r="L45">
        <v>5.97</v>
      </c>
      <c r="M45">
        <v>5.44</v>
      </c>
      <c r="N45">
        <v>71.260000000000005</v>
      </c>
      <c r="O45">
        <v>75.64</v>
      </c>
      <c r="P45">
        <v>73.400000000000006</v>
      </c>
      <c r="Q45">
        <v>85.13</v>
      </c>
      <c r="R45">
        <v>55.57</v>
      </c>
      <c r="S45">
        <v>70.349999999999994</v>
      </c>
      <c r="T45">
        <v>443998</v>
      </c>
      <c r="V45" t="str">
        <v>Padang Lawas</v>
      </c>
      <c r="W45">
        <v>9.76</v>
      </c>
      <c r="X45">
        <v>9.49</v>
      </c>
      <c r="Y45">
        <v>9.64</v>
      </c>
      <c r="Z45">
        <v>13.61</v>
      </c>
      <c r="AA45">
        <v>14.11</v>
      </c>
      <c r="AB45">
        <v>14.11</v>
      </c>
      <c r="AC45">
        <v>77.94</v>
      </c>
      <c r="AD45">
        <v>68.22</v>
      </c>
      <c r="AE45">
        <v>73.900000000000006</v>
      </c>
      <c r="AF45">
        <v>4.74</v>
      </c>
      <c r="AG45">
        <v>5.41</v>
      </c>
      <c r="AH45">
        <v>5.03</v>
      </c>
      <c r="AI45">
        <v>69.92</v>
      </c>
      <c r="AJ45">
        <v>73.91</v>
      </c>
      <c r="AK45">
        <v>71.87</v>
      </c>
      <c r="AL45">
        <v>90.35</v>
      </c>
      <c r="AM45">
        <v>67.430000000000007</v>
      </c>
      <c r="AN45">
        <v>78.89</v>
      </c>
      <c r="AO45">
        <v>285704</v>
      </c>
    </row>
    <row r="46" spans="1:41" x14ac:dyDescent="0.35">
      <c r="A46" t="s">
        <v>45</v>
      </c>
      <c r="B46">
        <v>10.220000000000001</v>
      </c>
      <c r="C46">
        <v>9.89</v>
      </c>
      <c r="D46">
        <v>10.050000000000001</v>
      </c>
      <c r="E46">
        <v>13.63</v>
      </c>
      <c r="F46">
        <v>13.73</v>
      </c>
      <c r="G46">
        <v>13.73</v>
      </c>
      <c r="H46">
        <v>79.83</v>
      </c>
      <c r="I46">
        <v>70.849999999999994</v>
      </c>
      <c r="J46">
        <v>75.12</v>
      </c>
      <c r="K46">
        <v>3.44</v>
      </c>
      <c r="L46">
        <v>4.1399999999999997</v>
      </c>
      <c r="M46">
        <v>3.73</v>
      </c>
      <c r="N46">
        <v>69.989999999999995</v>
      </c>
      <c r="O46">
        <v>73.989999999999995</v>
      </c>
      <c r="P46">
        <v>71.94</v>
      </c>
      <c r="Q46">
        <v>87.36</v>
      </c>
      <c r="R46">
        <v>64.58</v>
      </c>
      <c r="S46">
        <v>75.97</v>
      </c>
      <c r="T46">
        <v>285659</v>
      </c>
      <c r="V46" t="str">
        <v>Labuhan Batu Selatan</v>
      </c>
      <c r="W46">
        <v>9.4600000000000009</v>
      </c>
      <c r="X46">
        <v>9.23</v>
      </c>
      <c r="Y46">
        <v>9.2899999999999991</v>
      </c>
      <c r="Z46">
        <v>13.21</v>
      </c>
      <c r="AA46">
        <v>13.98</v>
      </c>
      <c r="AB46">
        <v>13.54</v>
      </c>
      <c r="AC46">
        <v>80.349999999999994</v>
      </c>
      <c r="AD46">
        <v>71.86</v>
      </c>
      <c r="AE46">
        <v>75.739999999999995</v>
      </c>
      <c r="AF46">
        <v>3.11</v>
      </c>
      <c r="AG46">
        <v>3.33</v>
      </c>
      <c r="AH46">
        <v>3.19</v>
      </c>
      <c r="AI46">
        <v>71.010000000000005</v>
      </c>
      <c r="AJ46">
        <v>75.11</v>
      </c>
      <c r="AK46">
        <v>73.010000000000005</v>
      </c>
      <c r="AL46">
        <v>86.77</v>
      </c>
      <c r="AM46">
        <v>51.87</v>
      </c>
      <c r="AN46">
        <v>69.319999999999993</v>
      </c>
      <c r="AO46">
        <v>342225</v>
      </c>
    </row>
    <row r="47" spans="1:41" x14ac:dyDescent="0.35">
      <c r="A47" t="s">
        <v>46</v>
      </c>
      <c r="B47">
        <v>9.76</v>
      </c>
      <c r="C47">
        <v>9.49</v>
      </c>
      <c r="D47">
        <v>9.64</v>
      </c>
      <c r="E47">
        <v>13.61</v>
      </c>
      <c r="F47">
        <v>14.11</v>
      </c>
      <c r="G47">
        <v>14.11</v>
      </c>
      <c r="H47">
        <v>77.94</v>
      </c>
      <c r="I47">
        <v>68.22</v>
      </c>
      <c r="J47">
        <v>73.900000000000006</v>
      </c>
      <c r="K47">
        <v>4.74</v>
      </c>
      <c r="L47">
        <v>5.41</v>
      </c>
      <c r="M47">
        <v>5.03</v>
      </c>
      <c r="N47">
        <v>69.92</v>
      </c>
      <c r="O47">
        <v>73.91</v>
      </c>
      <c r="P47">
        <v>71.87</v>
      </c>
      <c r="Q47">
        <v>90.35</v>
      </c>
      <c r="R47">
        <v>67.430000000000007</v>
      </c>
      <c r="S47">
        <v>78.89</v>
      </c>
      <c r="T47">
        <v>285704</v>
      </c>
      <c r="V47" t="str">
        <v>Labuhan Batu Utara</v>
      </c>
      <c r="W47">
        <v>9.42</v>
      </c>
      <c r="X47">
        <v>8.99</v>
      </c>
      <c r="Y47">
        <v>9.15</v>
      </c>
      <c r="Z47">
        <v>13.36</v>
      </c>
      <c r="AA47">
        <v>13.9</v>
      </c>
      <c r="AB47">
        <v>13.59</v>
      </c>
      <c r="AC47">
        <v>80.67</v>
      </c>
      <c r="AD47">
        <v>73.849999999999994</v>
      </c>
      <c r="AE47">
        <v>76.709999999999994</v>
      </c>
      <c r="AF47">
        <v>2.31</v>
      </c>
      <c r="AG47">
        <v>7.27</v>
      </c>
      <c r="AH47">
        <v>4.21</v>
      </c>
      <c r="AI47">
        <v>71.95</v>
      </c>
      <c r="AJ47">
        <v>77.069999999999993</v>
      </c>
      <c r="AK47">
        <v>74.45</v>
      </c>
      <c r="AL47">
        <v>89.69</v>
      </c>
      <c r="AM47">
        <v>56.79</v>
      </c>
      <c r="AN47">
        <v>73.239999999999995</v>
      </c>
      <c r="AO47">
        <v>415485</v>
      </c>
    </row>
    <row r="48" spans="1:41" x14ac:dyDescent="0.35">
      <c r="A48" t="s">
        <v>47</v>
      </c>
      <c r="B48">
        <v>9.4600000000000009</v>
      </c>
      <c r="C48">
        <v>9.23</v>
      </c>
      <c r="D48">
        <v>9.2899999999999991</v>
      </c>
      <c r="E48">
        <v>13.21</v>
      </c>
      <c r="F48">
        <v>13.98</v>
      </c>
      <c r="G48">
        <v>13.54</v>
      </c>
      <c r="H48">
        <v>80.349999999999994</v>
      </c>
      <c r="I48">
        <v>71.86</v>
      </c>
      <c r="J48">
        <v>75.739999999999995</v>
      </c>
      <c r="K48">
        <v>3.11</v>
      </c>
      <c r="L48">
        <v>3.33</v>
      </c>
      <c r="M48">
        <v>3.19</v>
      </c>
      <c r="N48">
        <v>71.010000000000005</v>
      </c>
      <c r="O48">
        <v>75.11</v>
      </c>
      <c r="P48">
        <v>73.010000000000005</v>
      </c>
      <c r="Q48">
        <v>86.77</v>
      </c>
      <c r="R48">
        <v>51.87</v>
      </c>
      <c r="S48">
        <v>69.319999999999993</v>
      </c>
      <c r="T48">
        <v>342225</v>
      </c>
      <c r="V48" t="str">
        <v>Nias Utara</v>
      </c>
      <c r="W48">
        <v>8.41</v>
      </c>
      <c r="X48">
        <v>6.12</v>
      </c>
      <c r="Y48">
        <v>7.25</v>
      </c>
      <c r="Z48">
        <v>13.39</v>
      </c>
      <c r="AA48">
        <v>13.33</v>
      </c>
      <c r="AB48">
        <v>13.38</v>
      </c>
      <c r="AC48">
        <v>73.739999999999995</v>
      </c>
      <c r="AD48">
        <v>60.13</v>
      </c>
      <c r="AE48">
        <v>67.38</v>
      </c>
      <c r="AF48">
        <v>2.31</v>
      </c>
      <c r="AG48">
        <v>2.4900000000000002</v>
      </c>
      <c r="AH48">
        <v>2.4</v>
      </c>
      <c r="AI48">
        <v>70.52</v>
      </c>
      <c r="AJ48">
        <v>74.540000000000006</v>
      </c>
      <c r="AK48">
        <v>72.48</v>
      </c>
      <c r="AL48">
        <v>83.43</v>
      </c>
      <c r="AM48">
        <v>74.56</v>
      </c>
      <c r="AN48">
        <v>79</v>
      </c>
      <c r="AO48">
        <v>161442</v>
      </c>
    </row>
    <row r="49" spans="1:41" x14ac:dyDescent="0.35">
      <c r="A49" t="s">
        <v>48</v>
      </c>
      <c r="B49">
        <v>9.42</v>
      </c>
      <c r="C49">
        <v>8.99</v>
      </c>
      <c r="D49">
        <v>9.15</v>
      </c>
      <c r="E49">
        <v>13.36</v>
      </c>
      <c r="F49">
        <v>13.9</v>
      </c>
      <c r="G49">
        <v>13.59</v>
      </c>
      <c r="H49">
        <v>80.67</v>
      </c>
      <c r="I49">
        <v>73.849999999999994</v>
      </c>
      <c r="J49">
        <v>76.709999999999994</v>
      </c>
      <c r="K49">
        <v>2.31</v>
      </c>
      <c r="L49">
        <v>7.27</v>
      </c>
      <c r="M49">
        <v>4.21</v>
      </c>
      <c r="N49">
        <v>71.95</v>
      </c>
      <c r="O49">
        <v>77.069999999999993</v>
      </c>
      <c r="P49">
        <v>74.45</v>
      </c>
      <c r="Q49">
        <v>89.69</v>
      </c>
      <c r="R49">
        <v>56.79</v>
      </c>
      <c r="S49">
        <v>73.239999999999995</v>
      </c>
      <c r="T49">
        <v>415485</v>
      </c>
      <c r="V49" t="str">
        <v>Nias Barat</v>
      </c>
      <c r="W49">
        <v>9.06</v>
      </c>
      <c r="X49">
        <v>6.29</v>
      </c>
      <c r="Y49">
        <v>7.43</v>
      </c>
      <c r="Z49">
        <v>13.34</v>
      </c>
      <c r="AA49">
        <v>13.05</v>
      </c>
      <c r="AB49">
        <v>13.17</v>
      </c>
      <c r="AC49">
        <v>72.989999999999995</v>
      </c>
      <c r="AD49">
        <v>64.13</v>
      </c>
      <c r="AE49">
        <v>66.650000000000006</v>
      </c>
      <c r="AF49">
        <v>1.05</v>
      </c>
      <c r="AG49">
        <v>0.9</v>
      </c>
      <c r="AH49">
        <v>0.97</v>
      </c>
      <c r="AI49">
        <v>70.849999999999994</v>
      </c>
      <c r="AJ49">
        <v>74.88</v>
      </c>
      <c r="AK49">
        <v>72.819999999999993</v>
      </c>
      <c r="AL49">
        <v>86.79</v>
      </c>
      <c r="AM49">
        <v>78.8</v>
      </c>
      <c r="AN49">
        <v>82.8</v>
      </c>
      <c r="AO49">
        <v>99124</v>
      </c>
    </row>
    <row r="50" spans="1:41" x14ac:dyDescent="0.35">
      <c r="A50" t="s">
        <v>49</v>
      </c>
      <c r="B50">
        <v>8.41</v>
      </c>
      <c r="C50">
        <v>6.12</v>
      </c>
      <c r="D50">
        <v>7.25</v>
      </c>
      <c r="E50">
        <v>13.39</v>
      </c>
      <c r="F50">
        <v>13.33</v>
      </c>
      <c r="G50">
        <v>13.38</v>
      </c>
      <c r="H50">
        <v>73.739999999999995</v>
      </c>
      <c r="I50">
        <v>60.13</v>
      </c>
      <c r="J50">
        <v>67.38</v>
      </c>
      <c r="K50">
        <v>2.31</v>
      </c>
      <c r="L50">
        <v>2.4900000000000002</v>
      </c>
      <c r="M50">
        <v>2.4</v>
      </c>
      <c r="N50">
        <v>70.52</v>
      </c>
      <c r="O50">
        <v>74.540000000000006</v>
      </c>
      <c r="P50">
        <v>72.48</v>
      </c>
      <c r="Q50">
        <v>83.43</v>
      </c>
      <c r="R50">
        <v>74.56</v>
      </c>
      <c r="S50">
        <v>79</v>
      </c>
      <c r="T50">
        <v>161442</v>
      </c>
      <c r="V50" t="str">
        <v>Kota Sibolga</v>
      </c>
      <c r="W50">
        <v>10.44</v>
      </c>
      <c r="X50">
        <v>10.47</v>
      </c>
      <c r="Y50">
        <v>10.46</v>
      </c>
      <c r="Z50">
        <v>12.94</v>
      </c>
      <c r="AA50">
        <v>13.96</v>
      </c>
      <c r="AB50">
        <v>13.44</v>
      </c>
      <c r="AC50">
        <v>79.06</v>
      </c>
      <c r="AD50">
        <v>78.11</v>
      </c>
      <c r="AE50">
        <v>78.11</v>
      </c>
      <c r="AF50">
        <v>6.91</v>
      </c>
      <c r="AG50">
        <v>5.74</v>
      </c>
      <c r="AH50">
        <v>6.44</v>
      </c>
      <c r="AI50">
        <v>71.900000000000006</v>
      </c>
      <c r="AJ50">
        <v>76.98</v>
      </c>
      <c r="AK50">
        <v>74.38</v>
      </c>
      <c r="AL50">
        <v>82.71</v>
      </c>
      <c r="AM50">
        <v>55.47</v>
      </c>
      <c r="AN50">
        <v>69.09</v>
      </c>
      <c r="AO50">
        <v>92244</v>
      </c>
    </row>
    <row r="51" spans="1:41" x14ac:dyDescent="0.35">
      <c r="A51" t="s">
        <v>50</v>
      </c>
      <c r="B51">
        <v>9.06</v>
      </c>
      <c r="C51">
        <v>6.29</v>
      </c>
      <c r="D51">
        <v>7.43</v>
      </c>
      <c r="E51">
        <v>13.34</v>
      </c>
      <c r="F51">
        <v>13.05</v>
      </c>
      <c r="G51">
        <v>13.17</v>
      </c>
      <c r="H51">
        <v>72.989999999999995</v>
      </c>
      <c r="I51">
        <v>64.13</v>
      </c>
      <c r="J51">
        <v>66.650000000000006</v>
      </c>
      <c r="K51">
        <v>1.05</v>
      </c>
      <c r="L51">
        <v>0.9</v>
      </c>
      <c r="M51">
        <v>0.97</v>
      </c>
      <c r="N51">
        <v>70.849999999999994</v>
      </c>
      <c r="O51">
        <v>74.88</v>
      </c>
      <c r="P51">
        <v>72.819999999999993</v>
      </c>
      <c r="Q51">
        <v>86.79</v>
      </c>
      <c r="R51">
        <v>78.8</v>
      </c>
      <c r="S51">
        <v>82.8</v>
      </c>
      <c r="T51">
        <v>99124</v>
      </c>
      <c r="V51" t="str">
        <v>Kota Tanjung Balai</v>
      </c>
      <c r="W51">
        <v>9.64</v>
      </c>
      <c r="X51">
        <v>10.14</v>
      </c>
      <c r="Y51">
        <v>9.9</v>
      </c>
      <c r="Z51">
        <v>12.72</v>
      </c>
      <c r="AA51">
        <v>13.45</v>
      </c>
      <c r="AB51">
        <v>13.16</v>
      </c>
      <c r="AC51">
        <v>80.33</v>
      </c>
      <c r="AD51">
        <v>73.989999999999995</v>
      </c>
      <c r="AE51">
        <v>76.7</v>
      </c>
      <c r="AF51">
        <v>2.74</v>
      </c>
      <c r="AG51">
        <v>5.4</v>
      </c>
      <c r="AH51">
        <v>3.81</v>
      </c>
      <c r="AI51">
        <v>71.92</v>
      </c>
      <c r="AJ51">
        <v>77.010000000000005</v>
      </c>
      <c r="AK51">
        <v>74.400000000000006</v>
      </c>
      <c r="AL51">
        <v>86.16</v>
      </c>
      <c r="AM51">
        <v>59.59</v>
      </c>
      <c r="AN51">
        <v>72.88</v>
      </c>
      <c r="AO51">
        <v>188063</v>
      </c>
    </row>
    <row r="52" spans="1:41" x14ac:dyDescent="0.35">
      <c r="A52" t="s">
        <v>51</v>
      </c>
      <c r="B52">
        <v>10.44</v>
      </c>
      <c r="C52">
        <v>10.47</v>
      </c>
      <c r="D52">
        <v>10.46</v>
      </c>
      <c r="E52">
        <v>12.94</v>
      </c>
      <c r="F52">
        <v>13.96</v>
      </c>
      <c r="G52">
        <v>13.44</v>
      </c>
      <c r="H52">
        <v>79.06</v>
      </c>
      <c r="I52">
        <v>78.11</v>
      </c>
      <c r="J52">
        <v>78.11</v>
      </c>
      <c r="K52">
        <v>6.91</v>
      </c>
      <c r="L52">
        <v>5.74</v>
      </c>
      <c r="M52">
        <v>6.44</v>
      </c>
      <c r="N52">
        <v>71.900000000000006</v>
      </c>
      <c r="O52">
        <v>76.98</v>
      </c>
      <c r="P52">
        <v>74.38</v>
      </c>
      <c r="Q52">
        <v>82.71</v>
      </c>
      <c r="R52">
        <v>55.47</v>
      </c>
      <c r="S52">
        <v>69.09</v>
      </c>
      <c r="T52">
        <v>92244</v>
      </c>
      <c r="V52" t="str">
        <v>Kota Pematang Siantar</v>
      </c>
      <c r="W52">
        <v>11.91</v>
      </c>
      <c r="X52">
        <v>11.76</v>
      </c>
      <c r="Y52">
        <v>11.83</v>
      </c>
      <c r="Z52">
        <v>14.99</v>
      </c>
      <c r="AA52">
        <v>14.62</v>
      </c>
      <c r="AB52">
        <v>14.62</v>
      </c>
      <c r="AC52">
        <v>84.01</v>
      </c>
      <c r="AD52">
        <v>81.05</v>
      </c>
      <c r="AE52">
        <v>81.709999999999994</v>
      </c>
      <c r="AF52">
        <v>10.87</v>
      </c>
      <c r="AG52">
        <v>3.81</v>
      </c>
      <c r="AH52">
        <v>7.74</v>
      </c>
      <c r="AI52">
        <v>73.849999999999994</v>
      </c>
      <c r="AJ52">
        <v>77.62</v>
      </c>
      <c r="AK52">
        <v>75.42</v>
      </c>
      <c r="AL52">
        <v>83.67</v>
      </c>
      <c r="AM52">
        <v>64.19</v>
      </c>
      <c r="AN52">
        <v>73.930000000000007</v>
      </c>
      <c r="AO52">
        <v>279198</v>
      </c>
    </row>
    <row r="53" spans="1:41" x14ac:dyDescent="0.35">
      <c r="A53" t="s">
        <v>52</v>
      </c>
      <c r="B53">
        <v>9.64</v>
      </c>
      <c r="C53">
        <v>10.14</v>
      </c>
      <c r="D53">
        <v>9.9</v>
      </c>
      <c r="E53">
        <v>12.72</v>
      </c>
      <c r="F53">
        <v>13.45</v>
      </c>
      <c r="G53">
        <v>13.16</v>
      </c>
      <c r="H53">
        <v>80.33</v>
      </c>
      <c r="I53">
        <v>73.989999999999995</v>
      </c>
      <c r="J53">
        <v>76.7</v>
      </c>
      <c r="K53">
        <v>2.74</v>
      </c>
      <c r="L53">
        <v>5.4</v>
      </c>
      <c r="M53">
        <v>3.81</v>
      </c>
      <c r="N53">
        <v>71.92</v>
      </c>
      <c r="O53">
        <v>77.010000000000005</v>
      </c>
      <c r="P53">
        <v>74.400000000000006</v>
      </c>
      <c r="Q53">
        <v>86.16</v>
      </c>
      <c r="R53">
        <v>59.59</v>
      </c>
      <c r="S53">
        <v>72.88</v>
      </c>
      <c r="T53">
        <v>188063</v>
      </c>
      <c r="V53" t="str">
        <v>Kota Tebing Tinggi</v>
      </c>
      <c r="W53">
        <v>11.13</v>
      </c>
      <c r="X53">
        <v>10.87</v>
      </c>
      <c r="Y53">
        <v>10.88</v>
      </c>
      <c r="Z53">
        <v>13.01</v>
      </c>
      <c r="AA53">
        <v>13.23</v>
      </c>
      <c r="AB53">
        <v>13.14</v>
      </c>
      <c r="AC53">
        <v>82.59</v>
      </c>
      <c r="AD53">
        <v>78.06</v>
      </c>
      <c r="AE53">
        <v>79.260000000000005</v>
      </c>
      <c r="AF53">
        <v>6.87</v>
      </c>
      <c r="AG53">
        <v>4.6900000000000004</v>
      </c>
      <c r="AH53">
        <v>5.99</v>
      </c>
      <c r="AI53">
        <v>72.03</v>
      </c>
      <c r="AJ53">
        <v>77.25</v>
      </c>
      <c r="AK53">
        <v>74.58</v>
      </c>
      <c r="AL53">
        <v>87.58</v>
      </c>
      <c r="AM53">
        <v>56.51</v>
      </c>
      <c r="AN53">
        <v>72.05</v>
      </c>
      <c r="AO53">
        <v>182968</v>
      </c>
    </row>
    <row r="54" spans="1:41" x14ac:dyDescent="0.35">
      <c r="A54" t="s">
        <v>53</v>
      </c>
      <c r="B54">
        <v>11.91</v>
      </c>
      <c r="C54">
        <v>11.76</v>
      </c>
      <c r="D54">
        <v>11.83</v>
      </c>
      <c r="E54">
        <v>14.99</v>
      </c>
      <c r="F54">
        <v>14.62</v>
      </c>
      <c r="G54">
        <v>14.62</v>
      </c>
      <c r="H54">
        <v>84.01</v>
      </c>
      <c r="I54">
        <v>81.05</v>
      </c>
      <c r="J54">
        <v>81.709999999999994</v>
      </c>
      <c r="K54">
        <v>10.87</v>
      </c>
      <c r="L54">
        <v>3.81</v>
      </c>
      <c r="M54">
        <v>7.74</v>
      </c>
      <c r="N54">
        <v>73.849999999999994</v>
      </c>
      <c r="O54">
        <v>77.62</v>
      </c>
      <c r="P54">
        <v>75.42</v>
      </c>
      <c r="Q54">
        <v>83.67</v>
      </c>
      <c r="R54">
        <v>64.19</v>
      </c>
      <c r="S54">
        <v>73.930000000000007</v>
      </c>
      <c r="T54">
        <v>279198</v>
      </c>
      <c r="V54" t="str">
        <v>Kota Medan</v>
      </c>
      <c r="W54">
        <v>11.87</v>
      </c>
      <c r="X54">
        <v>11.75</v>
      </c>
      <c r="Y54">
        <v>11.8</v>
      </c>
      <c r="Z54">
        <v>14.66</v>
      </c>
      <c r="AA54">
        <v>14.99</v>
      </c>
      <c r="AB54">
        <v>14.8</v>
      </c>
      <c r="AC54">
        <v>87.22</v>
      </c>
      <c r="AD54">
        <v>83.33</v>
      </c>
      <c r="AE54">
        <v>83.74</v>
      </c>
      <c r="AF54">
        <v>7.88</v>
      </c>
      <c r="AG54">
        <v>8.16</v>
      </c>
      <c r="AH54">
        <v>7.99</v>
      </c>
      <c r="AI54">
        <v>72.790000000000006</v>
      </c>
      <c r="AJ54">
        <v>78.430000000000007</v>
      </c>
      <c r="AK54">
        <v>75.540000000000006</v>
      </c>
      <c r="AL54">
        <v>78.86</v>
      </c>
      <c r="AM54">
        <v>52.79</v>
      </c>
      <c r="AN54">
        <v>65.83</v>
      </c>
      <c r="AO54">
        <v>2498293</v>
      </c>
    </row>
    <row r="55" spans="1:41" x14ac:dyDescent="0.35">
      <c r="A55" t="s">
        <v>54</v>
      </c>
      <c r="B55">
        <v>11.13</v>
      </c>
      <c r="C55">
        <v>10.87</v>
      </c>
      <c r="D55">
        <v>10.88</v>
      </c>
      <c r="E55">
        <v>13.01</v>
      </c>
      <c r="F55">
        <v>13.23</v>
      </c>
      <c r="G55">
        <v>13.14</v>
      </c>
      <c r="H55">
        <v>82.59</v>
      </c>
      <c r="I55">
        <v>78.06</v>
      </c>
      <c r="J55">
        <v>79.260000000000005</v>
      </c>
      <c r="K55">
        <v>6.87</v>
      </c>
      <c r="L55">
        <v>4.6900000000000004</v>
      </c>
      <c r="M55">
        <v>5.99</v>
      </c>
      <c r="N55">
        <v>72.03</v>
      </c>
      <c r="O55">
        <v>77.25</v>
      </c>
      <c r="P55">
        <v>74.58</v>
      </c>
      <c r="Q55">
        <v>87.58</v>
      </c>
      <c r="R55">
        <v>56.51</v>
      </c>
      <c r="S55">
        <v>72.05</v>
      </c>
      <c r="T55">
        <v>182968</v>
      </c>
      <c r="V55" t="str">
        <v>Kota Binjai</v>
      </c>
      <c r="W55">
        <v>11.4</v>
      </c>
      <c r="X55">
        <v>11.06</v>
      </c>
      <c r="Y55">
        <v>11.21</v>
      </c>
      <c r="Z55">
        <v>14.17</v>
      </c>
      <c r="AA55">
        <v>14.26</v>
      </c>
      <c r="AB55">
        <v>14.19</v>
      </c>
      <c r="AC55">
        <v>83.3</v>
      </c>
      <c r="AD55">
        <v>76.739999999999995</v>
      </c>
      <c r="AE55">
        <v>79.2</v>
      </c>
      <c r="AF55">
        <v>6.66</v>
      </c>
      <c r="AG55">
        <v>3.54</v>
      </c>
      <c r="AH55">
        <v>5.37</v>
      </c>
      <c r="AI55">
        <v>72.19</v>
      </c>
      <c r="AJ55">
        <v>77.56</v>
      </c>
      <c r="AK55">
        <v>74.81</v>
      </c>
      <c r="AL55">
        <v>76.87</v>
      </c>
      <c r="AM55">
        <v>53.09</v>
      </c>
      <c r="AN55">
        <v>64.98</v>
      </c>
      <c r="AO55">
        <v>310932</v>
      </c>
    </row>
    <row r="56" spans="1:41" x14ac:dyDescent="0.35">
      <c r="A56" t="s">
        <v>55</v>
      </c>
      <c r="B56">
        <v>11.87</v>
      </c>
      <c r="C56">
        <v>11.75</v>
      </c>
      <c r="D56">
        <v>11.8</v>
      </c>
      <c r="E56">
        <v>14.66</v>
      </c>
      <c r="F56">
        <v>14.99</v>
      </c>
      <c r="G56">
        <v>14.8</v>
      </c>
      <c r="H56">
        <v>87.22</v>
      </c>
      <c r="I56">
        <v>83.33</v>
      </c>
      <c r="J56">
        <v>83.74</v>
      </c>
      <c r="K56">
        <v>7.88</v>
      </c>
      <c r="L56">
        <v>8.16</v>
      </c>
      <c r="M56">
        <v>7.99</v>
      </c>
      <c r="N56">
        <v>72.790000000000006</v>
      </c>
      <c r="O56">
        <v>78.430000000000007</v>
      </c>
      <c r="P56">
        <v>75.540000000000006</v>
      </c>
      <c r="Q56">
        <v>78.86</v>
      </c>
      <c r="R56">
        <v>52.79</v>
      </c>
      <c r="S56">
        <v>65.83</v>
      </c>
      <c r="T56">
        <v>2498293</v>
      </c>
      <c r="V56" t="str">
        <v>Kota Padangsidimpuan</v>
      </c>
      <c r="W56">
        <v>11.29</v>
      </c>
      <c r="X56">
        <v>11.14</v>
      </c>
      <c r="Y56">
        <v>11.22</v>
      </c>
      <c r="Z56">
        <v>14.15</v>
      </c>
      <c r="AA56">
        <v>15.34</v>
      </c>
      <c r="AB56">
        <v>14.72</v>
      </c>
      <c r="AC56">
        <v>80.66</v>
      </c>
      <c r="AD56">
        <v>79.180000000000007</v>
      </c>
      <c r="AE56">
        <v>79.19</v>
      </c>
      <c r="AF56">
        <v>7.75</v>
      </c>
      <c r="AG56">
        <v>5.94</v>
      </c>
      <c r="AH56">
        <v>7</v>
      </c>
      <c r="AI56">
        <v>71.63</v>
      </c>
      <c r="AJ56">
        <v>76.42</v>
      </c>
      <c r="AK56">
        <v>73.97</v>
      </c>
      <c r="AL56">
        <v>80.47</v>
      </c>
      <c r="AM56">
        <v>58.78</v>
      </c>
      <c r="AN56">
        <v>69.63</v>
      </c>
      <c r="AO56">
        <v>243843</v>
      </c>
    </row>
    <row r="57" spans="1:41" x14ac:dyDescent="0.35">
      <c r="A57" t="s">
        <v>56</v>
      </c>
      <c r="B57">
        <v>11.4</v>
      </c>
      <c r="C57">
        <v>11.06</v>
      </c>
      <c r="D57">
        <v>11.21</v>
      </c>
      <c r="E57">
        <v>14.17</v>
      </c>
      <c r="F57">
        <v>14.26</v>
      </c>
      <c r="G57">
        <v>14.19</v>
      </c>
      <c r="H57">
        <v>83.3</v>
      </c>
      <c r="I57">
        <v>76.739999999999995</v>
      </c>
      <c r="J57">
        <v>79.2</v>
      </c>
      <c r="K57">
        <v>6.66</v>
      </c>
      <c r="L57">
        <v>3.54</v>
      </c>
      <c r="M57">
        <v>5.37</v>
      </c>
      <c r="N57">
        <v>72.19</v>
      </c>
      <c r="O57">
        <v>77.56</v>
      </c>
      <c r="P57">
        <v>74.81</v>
      </c>
      <c r="Q57">
        <v>76.87</v>
      </c>
      <c r="R57">
        <v>53.09</v>
      </c>
      <c r="S57">
        <v>64.98</v>
      </c>
      <c r="T57">
        <v>310932</v>
      </c>
      <c r="V57" t="str">
        <v>Kota Gunungsitoli</v>
      </c>
      <c r="W57">
        <v>10.15</v>
      </c>
      <c r="X57">
        <v>8.17</v>
      </c>
      <c r="Y57">
        <v>8.9499999999999993</v>
      </c>
      <c r="Z57">
        <v>13.88</v>
      </c>
      <c r="AA57">
        <v>14.29</v>
      </c>
      <c r="AB57">
        <v>13.95</v>
      </c>
      <c r="AC57">
        <v>78.64</v>
      </c>
      <c r="AD57">
        <v>71.59</v>
      </c>
      <c r="AE57">
        <v>73.290000000000006</v>
      </c>
      <c r="AF57">
        <v>5.26</v>
      </c>
      <c r="AG57">
        <v>1.1200000000000001</v>
      </c>
      <c r="AH57">
        <v>3.29</v>
      </c>
      <c r="AI57">
        <v>71.959999999999994</v>
      </c>
      <c r="AJ57">
        <v>77.099999999999994</v>
      </c>
      <c r="AK57">
        <v>74.47</v>
      </c>
      <c r="AL57">
        <v>77.64</v>
      </c>
      <c r="AM57">
        <v>65.12</v>
      </c>
      <c r="AN57">
        <v>71.38</v>
      </c>
      <c r="AO57">
        <v>147516</v>
      </c>
    </row>
    <row r="58" spans="1:41" x14ac:dyDescent="0.35">
      <c r="A58" t="s">
        <v>57</v>
      </c>
      <c r="B58">
        <v>11.29</v>
      </c>
      <c r="C58">
        <v>11.14</v>
      </c>
      <c r="D58">
        <v>11.22</v>
      </c>
      <c r="E58">
        <v>14.15</v>
      </c>
      <c r="F58">
        <v>15.34</v>
      </c>
      <c r="G58">
        <v>14.72</v>
      </c>
      <c r="H58">
        <v>80.66</v>
      </c>
      <c r="I58">
        <v>79.180000000000007</v>
      </c>
      <c r="J58">
        <v>79.19</v>
      </c>
      <c r="K58">
        <v>7.75</v>
      </c>
      <c r="L58">
        <v>5.94</v>
      </c>
      <c r="M58">
        <v>7</v>
      </c>
      <c r="N58">
        <v>71.63</v>
      </c>
      <c r="O58">
        <v>76.42</v>
      </c>
      <c r="P58">
        <v>73.97</v>
      </c>
      <c r="Q58">
        <v>80.47</v>
      </c>
      <c r="R58">
        <v>58.78</v>
      </c>
      <c r="S58">
        <v>69.63</v>
      </c>
      <c r="T58">
        <v>243843</v>
      </c>
      <c r="V58" t="str">
        <v>Kepulauan Mentawai</v>
      </c>
      <c r="W58">
        <v>8.4700000000000006</v>
      </c>
      <c r="X58">
        <v>7.77</v>
      </c>
      <c r="Y58">
        <v>8.2100000000000009</v>
      </c>
      <c r="Z58">
        <v>13.17</v>
      </c>
      <c r="AA58">
        <v>13.1</v>
      </c>
      <c r="AB58">
        <v>13.17</v>
      </c>
      <c r="AC58">
        <v>72.239999999999995</v>
      </c>
      <c r="AD58">
        <v>65.739999999999995</v>
      </c>
      <c r="AE58">
        <v>67.62</v>
      </c>
      <c r="AF58">
        <v>1.17</v>
      </c>
      <c r="AG58">
        <v>1.96</v>
      </c>
      <c r="AH58">
        <v>1.53</v>
      </c>
      <c r="AI58">
        <v>69.459999999999994</v>
      </c>
      <c r="AJ58">
        <v>73.430000000000007</v>
      </c>
      <c r="AK58">
        <v>71.400000000000006</v>
      </c>
      <c r="AL58">
        <v>85.58</v>
      </c>
      <c r="AM58">
        <v>78.83</v>
      </c>
      <c r="AN58">
        <v>82.21</v>
      </c>
      <c r="AO58">
        <v>94049</v>
      </c>
    </row>
    <row r="59" spans="1:41" x14ac:dyDescent="0.35">
      <c r="A59" t="s">
        <v>58</v>
      </c>
      <c r="B59">
        <v>10.15</v>
      </c>
      <c r="C59">
        <v>8.17</v>
      </c>
      <c r="D59">
        <v>8.9499999999999993</v>
      </c>
      <c r="E59">
        <v>13.88</v>
      </c>
      <c r="F59">
        <v>14.29</v>
      </c>
      <c r="G59">
        <v>13.95</v>
      </c>
      <c r="H59">
        <v>78.64</v>
      </c>
      <c r="I59">
        <v>71.59</v>
      </c>
      <c r="J59">
        <v>73.290000000000006</v>
      </c>
      <c r="K59">
        <v>5.26</v>
      </c>
      <c r="L59">
        <v>1.1200000000000001</v>
      </c>
      <c r="M59">
        <v>3.29</v>
      </c>
      <c r="N59">
        <v>71.959999999999994</v>
      </c>
      <c r="O59">
        <v>77.099999999999994</v>
      </c>
      <c r="P59">
        <v>74.47</v>
      </c>
      <c r="Q59">
        <v>77.64</v>
      </c>
      <c r="R59">
        <v>65.12</v>
      </c>
      <c r="S59">
        <v>71.38</v>
      </c>
      <c r="T59">
        <v>147516</v>
      </c>
      <c r="V59" t="str">
        <v>Pesisir Selatan</v>
      </c>
      <c r="W59">
        <v>8.98</v>
      </c>
      <c r="X59">
        <v>9.1</v>
      </c>
      <c r="Y59">
        <v>9.06</v>
      </c>
      <c r="Z59">
        <v>13.37</v>
      </c>
      <c r="AA59">
        <v>14.2</v>
      </c>
      <c r="AB59">
        <v>13.38</v>
      </c>
      <c r="AC59">
        <v>76.7</v>
      </c>
      <c r="AD59">
        <v>73.72</v>
      </c>
      <c r="AE59">
        <v>73.72</v>
      </c>
      <c r="AF59">
        <v>5.0199999999999996</v>
      </c>
      <c r="AG59">
        <v>5.24</v>
      </c>
      <c r="AH59">
        <v>5.0999999999999996</v>
      </c>
      <c r="AI59">
        <v>71.45</v>
      </c>
      <c r="AJ59">
        <v>76.03</v>
      </c>
      <c r="AK59">
        <v>73.680000000000007</v>
      </c>
      <c r="AL59">
        <v>86.72</v>
      </c>
      <c r="AM59">
        <v>54.08</v>
      </c>
      <c r="AN59">
        <v>70.400000000000006</v>
      </c>
      <c r="AO59">
        <v>540381</v>
      </c>
    </row>
    <row r="60" spans="1:41" x14ac:dyDescent="0.35">
      <c r="A60" t="s">
        <v>79</v>
      </c>
      <c r="B60">
        <v>9.61</v>
      </c>
      <c r="C60">
        <v>9.89</v>
      </c>
      <c r="D60">
        <v>9.77</v>
      </c>
      <c r="E60">
        <v>13.89</v>
      </c>
      <c r="F60">
        <v>14.87</v>
      </c>
      <c r="G60">
        <v>14.31</v>
      </c>
      <c r="H60">
        <v>79.95</v>
      </c>
      <c r="I60">
        <v>76.89</v>
      </c>
      <c r="J60">
        <v>77.27</v>
      </c>
      <c r="K60">
        <v>5.18</v>
      </c>
      <c r="L60">
        <v>6.24</v>
      </c>
      <c r="M60">
        <v>5.62</v>
      </c>
      <c r="N60">
        <v>72.099999999999994</v>
      </c>
      <c r="O60">
        <v>77.400000000000006</v>
      </c>
      <c r="P60">
        <v>74.69</v>
      </c>
      <c r="Q60">
        <v>83.21</v>
      </c>
      <c r="R60">
        <v>59.4</v>
      </c>
      <c r="S60">
        <v>71.31</v>
      </c>
      <c r="T60">
        <v>5914296</v>
      </c>
      <c r="V60" t="str">
        <v>Solok</v>
      </c>
      <c r="W60">
        <v>8.2799999999999994</v>
      </c>
      <c r="X60">
        <v>8.15</v>
      </c>
      <c r="Y60">
        <v>8.25</v>
      </c>
      <c r="Z60">
        <v>12.97</v>
      </c>
      <c r="AA60">
        <v>14.4</v>
      </c>
      <c r="AB60">
        <v>13.66</v>
      </c>
      <c r="AC60">
        <v>75.98</v>
      </c>
      <c r="AD60">
        <v>73.25</v>
      </c>
      <c r="AE60">
        <v>73.260000000000005</v>
      </c>
      <c r="AF60">
        <v>3.5</v>
      </c>
      <c r="AG60">
        <v>6.26</v>
      </c>
      <c r="AH60">
        <v>4.7</v>
      </c>
      <c r="AI60">
        <v>70.849999999999994</v>
      </c>
      <c r="AJ60">
        <v>74.88</v>
      </c>
      <c r="AK60">
        <v>72.819999999999993</v>
      </c>
      <c r="AL60">
        <v>87.3</v>
      </c>
      <c r="AM60">
        <v>66.95</v>
      </c>
      <c r="AN60">
        <v>77.13</v>
      </c>
      <c r="AO60">
        <v>415442</v>
      </c>
    </row>
    <row r="61" spans="1:41" x14ac:dyDescent="0.35">
      <c r="A61" t="s">
        <v>60</v>
      </c>
      <c r="B61">
        <v>8.4700000000000006</v>
      </c>
      <c r="C61">
        <v>7.77</v>
      </c>
      <c r="D61">
        <v>8.2100000000000009</v>
      </c>
      <c r="E61">
        <v>13.17</v>
      </c>
      <c r="F61">
        <v>13.1</v>
      </c>
      <c r="G61">
        <v>13.17</v>
      </c>
      <c r="H61">
        <v>72.239999999999995</v>
      </c>
      <c r="I61">
        <v>65.739999999999995</v>
      </c>
      <c r="J61">
        <v>67.62</v>
      </c>
      <c r="K61">
        <v>1.17</v>
      </c>
      <c r="L61">
        <v>1.96</v>
      </c>
      <c r="M61">
        <v>1.53</v>
      </c>
      <c r="N61">
        <v>69.459999999999994</v>
      </c>
      <c r="O61">
        <v>73.430000000000007</v>
      </c>
      <c r="P61">
        <v>71.400000000000006</v>
      </c>
      <c r="Q61">
        <v>85.58</v>
      </c>
      <c r="R61">
        <v>78.83</v>
      </c>
      <c r="S61">
        <v>82.21</v>
      </c>
      <c r="T61">
        <v>94049</v>
      </c>
      <c r="V61" t="str">
        <v>Sijunjung</v>
      </c>
      <c r="W61">
        <v>8.68</v>
      </c>
      <c r="X61">
        <v>8.66</v>
      </c>
      <c r="Y61">
        <v>8.66</v>
      </c>
      <c r="Z61">
        <v>12.74</v>
      </c>
      <c r="AA61">
        <v>13.68</v>
      </c>
      <c r="AB61">
        <v>12.99</v>
      </c>
      <c r="AC61">
        <v>77.44</v>
      </c>
      <c r="AD61">
        <v>73.44</v>
      </c>
      <c r="AE61">
        <v>73.73</v>
      </c>
      <c r="AF61">
        <v>3.62</v>
      </c>
      <c r="AG61">
        <v>5.95</v>
      </c>
      <c r="AH61">
        <v>4.59</v>
      </c>
      <c r="AI61">
        <v>71.2</v>
      </c>
      <c r="AJ61">
        <v>75.510000000000005</v>
      </c>
      <c r="AK61">
        <v>73.3</v>
      </c>
      <c r="AL61">
        <v>87.16</v>
      </c>
      <c r="AM61">
        <v>63.33</v>
      </c>
      <c r="AN61">
        <v>75.25</v>
      </c>
      <c r="AO61">
        <v>249794</v>
      </c>
    </row>
    <row r="62" spans="1:41" x14ac:dyDescent="0.35">
      <c r="A62" t="s">
        <v>61</v>
      </c>
      <c r="B62">
        <v>8.98</v>
      </c>
      <c r="C62">
        <v>9.1</v>
      </c>
      <c r="D62">
        <v>9.06</v>
      </c>
      <c r="E62">
        <v>13.37</v>
      </c>
      <c r="F62">
        <v>14.2</v>
      </c>
      <c r="G62">
        <v>13.38</v>
      </c>
      <c r="H62">
        <v>76.7</v>
      </c>
      <c r="I62">
        <v>73.72</v>
      </c>
      <c r="J62">
        <v>73.72</v>
      </c>
      <c r="K62">
        <v>5.0199999999999996</v>
      </c>
      <c r="L62">
        <v>5.24</v>
      </c>
      <c r="M62">
        <v>5.0999999999999996</v>
      </c>
      <c r="N62">
        <v>71.45</v>
      </c>
      <c r="O62">
        <v>76.03</v>
      </c>
      <c r="P62">
        <v>73.680000000000007</v>
      </c>
      <c r="Q62">
        <v>86.72</v>
      </c>
      <c r="R62">
        <v>54.08</v>
      </c>
      <c r="S62">
        <v>70.400000000000006</v>
      </c>
      <c r="T62">
        <v>540381</v>
      </c>
      <c r="V62" t="str">
        <v>Tanah Datar</v>
      </c>
      <c r="W62">
        <v>9.2100000000000009</v>
      </c>
      <c r="X62">
        <v>9.6</v>
      </c>
      <c r="Y62">
        <v>9.4600000000000009</v>
      </c>
      <c r="Z62">
        <v>14.35</v>
      </c>
      <c r="AA62">
        <v>15.34</v>
      </c>
      <c r="AB62">
        <v>15.06</v>
      </c>
      <c r="AC62">
        <v>77.989999999999995</v>
      </c>
      <c r="AD62">
        <v>76.73</v>
      </c>
      <c r="AE62">
        <v>77.040000000000006</v>
      </c>
      <c r="AF62">
        <v>5.31</v>
      </c>
      <c r="AG62">
        <v>5.2</v>
      </c>
      <c r="AH62">
        <v>5.26</v>
      </c>
      <c r="AI62">
        <v>71.88</v>
      </c>
      <c r="AJ62">
        <v>76.94</v>
      </c>
      <c r="AK62">
        <v>74.349999999999994</v>
      </c>
      <c r="AL62">
        <v>84.45</v>
      </c>
      <c r="AM62">
        <v>61.11</v>
      </c>
      <c r="AN62">
        <v>72.78</v>
      </c>
      <c r="AO62">
        <v>392744</v>
      </c>
    </row>
    <row r="63" spans="1:41" x14ac:dyDescent="0.35">
      <c r="A63" t="s">
        <v>62</v>
      </c>
      <c r="B63">
        <v>8.2799999999999994</v>
      </c>
      <c r="C63">
        <v>8.15</v>
      </c>
      <c r="D63">
        <v>8.25</v>
      </c>
      <c r="E63">
        <v>12.97</v>
      </c>
      <c r="F63">
        <v>14.4</v>
      </c>
      <c r="G63">
        <v>13.66</v>
      </c>
      <c r="H63">
        <v>75.98</v>
      </c>
      <c r="I63">
        <v>73.25</v>
      </c>
      <c r="J63">
        <v>73.260000000000005</v>
      </c>
      <c r="K63">
        <v>3.5</v>
      </c>
      <c r="L63">
        <v>6.26</v>
      </c>
      <c r="M63">
        <v>4.7</v>
      </c>
      <c r="N63">
        <v>70.849999999999994</v>
      </c>
      <c r="O63">
        <v>74.88</v>
      </c>
      <c r="P63">
        <v>72.819999999999993</v>
      </c>
      <c r="Q63">
        <v>87.3</v>
      </c>
      <c r="R63">
        <v>66.95</v>
      </c>
      <c r="S63">
        <v>77.13</v>
      </c>
      <c r="T63">
        <v>415442</v>
      </c>
      <c r="V63" t="str">
        <v>Padang Pariaman</v>
      </c>
      <c r="W63">
        <v>9.07</v>
      </c>
      <c r="X63">
        <v>8.65</v>
      </c>
      <c r="Y63">
        <v>8.7799999999999994</v>
      </c>
      <c r="Z63">
        <v>13.89</v>
      </c>
      <c r="AA63">
        <v>15.08</v>
      </c>
      <c r="AB63">
        <v>14.21</v>
      </c>
      <c r="AC63">
        <v>79.489999999999995</v>
      </c>
      <c r="AD63">
        <v>75.3</v>
      </c>
      <c r="AE63">
        <v>75.709999999999994</v>
      </c>
      <c r="AF63">
        <v>6.37</v>
      </c>
      <c r="AG63">
        <v>6.65</v>
      </c>
      <c r="AH63">
        <v>6.48</v>
      </c>
      <c r="AI63">
        <v>71.680000000000007</v>
      </c>
      <c r="AJ63">
        <v>76.52</v>
      </c>
      <c r="AK63">
        <v>74.040000000000006</v>
      </c>
      <c r="AL63">
        <v>81.28</v>
      </c>
      <c r="AM63">
        <v>53.44</v>
      </c>
      <c r="AN63">
        <v>67.36</v>
      </c>
      <c r="AO63">
        <v>467038</v>
      </c>
    </row>
    <row r="64" spans="1:41" x14ac:dyDescent="0.35">
      <c r="A64" t="s">
        <v>63</v>
      </c>
      <c r="B64">
        <v>8.68</v>
      </c>
      <c r="C64">
        <v>8.66</v>
      </c>
      <c r="D64">
        <v>8.66</v>
      </c>
      <c r="E64">
        <v>12.74</v>
      </c>
      <c r="F64">
        <v>13.68</v>
      </c>
      <c r="G64">
        <v>12.99</v>
      </c>
      <c r="H64">
        <v>77.44</v>
      </c>
      <c r="I64">
        <v>73.44</v>
      </c>
      <c r="J64">
        <v>73.73</v>
      </c>
      <c r="K64">
        <v>3.62</v>
      </c>
      <c r="L64">
        <v>5.95</v>
      </c>
      <c r="M64">
        <v>4.59</v>
      </c>
      <c r="N64">
        <v>71.2</v>
      </c>
      <c r="O64">
        <v>75.510000000000005</v>
      </c>
      <c r="P64">
        <v>73.3</v>
      </c>
      <c r="Q64">
        <v>87.16</v>
      </c>
      <c r="R64">
        <v>63.33</v>
      </c>
      <c r="S64">
        <v>75.25</v>
      </c>
      <c r="T64">
        <v>249794</v>
      </c>
      <c r="V64" t="str">
        <v>Agam</v>
      </c>
      <c r="W64">
        <v>9.14</v>
      </c>
      <c r="X64">
        <v>9.6999999999999993</v>
      </c>
      <c r="Y64">
        <v>9.57</v>
      </c>
      <c r="Z64">
        <v>14.14</v>
      </c>
      <c r="AA64">
        <v>14.92</v>
      </c>
      <c r="AB64">
        <v>14.26</v>
      </c>
      <c r="AC64">
        <v>77.760000000000005</v>
      </c>
      <c r="AD64">
        <v>76.03</v>
      </c>
      <c r="AE64">
        <v>76.040000000000006</v>
      </c>
      <c r="AF64">
        <v>5.05</v>
      </c>
      <c r="AG64">
        <v>4.24</v>
      </c>
      <c r="AH64">
        <v>4.71</v>
      </c>
      <c r="AI64">
        <v>72.069999999999993</v>
      </c>
      <c r="AJ64">
        <v>77.319999999999993</v>
      </c>
      <c r="AK64">
        <v>74.63</v>
      </c>
      <c r="AL64">
        <v>80.91</v>
      </c>
      <c r="AM64">
        <v>58.08</v>
      </c>
      <c r="AN64">
        <v>69.5</v>
      </c>
      <c r="AO64">
        <v>566764</v>
      </c>
    </row>
    <row r="65" spans="1:41" x14ac:dyDescent="0.35">
      <c r="A65" t="s">
        <v>64</v>
      </c>
      <c r="B65">
        <v>9.2100000000000009</v>
      </c>
      <c r="C65">
        <v>9.6</v>
      </c>
      <c r="D65">
        <v>9.4600000000000009</v>
      </c>
      <c r="E65">
        <v>14.35</v>
      </c>
      <c r="F65">
        <v>15.34</v>
      </c>
      <c r="G65">
        <v>15.06</v>
      </c>
      <c r="H65">
        <v>77.989999999999995</v>
      </c>
      <c r="I65">
        <v>76.73</v>
      </c>
      <c r="J65">
        <v>77.040000000000006</v>
      </c>
      <c r="K65">
        <v>5.31</v>
      </c>
      <c r="L65">
        <v>5.2</v>
      </c>
      <c r="M65">
        <v>5.26</v>
      </c>
      <c r="N65">
        <v>71.88</v>
      </c>
      <c r="O65">
        <v>76.94</v>
      </c>
      <c r="P65">
        <v>74.349999999999994</v>
      </c>
      <c r="Q65">
        <v>84.45</v>
      </c>
      <c r="R65">
        <v>61.11</v>
      </c>
      <c r="S65">
        <v>72.78</v>
      </c>
      <c r="T65">
        <v>392744</v>
      </c>
      <c r="V65" t="str">
        <v>Lima Puluh Kota</v>
      </c>
      <c r="W65">
        <v>8.77</v>
      </c>
      <c r="X65">
        <v>8.48</v>
      </c>
      <c r="Y65">
        <v>8.49</v>
      </c>
      <c r="Z65">
        <v>13.25</v>
      </c>
      <c r="AA65">
        <v>14.02</v>
      </c>
      <c r="AB65">
        <v>13.53</v>
      </c>
      <c r="AC65">
        <v>76.7</v>
      </c>
      <c r="AD65">
        <v>73.239999999999995</v>
      </c>
      <c r="AE65">
        <v>73.430000000000007</v>
      </c>
      <c r="AF65">
        <v>3.44</v>
      </c>
      <c r="AG65">
        <v>4.2300000000000004</v>
      </c>
      <c r="AH65">
        <v>3.78</v>
      </c>
      <c r="AI65">
        <v>71.42</v>
      </c>
      <c r="AJ65">
        <v>75.97</v>
      </c>
      <c r="AK65">
        <v>73.64</v>
      </c>
      <c r="AL65">
        <v>85.1</v>
      </c>
      <c r="AM65">
        <v>63.31</v>
      </c>
      <c r="AN65">
        <v>74.209999999999994</v>
      </c>
      <c r="AO65">
        <v>405714</v>
      </c>
    </row>
    <row r="66" spans="1:41" x14ac:dyDescent="0.35">
      <c r="A66" t="s">
        <v>65</v>
      </c>
      <c r="B66">
        <v>9.07</v>
      </c>
      <c r="C66">
        <v>8.65</v>
      </c>
      <c r="D66">
        <v>8.7799999999999994</v>
      </c>
      <c r="E66">
        <v>13.89</v>
      </c>
      <c r="F66">
        <v>15.08</v>
      </c>
      <c r="G66">
        <v>14.21</v>
      </c>
      <c r="H66">
        <v>79.489999999999995</v>
      </c>
      <c r="I66">
        <v>75.3</v>
      </c>
      <c r="J66">
        <v>75.709999999999994</v>
      </c>
      <c r="K66">
        <v>6.37</v>
      </c>
      <c r="L66">
        <v>6.65</v>
      </c>
      <c r="M66">
        <v>6.48</v>
      </c>
      <c r="N66">
        <v>71.680000000000007</v>
      </c>
      <c r="O66">
        <v>76.52</v>
      </c>
      <c r="P66">
        <v>74.040000000000006</v>
      </c>
      <c r="Q66">
        <v>81.28</v>
      </c>
      <c r="R66">
        <v>53.44</v>
      </c>
      <c r="S66">
        <v>67.36</v>
      </c>
      <c r="T66">
        <v>467038</v>
      </c>
      <c r="V66" t="str">
        <v>Pasaman</v>
      </c>
      <c r="W66">
        <v>8.5399999999999991</v>
      </c>
      <c r="X66">
        <v>8.4700000000000006</v>
      </c>
      <c r="Y66">
        <v>8.49</v>
      </c>
      <c r="Z66">
        <v>13.43</v>
      </c>
      <c r="AA66">
        <v>14.34</v>
      </c>
      <c r="AB66">
        <v>13.65</v>
      </c>
      <c r="AC66">
        <v>75.22</v>
      </c>
      <c r="AD66">
        <v>70.16</v>
      </c>
      <c r="AE66">
        <v>71.599999999999994</v>
      </c>
      <c r="AF66">
        <v>4.3</v>
      </c>
      <c r="AG66">
        <v>6.71</v>
      </c>
      <c r="AH66">
        <v>5.29</v>
      </c>
      <c r="AI66">
        <v>70.8</v>
      </c>
      <c r="AJ66">
        <v>74.83</v>
      </c>
      <c r="AK66">
        <v>72.760000000000005</v>
      </c>
      <c r="AL66">
        <v>85.08</v>
      </c>
      <c r="AM66">
        <v>60.13</v>
      </c>
      <c r="AN66">
        <v>72.61</v>
      </c>
      <c r="AO66">
        <v>322934</v>
      </c>
    </row>
    <row r="67" spans="1:41" x14ac:dyDescent="0.35">
      <c r="A67" t="s">
        <v>66</v>
      </c>
      <c r="B67">
        <v>9.14</v>
      </c>
      <c r="C67">
        <v>9.6999999999999993</v>
      </c>
      <c r="D67">
        <v>9.57</v>
      </c>
      <c r="E67">
        <v>14.14</v>
      </c>
      <c r="F67">
        <v>14.92</v>
      </c>
      <c r="G67">
        <v>14.26</v>
      </c>
      <c r="H67">
        <v>77.760000000000005</v>
      </c>
      <c r="I67">
        <v>76.03</v>
      </c>
      <c r="J67">
        <v>76.040000000000006</v>
      </c>
      <c r="K67">
        <v>5.05</v>
      </c>
      <c r="L67">
        <v>4.24</v>
      </c>
      <c r="M67">
        <v>4.71</v>
      </c>
      <c r="N67">
        <v>72.069999999999993</v>
      </c>
      <c r="O67">
        <v>77.319999999999993</v>
      </c>
      <c r="P67">
        <v>74.63</v>
      </c>
      <c r="Q67">
        <v>80.91</v>
      </c>
      <c r="R67">
        <v>58.08</v>
      </c>
      <c r="S67">
        <v>69.5</v>
      </c>
      <c r="T67">
        <v>566764</v>
      </c>
      <c r="V67" t="str">
        <v>Solok Selatan</v>
      </c>
      <c r="W67">
        <v>9.01</v>
      </c>
      <c r="X67">
        <v>9.3000000000000007</v>
      </c>
      <c r="Y67">
        <v>9.1999999999999993</v>
      </c>
      <c r="Z67">
        <v>12.93</v>
      </c>
      <c r="AA67">
        <v>13.72</v>
      </c>
      <c r="AB67">
        <v>13.08</v>
      </c>
      <c r="AC67">
        <v>76.59</v>
      </c>
      <c r="AD67">
        <v>73.36</v>
      </c>
      <c r="AE67">
        <v>74.010000000000005</v>
      </c>
      <c r="AF67">
        <v>1.9</v>
      </c>
      <c r="AG67">
        <v>2.44</v>
      </c>
      <c r="AH67">
        <v>2.13</v>
      </c>
      <c r="AI67">
        <v>70.8</v>
      </c>
      <c r="AJ67">
        <v>74.83</v>
      </c>
      <c r="AK67">
        <v>72.77</v>
      </c>
      <c r="AL67">
        <v>88.84</v>
      </c>
      <c r="AM67">
        <v>66.790000000000006</v>
      </c>
      <c r="AN67">
        <v>77.819999999999993</v>
      </c>
      <c r="AO67">
        <v>198514</v>
      </c>
    </row>
    <row r="68" spans="1:41" x14ac:dyDescent="0.35">
      <c r="A68" t="s">
        <v>67</v>
      </c>
      <c r="B68">
        <v>8.77</v>
      </c>
      <c r="C68">
        <v>8.48</v>
      </c>
      <c r="D68">
        <v>8.49</v>
      </c>
      <c r="E68">
        <v>13.25</v>
      </c>
      <c r="F68">
        <v>14.02</v>
      </c>
      <c r="G68">
        <v>13.53</v>
      </c>
      <c r="H68">
        <v>76.7</v>
      </c>
      <c r="I68">
        <v>73.239999999999995</v>
      </c>
      <c r="J68">
        <v>73.430000000000007</v>
      </c>
      <c r="K68">
        <v>3.44</v>
      </c>
      <c r="L68">
        <v>4.2300000000000004</v>
      </c>
      <c r="M68">
        <v>3.78</v>
      </c>
      <c r="N68">
        <v>71.42</v>
      </c>
      <c r="O68">
        <v>75.97</v>
      </c>
      <c r="P68">
        <v>73.64</v>
      </c>
      <c r="Q68">
        <v>85.1</v>
      </c>
      <c r="R68">
        <v>63.31</v>
      </c>
      <c r="S68">
        <v>74.209999999999994</v>
      </c>
      <c r="T68">
        <v>405714</v>
      </c>
      <c r="V68" t="str">
        <v>Dharmasraya</v>
      </c>
      <c r="W68">
        <v>9.2799999999999994</v>
      </c>
      <c r="X68">
        <v>9.31</v>
      </c>
      <c r="Y68">
        <v>9.31</v>
      </c>
      <c r="Z68">
        <v>12.59</v>
      </c>
      <c r="AA68">
        <v>13.45</v>
      </c>
      <c r="AB68">
        <v>13.02</v>
      </c>
      <c r="AC68">
        <v>79.3</v>
      </c>
      <c r="AD68">
        <v>71.87</v>
      </c>
      <c r="AE68">
        <v>75.7</v>
      </c>
      <c r="AF68">
        <v>5.0999999999999996</v>
      </c>
      <c r="AG68">
        <v>6.13</v>
      </c>
      <c r="AH68">
        <v>5.51</v>
      </c>
      <c r="AI68">
        <v>71.87</v>
      </c>
      <c r="AJ68">
        <v>76.92</v>
      </c>
      <c r="AK68">
        <v>74.34</v>
      </c>
      <c r="AL68">
        <v>89.35</v>
      </c>
      <c r="AM68">
        <v>59.4</v>
      </c>
      <c r="AN68">
        <v>74.38</v>
      </c>
      <c r="AO68">
        <v>248105</v>
      </c>
    </row>
    <row r="69" spans="1:41" x14ac:dyDescent="0.35">
      <c r="A69" t="s">
        <v>68</v>
      </c>
      <c r="B69">
        <v>8.5399999999999991</v>
      </c>
      <c r="C69">
        <v>8.4700000000000006</v>
      </c>
      <c r="D69">
        <v>8.49</v>
      </c>
      <c r="E69">
        <v>13.43</v>
      </c>
      <c r="F69">
        <v>14.34</v>
      </c>
      <c r="G69">
        <v>13.65</v>
      </c>
      <c r="H69">
        <v>75.22</v>
      </c>
      <c r="I69">
        <v>70.16</v>
      </c>
      <c r="J69">
        <v>71.599999999999994</v>
      </c>
      <c r="K69">
        <v>4.3</v>
      </c>
      <c r="L69">
        <v>6.71</v>
      </c>
      <c r="M69">
        <v>5.29</v>
      </c>
      <c r="N69">
        <v>70.8</v>
      </c>
      <c r="O69">
        <v>74.83</v>
      </c>
      <c r="P69">
        <v>72.760000000000005</v>
      </c>
      <c r="Q69">
        <v>85.08</v>
      </c>
      <c r="R69">
        <v>60.13</v>
      </c>
      <c r="S69">
        <v>72.61</v>
      </c>
      <c r="T69">
        <v>322934</v>
      </c>
      <c r="V69" t="str">
        <v>Pasaman Barat</v>
      </c>
      <c r="W69">
        <v>9.3000000000000007</v>
      </c>
      <c r="X69">
        <v>9.1999999999999993</v>
      </c>
      <c r="Y69">
        <v>9.2799999999999994</v>
      </c>
      <c r="Z69">
        <v>13.26</v>
      </c>
      <c r="AA69">
        <v>14.33</v>
      </c>
      <c r="AB69">
        <v>13.73</v>
      </c>
      <c r="AC69">
        <v>77.33</v>
      </c>
      <c r="AD69">
        <v>70.2</v>
      </c>
      <c r="AE69">
        <v>73.69</v>
      </c>
      <c r="AF69">
        <v>5.71</v>
      </c>
      <c r="AG69">
        <v>6.3</v>
      </c>
      <c r="AH69">
        <v>5.95</v>
      </c>
      <c r="AI69">
        <v>71.12</v>
      </c>
      <c r="AJ69">
        <v>75.33</v>
      </c>
      <c r="AK69">
        <v>73.17</v>
      </c>
      <c r="AL69">
        <v>80.3</v>
      </c>
      <c r="AM69">
        <v>55.61</v>
      </c>
      <c r="AN69">
        <v>67.959999999999994</v>
      </c>
      <c r="AO69">
        <v>462786</v>
      </c>
    </row>
    <row r="70" spans="1:41" x14ac:dyDescent="0.35">
      <c r="A70" t="s">
        <v>69</v>
      </c>
      <c r="B70">
        <v>9.01</v>
      </c>
      <c r="C70">
        <v>9.3000000000000007</v>
      </c>
      <c r="D70">
        <v>9.1999999999999993</v>
      </c>
      <c r="E70">
        <v>12.93</v>
      </c>
      <c r="F70">
        <v>13.72</v>
      </c>
      <c r="G70">
        <v>13.08</v>
      </c>
      <c r="H70">
        <v>76.59</v>
      </c>
      <c r="I70">
        <v>73.36</v>
      </c>
      <c r="J70">
        <v>74.010000000000005</v>
      </c>
      <c r="K70">
        <v>1.9</v>
      </c>
      <c r="L70">
        <v>2.44</v>
      </c>
      <c r="M70">
        <v>2.13</v>
      </c>
      <c r="N70">
        <v>70.8</v>
      </c>
      <c r="O70">
        <v>74.83</v>
      </c>
      <c r="P70">
        <v>72.77</v>
      </c>
      <c r="Q70">
        <v>88.84</v>
      </c>
      <c r="R70">
        <v>66.790000000000006</v>
      </c>
      <c r="S70">
        <v>77.819999999999993</v>
      </c>
      <c r="T70">
        <v>198514</v>
      </c>
      <c r="V70" t="str">
        <v>Kota Padang</v>
      </c>
      <c r="W70">
        <v>11.73</v>
      </c>
      <c r="X70">
        <v>11.63</v>
      </c>
      <c r="Y70">
        <v>11.64</v>
      </c>
      <c r="Z70">
        <v>16.38</v>
      </c>
      <c r="AA70">
        <v>16.920000000000002</v>
      </c>
      <c r="AB70">
        <v>16.579999999999998</v>
      </c>
      <c r="AC70">
        <v>88.54</v>
      </c>
      <c r="AD70">
        <v>83.94</v>
      </c>
      <c r="AE70">
        <v>84.93</v>
      </c>
      <c r="AF70">
        <v>8.31</v>
      </c>
      <c r="AG70">
        <v>11.6</v>
      </c>
      <c r="AH70">
        <v>9.6999999999999993</v>
      </c>
      <c r="AI70">
        <v>72.83</v>
      </c>
      <c r="AJ70">
        <v>77.75</v>
      </c>
      <c r="AK70">
        <v>75.59</v>
      </c>
      <c r="AL70">
        <v>78.17</v>
      </c>
      <c r="AM70">
        <v>56.45</v>
      </c>
      <c r="AN70">
        <v>67.31</v>
      </c>
      <c r="AO70">
        <v>965052</v>
      </c>
    </row>
    <row r="71" spans="1:41" x14ac:dyDescent="0.35">
      <c r="A71" t="s">
        <v>70</v>
      </c>
      <c r="B71">
        <v>9.2799999999999994</v>
      </c>
      <c r="C71">
        <v>9.31</v>
      </c>
      <c r="D71">
        <v>9.31</v>
      </c>
      <c r="E71">
        <v>12.59</v>
      </c>
      <c r="F71">
        <v>13.45</v>
      </c>
      <c r="G71">
        <v>13.02</v>
      </c>
      <c r="H71">
        <v>79.3</v>
      </c>
      <c r="I71">
        <v>71.87</v>
      </c>
      <c r="J71">
        <v>75.7</v>
      </c>
      <c r="K71">
        <v>5.0999999999999996</v>
      </c>
      <c r="L71">
        <v>6.13</v>
      </c>
      <c r="M71">
        <v>5.51</v>
      </c>
      <c r="N71">
        <v>71.87</v>
      </c>
      <c r="O71">
        <v>76.92</v>
      </c>
      <c r="P71">
        <v>74.34</v>
      </c>
      <c r="Q71">
        <v>89.35</v>
      </c>
      <c r="R71">
        <v>59.4</v>
      </c>
      <c r="S71">
        <v>74.38</v>
      </c>
      <c r="T71">
        <v>248105</v>
      </c>
      <c r="V71" t="str">
        <v>Kota Solok</v>
      </c>
      <c r="W71">
        <v>11.26</v>
      </c>
      <c r="X71">
        <v>11.54</v>
      </c>
      <c r="Y71">
        <v>11.38</v>
      </c>
      <c r="Z71">
        <v>14.34</v>
      </c>
      <c r="AA71">
        <v>15.02</v>
      </c>
      <c r="AB71">
        <v>14.59</v>
      </c>
      <c r="AC71">
        <v>83.03</v>
      </c>
      <c r="AD71">
        <v>80.61</v>
      </c>
      <c r="AE71">
        <v>80.900000000000006</v>
      </c>
      <c r="AF71">
        <v>3.94</v>
      </c>
      <c r="AG71">
        <v>3.76</v>
      </c>
      <c r="AH71">
        <v>3.87</v>
      </c>
      <c r="AI71">
        <v>73.349999999999994</v>
      </c>
      <c r="AJ71">
        <v>77.56</v>
      </c>
      <c r="AK71">
        <v>75.3</v>
      </c>
      <c r="AL71">
        <v>81.89</v>
      </c>
      <c r="AM71">
        <v>58.72</v>
      </c>
      <c r="AN71">
        <v>70.31</v>
      </c>
      <c r="AO71">
        <v>81059</v>
      </c>
    </row>
    <row r="72" spans="1:41" x14ac:dyDescent="0.35">
      <c r="A72" t="s">
        <v>71</v>
      </c>
      <c r="B72">
        <v>9.3000000000000007</v>
      </c>
      <c r="C72">
        <v>9.1999999999999993</v>
      </c>
      <c r="D72">
        <v>9.2799999999999994</v>
      </c>
      <c r="E72">
        <v>13.26</v>
      </c>
      <c r="F72">
        <v>14.33</v>
      </c>
      <c r="G72">
        <v>13.73</v>
      </c>
      <c r="H72">
        <v>77.33</v>
      </c>
      <c r="I72">
        <v>70.2</v>
      </c>
      <c r="J72">
        <v>73.69</v>
      </c>
      <c r="K72">
        <v>5.71</v>
      </c>
      <c r="L72">
        <v>6.3</v>
      </c>
      <c r="M72">
        <v>5.95</v>
      </c>
      <c r="N72">
        <v>71.12</v>
      </c>
      <c r="O72">
        <v>75.33</v>
      </c>
      <c r="P72">
        <v>73.17</v>
      </c>
      <c r="Q72">
        <v>80.3</v>
      </c>
      <c r="R72">
        <v>55.61</v>
      </c>
      <c r="S72">
        <v>67.959999999999994</v>
      </c>
      <c r="T72">
        <v>462786</v>
      </c>
      <c r="V72" t="str">
        <v>Kota Sawah Lunto</v>
      </c>
      <c r="W72">
        <v>10.42</v>
      </c>
      <c r="X72">
        <v>10.69</v>
      </c>
      <c r="Y72">
        <v>10.54</v>
      </c>
      <c r="Z72">
        <v>13.8</v>
      </c>
      <c r="AA72">
        <v>14.43</v>
      </c>
      <c r="AB72">
        <v>13.89</v>
      </c>
      <c r="AC72">
        <v>79.959999999999994</v>
      </c>
      <c r="AD72">
        <v>77.040000000000006</v>
      </c>
      <c r="AE72">
        <v>77.05</v>
      </c>
      <c r="AF72">
        <v>4.57</v>
      </c>
      <c r="AG72">
        <v>4.7300000000000004</v>
      </c>
      <c r="AH72">
        <v>4.6399999999999997</v>
      </c>
      <c r="AI72">
        <v>71.790000000000006</v>
      </c>
      <c r="AJ72">
        <v>76.75</v>
      </c>
      <c r="AK72">
        <v>74.209999999999994</v>
      </c>
      <c r="AL72">
        <v>83.1</v>
      </c>
      <c r="AM72">
        <v>64.900000000000006</v>
      </c>
      <c r="AN72">
        <v>74</v>
      </c>
      <c r="AO72">
        <v>69695</v>
      </c>
    </row>
    <row r="73" spans="1:41" x14ac:dyDescent="0.35">
      <c r="A73" t="s">
        <v>72</v>
      </c>
      <c r="B73">
        <v>11.73</v>
      </c>
      <c r="C73">
        <v>11.63</v>
      </c>
      <c r="D73">
        <v>11.64</v>
      </c>
      <c r="E73">
        <v>16.38</v>
      </c>
      <c r="F73">
        <v>16.920000000000002</v>
      </c>
      <c r="G73">
        <v>16.579999999999998</v>
      </c>
      <c r="H73">
        <v>88.54</v>
      </c>
      <c r="I73">
        <v>83.94</v>
      </c>
      <c r="J73">
        <v>84.93</v>
      </c>
      <c r="K73">
        <v>8.31</v>
      </c>
      <c r="L73">
        <v>11.6</v>
      </c>
      <c r="M73">
        <v>9.6999999999999993</v>
      </c>
      <c r="N73">
        <v>72.83</v>
      </c>
      <c r="O73">
        <v>77.75</v>
      </c>
      <c r="P73">
        <v>75.59</v>
      </c>
      <c r="Q73">
        <v>78.17</v>
      </c>
      <c r="R73">
        <v>56.45</v>
      </c>
      <c r="S73">
        <v>67.31</v>
      </c>
      <c r="T73">
        <v>965052</v>
      </c>
      <c r="V73" t="str">
        <v>Kota Padang Panjang</v>
      </c>
      <c r="W73">
        <v>11.71</v>
      </c>
      <c r="X73">
        <v>12.24</v>
      </c>
      <c r="Y73">
        <v>12.01</v>
      </c>
      <c r="Z73">
        <v>15.36</v>
      </c>
      <c r="AA73">
        <v>16.36</v>
      </c>
      <c r="AB73">
        <v>15.74</v>
      </c>
      <c r="AC73">
        <v>81.319999999999993</v>
      </c>
      <c r="AD73">
        <v>80.06</v>
      </c>
      <c r="AE73">
        <v>81.319999999999993</v>
      </c>
      <c r="AF73">
        <v>5.01</v>
      </c>
      <c r="AG73">
        <v>5.15</v>
      </c>
      <c r="AH73">
        <v>5.07</v>
      </c>
      <c r="AI73">
        <v>72.27</v>
      </c>
      <c r="AJ73">
        <v>77.16</v>
      </c>
      <c r="AK73">
        <v>74.86</v>
      </c>
      <c r="AL73">
        <v>77.84</v>
      </c>
      <c r="AM73">
        <v>60.59</v>
      </c>
      <c r="AN73">
        <v>69.22</v>
      </c>
      <c r="AO73">
        <v>60264</v>
      </c>
    </row>
    <row r="74" spans="1:41" x14ac:dyDescent="0.35">
      <c r="A74" t="s">
        <v>73</v>
      </c>
      <c r="B74">
        <v>11.26</v>
      </c>
      <c r="C74">
        <v>11.54</v>
      </c>
      <c r="D74">
        <v>11.38</v>
      </c>
      <c r="E74">
        <v>14.34</v>
      </c>
      <c r="F74">
        <v>15.02</v>
      </c>
      <c r="G74">
        <v>14.59</v>
      </c>
      <c r="H74">
        <v>83.03</v>
      </c>
      <c r="I74">
        <v>80.61</v>
      </c>
      <c r="J74">
        <v>80.900000000000006</v>
      </c>
      <c r="K74">
        <v>3.94</v>
      </c>
      <c r="L74">
        <v>3.76</v>
      </c>
      <c r="M74">
        <v>3.87</v>
      </c>
      <c r="N74">
        <v>73.349999999999994</v>
      </c>
      <c r="O74">
        <v>77.56</v>
      </c>
      <c r="P74">
        <v>75.3</v>
      </c>
      <c r="Q74">
        <v>81.89</v>
      </c>
      <c r="R74">
        <v>58.72</v>
      </c>
      <c r="S74">
        <v>70.31</v>
      </c>
      <c r="T74">
        <v>81059</v>
      </c>
      <c r="V74" t="str">
        <v>Kota Bukittinggi</v>
      </c>
      <c r="W74">
        <v>11.48</v>
      </c>
      <c r="X74">
        <v>11.82</v>
      </c>
      <c r="Y74">
        <v>11.66</v>
      </c>
      <c r="Z74">
        <v>14.8</v>
      </c>
      <c r="AA74">
        <v>15.54</v>
      </c>
      <c r="AB74">
        <v>15.29</v>
      </c>
      <c r="AC74">
        <v>83.38</v>
      </c>
      <c r="AD74">
        <v>83.04</v>
      </c>
      <c r="AE74">
        <v>83.05</v>
      </c>
      <c r="AF74">
        <v>4.5999999999999996</v>
      </c>
      <c r="AG74">
        <v>4.1500000000000004</v>
      </c>
      <c r="AH74">
        <v>4.41</v>
      </c>
      <c r="AI74">
        <v>74.19</v>
      </c>
      <c r="AJ74">
        <v>79.05</v>
      </c>
      <c r="AK74">
        <v>76.06</v>
      </c>
      <c r="AL74">
        <v>81.99</v>
      </c>
      <c r="AM74">
        <v>58.85</v>
      </c>
      <c r="AN74">
        <v>70.42</v>
      </c>
      <c r="AO74">
        <v>125920</v>
      </c>
    </row>
    <row r="75" spans="1:41" x14ac:dyDescent="0.35">
      <c r="A75" t="s">
        <v>74</v>
      </c>
      <c r="B75">
        <v>10.42</v>
      </c>
      <c r="C75">
        <v>10.69</v>
      </c>
      <c r="D75">
        <v>10.54</v>
      </c>
      <c r="E75">
        <v>13.8</v>
      </c>
      <c r="F75">
        <v>14.43</v>
      </c>
      <c r="G75">
        <v>13.89</v>
      </c>
      <c r="H75">
        <v>79.959999999999994</v>
      </c>
      <c r="I75">
        <v>77.040000000000006</v>
      </c>
      <c r="J75">
        <v>77.05</v>
      </c>
      <c r="K75">
        <v>4.57</v>
      </c>
      <c r="L75">
        <v>4.7300000000000004</v>
      </c>
      <c r="M75">
        <v>4.6399999999999997</v>
      </c>
      <c r="N75">
        <v>71.790000000000006</v>
      </c>
      <c r="O75">
        <v>76.75</v>
      </c>
      <c r="P75">
        <v>74.209999999999994</v>
      </c>
      <c r="Q75">
        <v>83.1</v>
      </c>
      <c r="R75">
        <v>64.900000000000006</v>
      </c>
      <c r="S75">
        <v>74</v>
      </c>
      <c r="T75">
        <v>69695</v>
      </c>
      <c r="V75" t="str">
        <v>Kota Payakumbuh</v>
      </c>
      <c r="W75">
        <v>10.85</v>
      </c>
      <c r="X75">
        <v>11.23</v>
      </c>
      <c r="Y75">
        <v>11.08</v>
      </c>
      <c r="Z75">
        <v>14.46</v>
      </c>
      <c r="AA75">
        <v>15.15</v>
      </c>
      <c r="AB75">
        <v>14.79</v>
      </c>
      <c r="AC75">
        <v>82.45</v>
      </c>
      <c r="AD75">
        <v>81.62</v>
      </c>
      <c r="AE75">
        <v>81.62</v>
      </c>
      <c r="AF75">
        <v>4.9800000000000004</v>
      </c>
      <c r="AG75">
        <v>4.9400000000000004</v>
      </c>
      <c r="AH75">
        <v>4.96</v>
      </c>
      <c r="AI75">
        <v>73.61</v>
      </c>
      <c r="AJ75">
        <v>77.7</v>
      </c>
      <c r="AK75">
        <v>75.540000000000006</v>
      </c>
      <c r="AL75">
        <v>81.38</v>
      </c>
      <c r="AM75">
        <v>62.51</v>
      </c>
      <c r="AN75">
        <v>71.95</v>
      </c>
      <c r="AO75">
        <v>148597</v>
      </c>
    </row>
    <row r="76" spans="1:41" x14ac:dyDescent="0.35">
      <c r="A76" t="s">
        <v>75</v>
      </c>
      <c r="B76">
        <v>11.71</v>
      </c>
      <c r="C76">
        <v>12.24</v>
      </c>
      <c r="D76">
        <v>12.01</v>
      </c>
      <c r="E76">
        <v>15.36</v>
      </c>
      <c r="F76">
        <v>16.36</v>
      </c>
      <c r="G76">
        <v>15.74</v>
      </c>
      <c r="H76">
        <v>81.319999999999993</v>
      </c>
      <c r="I76">
        <v>80.06</v>
      </c>
      <c r="J76">
        <v>81.319999999999993</v>
      </c>
      <c r="K76">
        <v>5.01</v>
      </c>
      <c r="L76">
        <v>5.15</v>
      </c>
      <c r="M76">
        <v>5.07</v>
      </c>
      <c r="N76">
        <v>72.27</v>
      </c>
      <c r="O76">
        <v>77.16</v>
      </c>
      <c r="P76">
        <v>74.86</v>
      </c>
      <c r="Q76">
        <v>77.84</v>
      </c>
      <c r="R76">
        <v>60.59</v>
      </c>
      <c r="S76">
        <v>69.22</v>
      </c>
      <c r="T76">
        <v>60264</v>
      </c>
      <c r="V76" t="str">
        <v>Kota Pariaman</v>
      </c>
      <c r="W76">
        <v>11.17</v>
      </c>
      <c r="X76">
        <v>11.41</v>
      </c>
      <c r="Y76">
        <v>11.32</v>
      </c>
      <c r="Z76">
        <v>14.76</v>
      </c>
      <c r="AA76">
        <v>15.55</v>
      </c>
      <c r="AB76">
        <v>14.81</v>
      </c>
      <c r="AC76">
        <v>82.17</v>
      </c>
      <c r="AD76">
        <v>81.27</v>
      </c>
      <c r="AE76">
        <v>81.27</v>
      </c>
      <c r="AF76">
        <v>5.23</v>
      </c>
      <c r="AG76">
        <v>5.07</v>
      </c>
      <c r="AH76">
        <v>5.16</v>
      </c>
      <c r="AI76">
        <v>72.06</v>
      </c>
      <c r="AJ76">
        <v>77.319999999999993</v>
      </c>
      <c r="AK76">
        <v>74.62</v>
      </c>
      <c r="AL76">
        <v>82.54</v>
      </c>
      <c r="AM76">
        <v>63.28</v>
      </c>
      <c r="AN76">
        <v>72.91</v>
      </c>
      <c r="AO76">
        <v>99444</v>
      </c>
    </row>
    <row r="77" spans="1:41" x14ac:dyDescent="0.35">
      <c r="A77" t="s">
        <v>76</v>
      </c>
      <c r="B77">
        <v>11.48</v>
      </c>
      <c r="C77">
        <v>11.82</v>
      </c>
      <c r="D77">
        <v>11.66</v>
      </c>
      <c r="E77">
        <v>14.8</v>
      </c>
      <c r="F77">
        <v>15.54</v>
      </c>
      <c r="G77">
        <v>15.29</v>
      </c>
      <c r="H77">
        <v>83.38</v>
      </c>
      <c r="I77">
        <v>83.04</v>
      </c>
      <c r="J77">
        <v>83.05</v>
      </c>
      <c r="K77">
        <v>4.5999999999999996</v>
      </c>
      <c r="L77">
        <v>4.1500000000000004</v>
      </c>
      <c r="M77">
        <v>4.41</v>
      </c>
      <c r="N77">
        <v>74.19</v>
      </c>
      <c r="O77">
        <v>79.05</v>
      </c>
      <c r="P77">
        <v>76.06</v>
      </c>
      <c r="Q77">
        <v>81.99</v>
      </c>
      <c r="R77">
        <v>58.85</v>
      </c>
      <c r="S77">
        <v>70.42</v>
      </c>
      <c r="T77">
        <v>125920</v>
      </c>
      <c r="V77" t="str">
        <v>Kuantan Singingi</v>
      </c>
      <c r="W77">
        <v>9.61</v>
      </c>
      <c r="X77">
        <v>9.15</v>
      </c>
      <c r="Y77">
        <v>9.33</v>
      </c>
      <c r="Z77">
        <v>13.17</v>
      </c>
      <c r="AA77">
        <v>13.73</v>
      </c>
      <c r="AB77">
        <v>13.39</v>
      </c>
      <c r="AC77">
        <v>78.7</v>
      </c>
      <c r="AD77">
        <v>71.680000000000007</v>
      </c>
      <c r="AE77">
        <v>74.62</v>
      </c>
      <c r="AF77">
        <v>2.72</v>
      </c>
      <c r="AG77">
        <v>3.06</v>
      </c>
      <c r="AH77">
        <v>2.84</v>
      </c>
      <c r="AI77">
        <v>71.23</v>
      </c>
      <c r="AJ77">
        <v>75.56</v>
      </c>
      <c r="AK77">
        <v>73.34</v>
      </c>
      <c r="AL77">
        <v>84.77</v>
      </c>
      <c r="AM77">
        <v>47.33</v>
      </c>
      <c r="AN77">
        <v>66.05</v>
      </c>
      <c r="AO77">
        <v>352777</v>
      </c>
    </row>
    <row r="78" spans="1:41" x14ac:dyDescent="0.35">
      <c r="A78" t="s">
        <v>77</v>
      </c>
      <c r="B78">
        <v>10.85</v>
      </c>
      <c r="C78">
        <v>11.23</v>
      </c>
      <c r="D78">
        <v>11.08</v>
      </c>
      <c r="E78">
        <v>14.46</v>
      </c>
      <c r="F78">
        <v>15.15</v>
      </c>
      <c r="G78">
        <v>14.79</v>
      </c>
      <c r="H78">
        <v>82.45</v>
      </c>
      <c r="I78">
        <v>81.62</v>
      </c>
      <c r="J78">
        <v>81.62</v>
      </c>
      <c r="K78">
        <v>4.9800000000000004</v>
      </c>
      <c r="L78">
        <v>4.9400000000000004</v>
      </c>
      <c r="M78">
        <v>4.96</v>
      </c>
      <c r="N78">
        <v>73.61</v>
      </c>
      <c r="O78">
        <v>77.7</v>
      </c>
      <c r="P78">
        <v>75.540000000000006</v>
      </c>
      <c r="Q78">
        <v>81.38</v>
      </c>
      <c r="R78">
        <v>62.51</v>
      </c>
      <c r="S78">
        <v>71.95</v>
      </c>
      <c r="T78">
        <v>148597</v>
      </c>
      <c r="V78" t="str">
        <v>Indragiri Hulu</v>
      </c>
      <c r="W78">
        <v>8.89</v>
      </c>
      <c r="X78">
        <v>8.5500000000000007</v>
      </c>
      <c r="Y78">
        <v>8.6199999999999992</v>
      </c>
      <c r="Z78">
        <v>12.54</v>
      </c>
      <c r="AA78">
        <v>13.14</v>
      </c>
      <c r="AB78">
        <v>12.78</v>
      </c>
      <c r="AC78">
        <v>77.81</v>
      </c>
      <c r="AD78">
        <v>68.56</v>
      </c>
      <c r="AE78">
        <v>73.48</v>
      </c>
      <c r="AF78">
        <v>2.14</v>
      </c>
      <c r="AG78">
        <v>3.47</v>
      </c>
      <c r="AH78">
        <v>2.59</v>
      </c>
      <c r="AI78">
        <v>71.64</v>
      </c>
      <c r="AJ78">
        <v>76.42</v>
      </c>
      <c r="AK78">
        <v>73.97</v>
      </c>
      <c r="AL78">
        <v>87.12</v>
      </c>
      <c r="AM78">
        <v>46.23</v>
      </c>
      <c r="AN78">
        <v>66.680000000000007</v>
      </c>
      <c r="AO78">
        <v>474398</v>
      </c>
    </row>
    <row r="79" spans="1:41" x14ac:dyDescent="0.35">
      <c r="A79" t="s">
        <v>78</v>
      </c>
      <c r="B79">
        <v>11.17</v>
      </c>
      <c r="C79">
        <v>11.41</v>
      </c>
      <c r="D79">
        <v>11.32</v>
      </c>
      <c r="E79">
        <v>14.76</v>
      </c>
      <c r="F79">
        <v>15.55</v>
      </c>
      <c r="G79">
        <v>14.81</v>
      </c>
      <c r="H79">
        <v>82.17</v>
      </c>
      <c r="I79">
        <v>81.27</v>
      </c>
      <c r="J79">
        <v>81.27</v>
      </c>
      <c r="K79">
        <v>5.23</v>
      </c>
      <c r="L79">
        <v>5.07</v>
      </c>
      <c r="M79">
        <v>5.16</v>
      </c>
      <c r="N79">
        <v>72.06</v>
      </c>
      <c r="O79">
        <v>77.319999999999993</v>
      </c>
      <c r="P79">
        <v>74.62</v>
      </c>
      <c r="Q79">
        <v>82.54</v>
      </c>
      <c r="R79">
        <v>63.28</v>
      </c>
      <c r="S79">
        <v>72.91</v>
      </c>
      <c r="T79">
        <v>99444</v>
      </c>
      <c r="V79" t="str">
        <v>Indragiri Hilir</v>
      </c>
      <c r="W79">
        <v>7.57</v>
      </c>
      <c r="X79">
        <v>7.49</v>
      </c>
      <c r="Y79">
        <v>7.49</v>
      </c>
      <c r="Z79">
        <v>12.23</v>
      </c>
      <c r="AA79">
        <v>12.88</v>
      </c>
      <c r="AB79">
        <v>12.39</v>
      </c>
      <c r="AC79">
        <v>75.33</v>
      </c>
      <c r="AD79">
        <v>63.8</v>
      </c>
      <c r="AE79">
        <v>70.739999999999995</v>
      </c>
      <c r="AF79">
        <v>2.36</v>
      </c>
      <c r="AG79">
        <v>4.3499999999999996</v>
      </c>
      <c r="AH79">
        <v>3</v>
      </c>
      <c r="AI79">
        <v>70.59</v>
      </c>
      <c r="AJ79">
        <v>74.61</v>
      </c>
      <c r="AK79">
        <v>72.55</v>
      </c>
      <c r="AL79">
        <v>84.8</v>
      </c>
      <c r="AM79">
        <v>43.41</v>
      </c>
      <c r="AN79">
        <v>64.11</v>
      </c>
      <c r="AO79">
        <v>692189</v>
      </c>
    </row>
    <row r="80" spans="1:41" x14ac:dyDescent="0.35">
      <c r="A80" t="s">
        <v>92</v>
      </c>
      <c r="B80">
        <v>9.6199999999999992</v>
      </c>
      <c r="C80">
        <v>9.48</v>
      </c>
      <c r="D80">
        <v>9.5500000000000007</v>
      </c>
      <c r="E80">
        <v>13.34</v>
      </c>
      <c r="F80">
        <v>13.71</v>
      </c>
      <c r="G80">
        <v>13.44</v>
      </c>
      <c r="H80">
        <v>80.06</v>
      </c>
      <c r="I80">
        <v>72.41</v>
      </c>
      <c r="J80">
        <v>76.31</v>
      </c>
      <c r="K80">
        <v>3.81</v>
      </c>
      <c r="L80">
        <v>4.8</v>
      </c>
      <c r="M80">
        <v>4.16</v>
      </c>
      <c r="N80">
        <v>72.13</v>
      </c>
      <c r="O80">
        <v>77.47</v>
      </c>
      <c r="P80">
        <v>74.739999999999995</v>
      </c>
      <c r="Q80">
        <v>84.68</v>
      </c>
      <c r="R80">
        <v>47.68</v>
      </c>
      <c r="S80">
        <v>66.180000000000007</v>
      </c>
      <c r="T80">
        <v>6811158</v>
      </c>
      <c r="V80" t="str">
        <v>Pelalawan</v>
      </c>
      <c r="W80">
        <v>9.18</v>
      </c>
      <c r="X80">
        <v>8.8699999999999992</v>
      </c>
      <c r="Y80">
        <v>8.9700000000000006</v>
      </c>
      <c r="Z80">
        <v>12.58</v>
      </c>
      <c r="AA80">
        <v>13.08</v>
      </c>
      <c r="AB80">
        <v>12.92</v>
      </c>
      <c r="AC80">
        <v>79.930000000000007</v>
      </c>
      <c r="AD80">
        <v>72.34</v>
      </c>
      <c r="AE80">
        <v>75.8</v>
      </c>
      <c r="AF80">
        <v>2.0099999999999998</v>
      </c>
      <c r="AG80">
        <v>3.15</v>
      </c>
      <c r="AH80">
        <v>2.42</v>
      </c>
      <c r="AI80">
        <v>72.33</v>
      </c>
      <c r="AJ80">
        <v>77.760000000000005</v>
      </c>
      <c r="AK80">
        <v>74.98</v>
      </c>
      <c r="AL80">
        <v>88.39</v>
      </c>
      <c r="AM80">
        <v>51.11</v>
      </c>
      <c r="AN80">
        <v>69.75</v>
      </c>
      <c r="AO80">
        <v>421237</v>
      </c>
    </row>
    <row r="81" spans="1:41" x14ac:dyDescent="0.35">
      <c r="A81" t="s">
        <v>80</v>
      </c>
      <c r="B81">
        <v>9.61</v>
      </c>
      <c r="C81">
        <v>9.15</v>
      </c>
      <c r="D81">
        <v>9.33</v>
      </c>
      <c r="E81">
        <v>13.17</v>
      </c>
      <c r="F81">
        <v>13.73</v>
      </c>
      <c r="G81">
        <v>13.39</v>
      </c>
      <c r="H81">
        <v>78.7</v>
      </c>
      <c r="I81">
        <v>71.680000000000007</v>
      </c>
      <c r="J81">
        <v>74.62</v>
      </c>
      <c r="K81">
        <v>2.72</v>
      </c>
      <c r="L81">
        <v>3.06</v>
      </c>
      <c r="M81">
        <v>2.84</v>
      </c>
      <c r="N81">
        <v>71.23</v>
      </c>
      <c r="O81">
        <v>75.56</v>
      </c>
      <c r="P81">
        <v>73.34</v>
      </c>
      <c r="Q81">
        <v>84.77</v>
      </c>
      <c r="R81">
        <v>47.33</v>
      </c>
      <c r="S81">
        <v>66.05</v>
      </c>
      <c r="T81">
        <v>352777</v>
      </c>
      <c r="V81" t="str">
        <v>Siak</v>
      </c>
      <c r="W81">
        <v>10.11</v>
      </c>
      <c r="X81">
        <v>9.9</v>
      </c>
      <c r="Y81">
        <v>9.93</v>
      </c>
      <c r="Z81">
        <v>13.27</v>
      </c>
      <c r="AA81">
        <v>13.02</v>
      </c>
      <c r="AB81">
        <v>13.02</v>
      </c>
      <c r="AC81">
        <v>81.69</v>
      </c>
      <c r="AD81">
        <v>73.53</v>
      </c>
      <c r="AE81">
        <v>77.19</v>
      </c>
      <c r="AF81">
        <v>3.87</v>
      </c>
      <c r="AG81">
        <v>8.24</v>
      </c>
      <c r="AH81">
        <v>5.3</v>
      </c>
      <c r="AI81">
        <v>71.88</v>
      </c>
      <c r="AJ81">
        <v>76.92</v>
      </c>
      <c r="AK81">
        <v>74.34</v>
      </c>
      <c r="AL81">
        <v>85.44</v>
      </c>
      <c r="AM81">
        <v>43.93</v>
      </c>
      <c r="AN81">
        <v>64.69</v>
      </c>
      <c r="AO81">
        <v>490376</v>
      </c>
    </row>
    <row r="82" spans="1:41" x14ac:dyDescent="0.35">
      <c r="A82" t="s">
        <v>81</v>
      </c>
      <c r="B82">
        <v>8.89</v>
      </c>
      <c r="C82">
        <v>8.5500000000000007</v>
      </c>
      <c r="D82">
        <v>8.6199999999999992</v>
      </c>
      <c r="E82">
        <v>12.54</v>
      </c>
      <c r="F82">
        <v>13.14</v>
      </c>
      <c r="G82">
        <v>12.78</v>
      </c>
      <c r="H82">
        <v>77.81</v>
      </c>
      <c r="I82">
        <v>68.56</v>
      </c>
      <c r="J82">
        <v>73.48</v>
      </c>
      <c r="K82">
        <v>2.14</v>
      </c>
      <c r="L82">
        <v>3.47</v>
      </c>
      <c r="M82">
        <v>2.59</v>
      </c>
      <c r="N82">
        <v>71.64</v>
      </c>
      <c r="O82">
        <v>76.42</v>
      </c>
      <c r="P82">
        <v>73.97</v>
      </c>
      <c r="Q82">
        <v>87.12</v>
      </c>
      <c r="R82">
        <v>46.23</v>
      </c>
      <c r="S82">
        <v>66.680000000000007</v>
      </c>
      <c r="T82">
        <v>474398</v>
      </c>
      <c r="V82" t="str">
        <v>Kampar</v>
      </c>
      <c r="W82">
        <v>9.89</v>
      </c>
      <c r="X82">
        <v>9.6199999999999992</v>
      </c>
      <c r="Y82">
        <v>9.7799999999999994</v>
      </c>
      <c r="Z82">
        <v>13.57</v>
      </c>
      <c r="AA82">
        <v>14.12</v>
      </c>
      <c r="AB82">
        <v>13.7</v>
      </c>
      <c r="AC82">
        <v>80.790000000000006</v>
      </c>
      <c r="AD82">
        <v>74.05</v>
      </c>
      <c r="AE82">
        <v>76.97</v>
      </c>
      <c r="AF82">
        <v>4.1900000000000004</v>
      </c>
      <c r="AG82">
        <v>5.33</v>
      </c>
      <c r="AH82">
        <v>4.57</v>
      </c>
      <c r="AI82">
        <v>72.39</v>
      </c>
      <c r="AJ82">
        <v>77.849999999999994</v>
      </c>
      <c r="AK82">
        <v>75.05</v>
      </c>
      <c r="AL82">
        <v>84.08</v>
      </c>
      <c r="AM82">
        <v>43.73</v>
      </c>
      <c r="AN82">
        <v>63.91</v>
      </c>
      <c r="AO82">
        <v>908385</v>
      </c>
    </row>
    <row r="83" spans="1:41" x14ac:dyDescent="0.35">
      <c r="A83" t="s">
        <v>82</v>
      </c>
      <c r="B83">
        <v>7.57</v>
      </c>
      <c r="C83">
        <v>7.49</v>
      </c>
      <c r="D83">
        <v>7.49</v>
      </c>
      <c r="E83">
        <v>12.23</v>
      </c>
      <c r="F83">
        <v>12.88</v>
      </c>
      <c r="G83">
        <v>12.39</v>
      </c>
      <c r="H83">
        <v>75.33</v>
      </c>
      <c r="I83">
        <v>63.8</v>
      </c>
      <c r="J83">
        <v>70.739999999999995</v>
      </c>
      <c r="K83">
        <v>2.36</v>
      </c>
      <c r="L83">
        <v>4.3499999999999996</v>
      </c>
      <c r="M83">
        <v>3</v>
      </c>
      <c r="N83">
        <v>70.59</v>
      </c>
      <c r="O83">
        <v>74.61</v>
      </c>
      <c r="P83">
        <v>72.55</v>
      </c>
      <c r="Q83">
        <v>84.8</v>
      </c>
      <c r="R83">
        <v>43.41</v>
      </c>
      <c r="S83">
        <v>64.11</v>
      </c>
      <c r="T83">
        <v>692189</v>
      </c>
      <c r="V83" t="str">
        <v>Rokan Hulu</v>
      </c>
      <c r="W83">
        <v>9.1199999999999992</v>
      </c>
      <c r="X83">
        <v>9</v>
      </c>
      <c r="Y83">
        <v>9.11</v>
      </c>
      <c r="Z83">
        <v>13.43</v>
      </c>
      <c r="AA83">
        <v>13.03</v>
      </c>
      <c r="AB83">
        <v>13.03</v>
      </c>
      <c r="AC83">
        <v>79.58</v>
      </c>
      <c r="AD83">
        <v>66.8</v>
      </c>
      <c r="AE83">
        <v>73.61</v>
      </c>
      <c r="AF83">
        <v>2.89</v>
      </c>
      <c r="AG83">
        <v>3.71</v>
      </c>
      <c r="AH83">
        <v>3.17</v>
      </c>
      <c r="AI83">
        <v>71.52</v>
      </c>
      <c r="AJ83">
        <v>76.17</v>
      </c>
      <c r="AK83">
        <v>73.790000000000006</v>
      </c>
      <c r="AL83">
        <v>85.27</v>
      </c>
      <c r="AM83">
        <v>45.67</v>
      </c>
      <c r="AN83">
        <v>65.47</v>
      </c>
      <c r="AO83">
        <v>601632</v>
      </c>
    </row>
    <row r="84" spans="1:41" x14ac:dyDescent="0.35">
      <c r="A84" t="s">
        <v>83</v>
      </c>
      <c r="B84">
        <v>9.18</v>
      </c>
      <c r="C84">
        <v>8.8699999999999992</v>
      </c>
      <c r="D84">
        <v>8.9700000000000006</v>
      </c>
      <c r="E84">
        <v>12.58</v>
      </c>
      <c r="F84">
        <v>13.08</v>
      </c>
      <c r="G84">
        <v>12.92</v>
      </c>
      <c r="H84">
        <v>79.930000000000007</v>
      </c>
      <c r="I84">
        <v>72.34</v>
      </c>
      <c r="J84">
        <v>75.8</v>
      </c>
      <c r="K84">
        <v>2.0099999999999998</v>
      </c>
      <c r="L84">
        <v>3.15</v>
      </c>
      <c r="M84">
        <v>2.42</v>
      </c>
      <c r="N84">
        <v>72.33</v>
      </c>
      <c r="O84">
        <v>77.760000000000005</v>
      </c>
      <c r="P84">
        <v>74.98</v>
      </c>
      <c r="Q84">
        <v>88.39</v>
      </c>
      <c r="R84">
        <v>51.11</v>
      </c>
      <c r="S84">
        <v>69.75</v>
      </c>
      <c r="T84">
        <v>421237</v>
      </c>
      <c r="V84" t="str">
        <v>Bengkalis</v>
      </c>
      <c r="W84">
        <v>10.130000000000001</v>
      </c>
      <c r="X84">
        <v>9.67</v>
      </c>
      <c r="Y84">
        <v>9.93</v>
      </c>
      <c r="Z84">
        <v>13.47</v>
      </c>
      <c r="AA84">
        <v>13.99</v>
      </c>
      <c r="AB84">
        <v>13.47</v>
      </c>
      <c r="AC84">
        <v>81.16</v>
      </c>
      <c r="AD84">
        <v>73.83</v>
      </c>
      <c r="AE84">
        <v>77.02</v>
      </c>
      <c r="AF84">
        <v>4.84</v>
      </c>
      <c r="AG84">
        <v>6.18</v>
      </c>
      <c r="AH84">
        <v>5.32</v>
      </c>
      <c r="AI84">
        <v>72.099999999999994</v>
      </c>
      <c r="AJ84">
        <v>77.39</v>
      </c>
      <c r="AK84">
        <v>74.680000000000007</v>
      </c>
      <c r="AL84">
        <v>84.68</v>
      </c>
      <c r="AM84">
        <v>50.12</v>
      </c>
      <c r="AN84">
        <v>67.400000000000006</v>
      </c>
      <c r="AO84">
        <v>598331</v>
      </c>
    </row>
    <row r="85" spans="1:41" x14ac:dyDescent="0.35">
      <c r="A85" t="s">
        <v>84</v>
      </c>
      <c r="B85">
        <v>10.11</v>
      </c>
      <c r="C85">
        <v>9.9</v>
      </c>
      <c r="D85">
        <v>9.93</v>
      </c>
      <c r="E85">
        <v>13.27</v>
      </c>
      <c r="F85">
        <v>13.02</v>
      </c>
      <c r="G85">
        <v>13.02</v>
      </c>
      <c r="H85">
        <v>81.69</v>
      </c>
      <c r="I85">
        <v>73.53</v>
      </c>
      <c r="J85">
        <v>77.19</v>
      </c>
      <c r="K85">
        <v>3.87</v>
      </c>
      <c r="L85">
        <v>8.24</v>
      </c>
      <c r="M85">
        <v>5.3</v>
      </c>
      <c r="N85">
        <v>71.88</v>
      </c>
      <c r="O85">
        <v>76.92</v>
      </c>
      <c r="P85">
        <v>74.34</v>
      </c>
      <c r="Q85">
        <v>85.44</v>
      </c>
      <c r="R85">
        <v>43.93</v>
      </c>
      <c r="S85">
        <v>64.69</v>
      </c>
      <c r="T85">
        <v>490376</v>
      </c>
      <c r="V85" t="str">
        <v>Rokan Hilir</v>
      </c>
      <c r="W85">
        <v>8.89</v>
      </c>
      <c r="X85">
        <v>8.36</v>
      </c>
      <c r="Y85">
        <v>8.5500000000000007</v>
      </c>
      <c r="Z85">
        <v>12.75</v>
      </c>
      <c r="AA85">
        <v>13.43</v>
      </c>
      <c r="AB85">
        <v>12.9</v>
      </c>
      <c r="AC85">
        <v>77.73</v>
      </c>
      <c r="AD85">
        <v>67.56</v>
      </c>
      <c r="AE85">
        <v>73.069999999999993</v>
      </c>
      <c r="AF85">
        <v>4.18</v>
      </c>
      <c r="AG85">
        <v>4.8899999999999997</v>
      </c>
      <c r="AH85">
        <v>4.41</v>
      </c>
      <c r="AI85">
        <v>71.77</v>
      </c>
      <c r="AJ85">
        <v>76.7</v>
      </c>
      <c r="AK85">
        <v>74.180000000000007</v>
      </c>
      <c r="AL85">
        <v>85.58</v>
      </c>
      <c r="AM85">
        <v>41.64</v>
      </c>
      <c r="AN85">
        <v>63.61</v>
      </c>
      <c r="AO85">
        <v>682617</v>
      </c>
    </row>
    <row r="86" spans="1:41" x14ac:dyDescent="0.35">
      <c r="A86" t="s">
        <v>85</v>
      </c>
      <c r="B86">
        <v>9.89</v>
      </c>
      <c r="C86">
        <v>9.6199999999999992</v>
      </c>
      <c r="D86">
        <v>9.7799999999999994</v>
      </c>
      <c r="E86">
        <v>13.57</v>
      </c>
      <c r="F86">
        <v>14.12</v>
      </c>
      <c r="G86">
        <v>13.7</v>
      </c>
      <c r="H86">
        <v>80.790000000000006</v>
      </c>
      <c r="I86">
        <v>74.05</v>
      </c>
      <c r="J86">
        <v>76.97</v>
      </c>
      <c r="K86">
        <v>4.1900000000000004</v>
      </c>
      <c r="L86">
        <v>5.33</v>
      </c>
      <c r="M86">
        <v>4.57</v>
      </c>
      <c r="N86">
        <v>72.39</v>
      </c>
      <c r="O86">
        <v>77.849999999999994</v>
      </c>
      <c r="P86">
        <v>75.05</v>
      </c>
      <c r="Q86">
        <v>84.08</v>
      </c>
      <c r="R86">
        <v>43.73</v>
      </c>
      <c r="S86">
        <v>63.91</v>
      </c>
      <c r="T86">
        <v>908385</v>
      </c>
      <c r="V86" t="str">
        <v>Kepulauan Meranti</v>
      </c>
      <c r="W86">
        <v>8.33</v>
      </c>
      <c r="X86">
        <v>7.93</v>
      </c>
      <c r="Y86">
        <v>8.1300000000000008</v>
      </c>
      <c r="Z86">
        <v>12.9</v>
      </c>
      <c r="AA86">
        <v>13.03</v>
      </c>
      <c r="AB86">
        <v>12.9</v>
      </c>
      <c r="AC86">
        <v>74.84</v>
      </c>
      <c r="AD86">
        <v>65.61</v>
      </c>
      <c r="AE86">
        <v>70.2</v>
      </c>
      <c r="AF86">
        <v>5.83</v>
      </c>
      <c r="AG86">
        <v>4.78</v>
      </c>
      <c r="AH86">
        <v>5.43</v>
      </c>
      <c r="AI86">
        <v>70.44</v>
      </c>
      <c r="AJ86">
        <v>74.459999999999994</v>
      </c>
      <c r="AK86">
        <v>72.400000000000006</v>
      </c>
      <c r="AL86">
        <v>82.32</v>
      </c>
      <c r="AM86">
        <v>55.69</v>
      </c>
      <c r="AN86">
        <v>69.010000000000005</v>
      </c>
      <c r="AO86">
        <v>215586</v>
      </c>
    </row>
    <row r="87" spans="1:41" x14ac:dyDescent="0.35">
      <c r="A87" t="s">
        <v>86</v>
      </c>
      <c r="B87">
        <v>9.1199999999999992</v>
      </c>
      <c r="C87">
        <v>9</v>
      </c>
      <c r="D87">
        <v>9.11</v>
      </c>
      <c r="E87">
        <v>13.43</v>
      </c>
      <c r="F87">
        <v>13.03</v>
      </c>
      <c r="G87">
        <v>13.03</v>
      </c>
      <c r="H87">
        <v>79.58</v>
      </c>
      <c r="I87">
        <v>66.8</v>
      </c>
      <c r="J87">
        <v>73.61</v>
      </c>
      <c r="K87">
        <v>2.89</v>
      </c>
      <c r="L87">
        <v>3.71</v>
      </c>
      <c r="M87">
        <v>3.17</v>
      </c>
      <c r="N87">
        <v>71.52</v>
      </c>
      <c r="O87">
        <v>76.17</v>
      </c>
      <c r="P87">
        <v>73.790000000000006</v>
      </c>
      <c r="Q87">
        <v>85.27</v>
      </c>
      <c r="R87">
        <v>45.67</v>
      </c>
      <c r="S87">
        <v>65.47</v>
      </c>
      <c r="T87">
        <v>601632</v>
      </c>
      <c r="V87" t="str">
        <v>Kota Pekanbaru</v>
      </c>
      <c r="W87">
        <v>12.16</v>
      </c>
      <c r="X87">
        <v>12</v>
      </c>
      <c r="Y87">
        <v>12.08</v>
      </c>
      <c r="Z87">
        <v>15.83</v>
      </c>
      <c r="AA87">
        <v>15.87</v>
      </c>
      <c r="AB87">
        <v>15.85</v>
      </c>
      <c r="AC87">
        <v>88.29</v>
      </c>
      <c r="AD87">
        <v>83.87</v>
      </c>
      <c r="AE87">
        <v>84.91</v>
      </c>
      <c r="AF87">
        <v>5.5</v>
      </c>
      <c r="AG87">
        <v>4.8600000000000003</v>
      </c>
      <c r="AH87">
        <v>5.24</v>
      </c>
      <c r="AI87">
        <v>73.48</v>
      </c>
      <c r="AJ87">
        <v>79.42</v>
      </c>
      <c r="AK87">
        <v>76.37</v>
      </c>
      <c r="AL87">
        <v>81.55</v>
      </c>
      <c r="AM87">
        <v>55.63</v>
      </c>
      <c r="AN87">
        <v>68.59</v>
      </c>
      <c r="AO87">
        <v>1036563</v>
      </c>
    </row>
    <row r="88" spans="1:41" x14ac:dyDescent="0.35">
      <c r="A88" t="s">
        <v>87</v>
      </c>
      <c r="B88">
        <v>10.130000000000001</v>
      </c>
      <c r="C88">
        <v>9.67</v>
      </c>
      <c r="D88">
        <v>9.93</v>
      </c>
      <c r="E88">
        <v>13.47</v>
      </c>
      <c r="F88">
        <v>13.99</v>
      </c>
      <c r="G88">
        <v>13.47</v>
      </c>
      <c r="H88">
        <v>81.16</v>
      </c>
      <c r="I88">
        <v>73.83</v>
      </c>
      <c r="J88">
        <v>77.02</v>
      </c>
      <c r="K88">
        <v>4.84</v>
      </c>
      <c r="L88">
        <v>6.18</v>
      </c>
      <c r="M88">
        <v>5.32</v>
      </c>
      <c r="N88">
        <v>72.099999999999994</v>
      </c>
      <c r="O88">
        <v>77.39</v>
      </c>
      <c r="P88">
        <v>74.680000000000007</v>
      </c>
      <c r="Q88">
        <v>84.68</v>
      </c>
      <c r="R88">
        <v>50.12</v>
      </c>
      <c r="S88">
        <v>67.400000000000006</v>
      </c>
      <c r="T88">
        <v>598331</v>
      </c>
      <c r="V88" t="str">
        <v>Kota Dumai</v>
      </c>
      <c r="W88">
        <v>10.41</v>
      </c>
      <c r="X88">
        <v>10.29</v>
      </c>
      <c r="Y88">
        <v>10.3</v>
      </c>
      <c r="Z88">
        <v>13.26</v>
      </c>
      <c r="AA88">
        <v>13.79</v>
      </c>
      <c r="AB88">
        <v>13.36</v>
      </c>
      <c r="AC88">
        <v>81.27</v>
      </c>
      <c r="AD88">
        <v>74.900000000000006</v>
      </c>
      <c r="AE88">
        <v>77.58</v>
      </c>
      <c r="AF88">
        <v>4.5199999999999996</v>
      </c>
      <c r="AG88">
        <v>4.49</v>
      </c>
      <c r="AH88">
        <v>4.51</v>
      </c>
      <c r="AI88">
        <v>71.510000000000005</v>
      </c>
      <c r="AJ88">
        <v>76.150000000000006</v>
      </c>
      <c r="AK88">
        <v>73.77</v>
      </c>
      <c r="AL88">
        <v>84.89</v>
      </c>
      <c r="AM88">
        <v>52.02</v>
      </c>
      <c r="AN88">
        <v>68.459999999999994</v>
      </c>
      <c r="AO88">
        <v>337067</v>
      </c>
    </row>
    <row r="89" spans="1:41" x14ac:dyDescent="0.35">
      <c r="A89" t="s">
        <v>88</v>
      </c>
      <c r="B89">
        <v>8.89</v>
      </c>
      <c r="C89">
        <v>8.36</v>
      </c>
      <c r="D89">
        <v>8.5500000000000007</v>
      </c>
      <c r="E89">
        <v>12.75</v>
      </c>
      <c r="F89">
        <v>13.43</v>
      </c>
      <c r="G89">
        <v>12.9</v>
      </c>
      <c r="H89">
        <v>77.73</v>
      </c>
      <c r="I89">
        <v>67.56</v>
      </c>
      <c r="J89">
        <v>73.069999999999993</v>
      </c>
      <c r="K89">
        <v>4.18</v>
      </c>
      <c r="L89">
        <v>4.8899999999999997</v>
      </c>
      <c r="M89">
        <v>4.41</v>
      </c>
      <c r="N89">
        <v>71.77</v>
      </c>
      <c r="O89">
        <v>76.7</v>
      </c>
      <c r="P89">
        <v>74.180000000000007</v>
      </c>
      <c r="Q89">
        <v>85.58</v>
      </c>
      <c r="R89">
        <v>41.64</v>
      </c>
      <c r="S89">
        <v>63.61</v>
      </c>
      <c r="T89">
        <v>682617</v>
      </c>
      <c r="V89" t="str">
        <v>Kerinci</v>
      </c>
      <c r="W89">
        <v>9.4499999999999993</v>
      </c>
      <c r="X89">
        <v>8.1300000000000008</v>
      </c>
      <c r="Y89">
        <v>8.76</v>
      </c>
      <c r="Z89">
        <v>14.4</v>
      </c>
      <c r="AA89">
        <v>14.05</v>
      </c>
      <c r="AB89">
        <v>14.18</v>
      </c>
      <c r="AC89">
        <v>80.33</v>
      </c>
      <c r="AD89">
        <v>70.61</v>
      </c>
      <c r="AE89">
        <v>75.099999999999994</v>
      </c>
      <c r="AF89">
        <v>2.0499999999999998</v>
      </c>
      <c r="AG89">
        <v>2.82</v>
      </c>
      <c r="AH89">
        <v>2.39</v>
      </c>
      <c r="AI89">
        <v>71.44</v>
      </c>
      <c r="AJ89">
        <v>76</v>
      </c>
      <c r="AK89">
        <v>73.66</v>
      </c>
      <c r="AL89">
        <v>83.66</v>
      </c>
      <c r="AM89">
        <v>65.84</v>
      </c>
      <c r="AN89">
        <v>74.75</v>
      </c>
      <c r="AO89">
        <v>258208</v>
      </c>
    </row>
    <row r="90" spans="1:41" x14ac:dyDescent="0.35">
      <c r="A90" t="s">
        <v>89</v>
      </c>
      <c r="B90">
        <v>8.33</v>
      </c>
      <c r="C90">
        <v>7.93</v>
      </c>
      <c r="D90">
        <v>8.1300000000000008</v>
      </c>
      <c r="E90">
        <v>12.9</v>
      </c>
      <c r="F90">
        <v>13.03</v>
      </c>
      <c r="G90">
        <v>12.9</v>
      </c>
      <c r="H90">
        <v>74.84</v>
      </c>
      <c r="I90">
        <v>65.61</v>
      </c>
      <c r="J90">
        <v>70.2</v>
      </c>
      <c r="K90">
        <v>5.83</v>
      </c>
      <c r="L90">
        <v>4.78</v>
      </c>
      <c r="M90">
        <v>5.43</v>
      </c>
      <c r="N90">
        <v>70.44</v>
      </c>
      <c r="O90">
        <v>74.459999999999994</v>
      </c>
      <c r="P90">
        <v>72.400000000000006</v>
      </c>
      <c r="Q90">
        <v>82.32</v>
      </c>
      <c r="R90">
        <v>55.69</v>
      </c>
      <c r="S90">
        <v>69.010000000000005</v>
      </c>
      <c r="T90">
        <v>215586</v>
      </c>
      <c r="V90" t="str">
        <v>Merangin</v>
      </c>
      <c r="W90">
        <v>8.93</v>
      </c>
      <c r="X90">
        <v>7.99</v>
      </c>
      <c r="Y90">
        <v>8.41</v>
      </c>
      <c r="Z90">
        <v>12.32</v>
      </c>
      <c r="AA90">
        <v>12.73</v>
      </c>
      <c r="AB90">
        <v>12.5</v>
      </c>
      <c r="AC90">
        <v>77.040000000000006</v>
      </c>
      <c r="AD90">
        <v>69.290000000000006</v>
      </c>
      <c r="AE90">
        <v>73.41</v>
      </c>
      <c r="AF90">
        <v>3.5</v>
      </c>
      <c r="AG90">
        <v>4.6100000000000003</v>
      </c>
      <c r="AH90">
        <v>3.9</v>
      </c>
      <c r="AI90">
        <v>71.92</v>
      </c>
      <c r="AJ90">
        <v>77.010000000000005</v>
      </c>
      <c r="AK90">
        <v>74.400000000000006</v>
      </c>
      <c r="AL90">
        <v>86.85</v>
      </c>
      <c r="AM90">
        <v>49.91</v>
      </c>
      <c r="AN90">
        <v>68.38</v>
      </c>
      <c r="AO90">
        <v>378357</v>
      </c>
    </row>
    <row r="91" spans="1:41" x14ac:dyDescent="0.35">
      <c r="A91" t="s">
        <v>90</v>
      </c>
      <c r="B91">
        <v>12.16</v>
      </c>
      <c r="C91">
        <v>12</v>
      </c>
      <c r="D91">
        <v>12.08</v>
      </c>
      <c r="E91">
        <v>15.83</v>
      </c>
      <c r="F91">
        <v>15.87</v>
      </c>
      <c r="G91">
        <v>15.85</v>
      </c>
      <c r="H91">
        <v>88.29</v>
      </c>
      <c r="I91">
        <v>83.87</v>
      </c>
      <c r="J91">
        <v>84.91</v>
      </c>
      <c r="K91">
        <v>5.5</v>
      </c>
      <c r="L91">
        <v>4.8600000000000003</v>
      </c>
      <c r="M91">
        <v>5.24</v>
      </c>
      <c r="N91">
        <v>73.48</v>
      </c>
      <c r="O91">
        <v>79.42</v>
      </c>
      <c r="P91">
        <v>76.37</v>
      </c>
      <c r="Q91">
        <v>81.55</v>
      </c>
      <c r="R91">
        <v>55.63</v>
      </c>
      <c r="S91">
        <v>68.59</v>
      </c>
      <c r="T91">
        <v>1036563</v>
      </c>
      <c r="V91" t="str">
        <v>Sarolangun</v>
      </c>
      <c r="W91">
        <v>8.92</v>
      </c>
      <c r="X91">
        <v>8.2899999999999991</v>
      </c>
      <c r="Y91">
        <v>8.6</v>
      </c>
      <c r="Z91">
        <v>12.72</v>
      </c>
      <c r="AA91">
        <v>12.87</v>
      </c>
      <c r="AB91">
        <v>12.82</v>
      </c>
      <c r="AC91">
        <v>78.52</v>
      </c>
      <c r="AD91">
        <v>72.58</v>
      </c>
      <c r="AE91">
        <v>74.72</v>
      </c>
      <c r="AF91">
        <v>4.2699999999999996</v>
      </c>
      <c r="AG91">
        <v>5.5</v>
      </c>
      <c r="AH91">
        <v>4.68</v>
      </c>
      <c r="AI91">
        <v>71.62</v>
      </c>
      <c r="AJ91">
        <v>76.38</v>
      </c>
      <c r="AK91">
        <v>73.94</v>
      </c>
      <c r="AL91">
        <v>88.51</v>
      </c>
      <c r="AM91">
        <v>45.73</v>
      </c>
      <c r="AN91">
        <v>67.12</v>
      </c>
      <c r="AO91">
        <v>310679</v>
      </c>
    </row>
    <row r="92" spans="1:41" x14ac:dyDescent="0.35">
      <c r="A92" t="s">
        <v>91</v>
      </c>
      <c r="B92">
        <v>10.41</v>
      </c>
      <c r="C92">
        <v>10.29</v>
      </c>
      <c r="D92">
        <v>10.3</v>
      </c>
      <c r="E92">
        <v>13.26</v>
      </c>
      <c r="F92">
        <v>13.79</v>
      </c>
      <c r="G92">
        <v>13.36</v>
      </c>
      <c r="H92">
        <v>81.27</v>
      </c>
      <c r="I92">
        <v>74.900000000000006</v>
      </c>
      <c r="J92">
        <v>77.58</v>
      </c>
      <c r="K92">
        <v>4.5199999999999996</v>
      </c>
      <c r="L92">
        <v>4.49</v>
      </c>
      <c r="M92">
        <v>4.51</v>
      </c>
      <c r="N92">
        <v>71.510000000000005</v>
      </c>
      <c r="O92">
        <v>76.150000000000006</v>
      </c>
      <c r="P92">
        <v>73.77</v>
      </c>
      <c r="Q92">
        <v>84.89</v>
      </c>
      <c r="R92">
        <v>52.02</v>
      </c>
      <c r="S92">
        <v>68.459999999999994</v>
      </c>
      <c r="T92">
        <v>337067</v>
      </c>
      <c r="V92" t="str">
        <v>Batang Hari</v>
      </c>
      <c r="W92">
        <v>8.77</v>
      </c>
      <c r="X92">
        <v>8.2799999999999994</v>
      </c>
      <c r="Y92">
        <v>8.41</v>
      </c>
      <c r="Z92">
        <v>13.07</v>
      </c>
      <c r="AA92">
        <v>13.73</v>
      </c>
      <c r="AB92">
        <v>13.2</v>
      </c>
      <c r="AC92">
        <v>78.58</v>
      </c>
      <c r="AD92">
        <v>68.400000000000006</v>
      </c>
      <c r="AE92">
        <v>73.94</v>
      </c>
      <c r="AF92">
        <v>3.49</v>
      </c>
      <c r="AG92">
        <v>5.53</v>
      </c>
      <c r="AH92">
        <v>4.21</v>
      </c>
      <c r="AI92">
        <v>72.459999999999994</v>
      </c>
      <c r="AJ92">
        <v>77.95</v>
      </c>
      <c r="AK92">
        <v>75.14</v>
      </c>
      <c r="AL92">
        <v>84.3</v>
      </c>
      <c r="AM92">
        <v>47.94</v>
      </c>
      <c r="AN92">
        <v>66.12</v>
      </c>
      <c r="AO92">
        <v>320281</v>
      </c>
    </row>
    <row r="93" spans="1:41" x14ac:dyDescent="0.35">
      <c r="A93" t="s">
        <v>104</v>
      </c>
      <c r="B93">
        <v>9.1999999999999993</v>
      </c>
      <c r="C93">
        <v>8.6999999999999993</v>
      </c>
      <c r="D93">
        <v>8.9499999999999993</v>
      </c>
      <c r="E93">
        <v>13.19</v>
      </c>
      <c r="F93">
        <v>13.67</v>
      </c>
      <c r="G93">
        <v>13.34</v>
      </c>
      <c r="H93">
        <v>79.14</v>
      </c>
      <c r="I93">
        <v>71.58</v>
      </c>
      <c r="J93">
        <v>75.13</v>
      </c>
      <c r="K93">
        <v>4.04</v>
      </c>
      <c r="L93">
        <v>4.63</v>
      </c>
      <c r="M93">
        <v>4.26</v>
      </c>
      <c r="N93">
        <v>71.91</v>
      </c>
      <c r="O93">
        <v>77</v>
      </c>
      <c r="P93">
        <v>74.39</v>
      </c>
      <c r="Q93">
        <v>85.6</v>
      </c>
      <c r="R93">
        <v>50.63</v>
      </c>
      <c r="S93">
        <v>68.12</v>
      </c>
      <c r="T93">
        <v>3768482</v>
      </c>
      <c r="V93" t="str">
        <v>Muaro Jambi</v>
      </c>
      <c r="W93">
        <v>8.93</v>
      </c>
      <c r="X93">
        <v>8.5299999999999994</v>
      </c>
      <c r="Y93">
        <v>8.7200000000000006</v>
      </c>
      <c r="Z93">
        <v>12.96</v>
      </c>
      <c r="AA93">
        <v>14.03</v>
      </c>
      <c r="AB93">
        <v>13.38</v>
      </c>
      <c r="AC93">
        <v>78.02</v>
      </c>
      <c r="AD93">
        <v>65.319999999999993</v>
      </c>
      <c r="AE93">
        <v>73.87</v>
      </c>
      <c r="AF93">
        <v>5.05</v>
      </c>
      <c r="AG93">
        <v>4.9800000000000004</v>
      </c>
      <c r="AH93">
        <v>5.0199999999999996</v>
      </c>
      <c r="AI93">
        <v>72.400000000000006</v>
      </c>
      <c r="AJ93">
        <v>77.86</v>
      </c>
      <c r="AK93">
        <v>75.06</v>
      </c>
      <c r="AL93">
        <v>88.99</v>
      </c>
      <c r="AM93">
        <v>57.83</v>
      </c>
      <c r="AN93">
        <v>73.41</v>
      </c>
      <c r="AO93">
        <v>430246</v>
      </c>
    </row>
    <row r="94" spans="1:41" x14ac:dyDescent="0.35">
      <c r="A94" t="s">
        <v>93</v>
      </c>
      <c r="B94">
        <v>9.4499999999999993</v>
      </c>
      <c r="C94">
        <v>8.1300000000000008</v>
      </c>
      <c r="D94">
        <v>8.76</v>
      </c>
      <c r="E94">
        <v>14.4</v>
      </c>
      <c r="F94">
        <v>14.05</v>
      </c>
      <c r="G94">
        <v>14.18</v>
      </c>
      <c r="H94">
        <v>80.33</v>
      </c>
      <c r="I94">
        <v>70.61</v>
      </c>
      <c r="J94">
        <v>75.099999999999994</v>
      </c>
      <c r="K94">
        <v>2.0499999999999998</v>
      </c>
      <c r="L94">
        <v>2.82</v>
      </c>
      <c r="M94">
        <v>2.39</v>
      </c>
      <c r="N94">
        <v>71.44</v>
      </c>
      <c r="O94">
        <v>76</v>
      </c>
      <c r="P94">
        <v>73.66</v>
      </c>
      <c r="Q94">
        <v>83.66</v>
      </c>
      <c r="R94">
        <v>65.84</v>
      </c>
      <c r="S94">
        <v>74.75</v>
      </c>
      <c r="T94">
        <v>258208</v>
      </c>
      <c r="V94" t="str">
        <v>Tanjung Jabung Timur</v>
      </c>
      <c r="W94">
        <v>8</v>
      </c>
      <c r="X94">
        <v>7.48</v>
      </c>
      <c r="Y94">
        <v>7.71</v>
      </c>
      <c r="Z94">
        <v>11.89</v>
      </c>
      <c r="AA94">
        <v>12.74</v>
      </c>
      <c r="AB94">
        <v>12.22</v>
      </c>
      <c r="AC94">
        <v>75.77</v>
      </c>
      <c r="AD94">
        <v>67.569999999999993</v>
      </c>
      <c r="AE94">
        <v>71.28</v>
      </c>
      <c r="AF94">
        <v>2.11</v>
      </c>
      <c r="AG94">
        <v>1.81</v>
      </c>
      <c r="AH94">
        <v>2</v>
      </c>
      <c r="AI94">
        <v>72.2</v>
      </c>
      <c r="AJ94">
        <v>77.569999999999993</v>
      </c>
      <c r="AK94">
        <v>74.819999999999993</v>
      </c>
      <c r="AL94">
        <v>85.29</v>
      </c>
      <c r="AM94">
        <v>51.91</v>
      </c>
      <c r="AN94">
        <v>68.599999999999994</v>
      </c>
      <c r="AO94">
        <v>241154</v>
      </c>
    </row>
    <row r="95" spans="1:41" x14ac:dyDescent="0.35">
      <c r="A95" t="s">
        <v>94</v>
      </c>
      <c r="B95">
        <v>8.93</v>
      </c>
      <c r="C95">
        <v>7.99</v>
      </c>
      <c r="D95">
        <v>8.41</v>
      </c>
      <c r="E95">
        <v>12.32</v>
      </c>
      <c r="F95">
        <v>12.73</v>
      </c>
      <c r="G95">
        <v>12.5</v>
      </c>
      <c r="H95">
        <v>77.040000000000006</v>
      </c>
      <c r="I95">
        <v>69.290000000000006</v>
      </c>
      <c r="J95">
        <v>73.41</v>
      </c>
      <c r="K95">
        <v>3.5</v>
      </c>
      <c r="L95">
        <v>4.6100000000000003</v>
      </c>
      <c r="M95">
        <v>3.9</v>
      </c>
      <c r="N95">
        <v>71.92</v>
      </c>
      <c r="O95">
        <v>77.010000000000005</v>
      </c>
      <c r="P95">
        <v>74.400000000000006</v>
      </c>
      <c r="Q95">
        <v>86.85</v>
      </c>
      <c r="R95">
        <v>49.91</v>
      </c>
      <c r="S95">
        <v>68.38</v>
      </c>
      <c r="T95">
        <v>378357</v>
      </c>
      <c r="V95" t="str">
        <v>Tanjung Jabung Barat</v>
      </c>
      <c r="W95">
        <v>8.7200000000000006</v>
      </c>
      <c r="X95">
        <v>8.26</v>
      </c>
      <c r="Y95">
        <v>8.5399999999999991</v>
      </c>
      <c r="Z95">
        <v>12.71</v>
      </c>
      <c r="AA95">
        <v>13.07</v>
      </c>
      <c r="AB95">
        <v>12.71</v>
      </c>
      <c r="AC95">
        <v>76.98</v>
      </c>
      <c r="AD95">
        <v>67.02</v>
      </c>
      <c r="AE95">
        <v>73</v>
      </c>
      <c r="AF95">
        <v>3.38</v>
      </c>
      <c r="AG95">
        <v>2.48</v>
      </c>
      <c r="AH95">
        <v>3.12</v>
      </c>
      <c r="AI95">
        <v>71.489999999999995</v>
      </c>
      <c r="AJ95">
        <v>76.12</v>
      </c>
      <c r="AK95">
        <v>73.75</v>
      </c>
      <c r="AL95">
        <v>87.12</v>
      </c>
      <c r="AM95">
        <v>37.75</v>
      </c>
      <c r="AN95">
        <v>62.44</v>
      </c>
      <c r="AO95">
        <v>339625</v>
      </c>
    </row>
    <row r="96" spans="1:41" x14ac:dyDescent="0.35">
      <c r="A96" t="s">
        <v>95</v>
      </c>
      <c r="B96">
        <v>8.92</v>
      </c>
      <c r="C96">
        <v>8.2899999999999991</v>
      </c>
      <c r="D96">
        <v>8.6</v>
      </c>
      <c r="E96">
        <v>12.72</v>
      </c>
      <c r="F96">
        <v>12.87</v>
      </c>
      <c r="G96">
        <v>12.82</v>
      </c>
      <c r="H96">
        <v>78.52</v>
      </c>
      <c r="I96">
        <v>72.58</v>
      </c>
      <c r="J96">
        <v>74.72</v>
      </c>
      <c r="K96">
        <v>4.2699999999999996</v>
      </c>
      <c r="L96">
        <v>5.5</v>
      </c>
      <c r="M96">
        <v>4.68</v>
      </c>
      <c r="N96">
        <v>71.62</v>
      </c>
      <c r="O96">
        <v>76.38</v>
      </c>
      <c r="P96">
        <v>73.94</v>
      </c>
      <c r="Q96">
        <v>88.51</v>
      </c>
      <c r="R96">
        <v>45.73</v>
      </c>
      <c r="S96">
        <v>67.12</v>
      </c>
      <c r="T96">
        <v>310679</v>
      </c>
      <c r="V96" t="str">
        <v>Tebo</v>
      </c>
      <c r="W96">
        <v>8.36</v>
      </c>
      <c r="X96">
        <v>7.88</v>
      </c>
      <c r="Y96">
        <v>8.0500000000000007</v>
      </c>
      <c r="Z96">
        <v>12.98</v>
      </c>
      <c r="AA96">
        <v>13.34</v>
      </c>
      <c r="AB96">
        <v>13.2</v>
      </c>
      <c r="AC96">
        <v>77.17</v>
      </c>
      <c r="AD96">
        <v>71.33</v>
      </c>
      <c r="AE96">
        <v>73.41</v>
      </c>
      <c r="AF96">
        <v>1.59</v>
      </c>
      <c r="AG96">
        <v>3.54</v>
      </c>
      <c r="AH96">
        <v>2.21</v>
      </c>
      <c r="AI96">
        <v>71.569999999999993</v>
      </c>
      <c r="AJ96">
        <v>76.290000000000006</v>
      </c>
      <c r="AK96">
        <v>73.88</v>
      </c>
      <c r="AL96">
        <v>87.8</v>
      </c>
      <c r="AM96">
        <v>43.11</v>
      </c>
      <c r="AN96">
        <v>65.459999999999994</v>
      </c>
      <c r="AO96">
        <v>359638</v>
      </c>
    </row>
    <row r="97" spans="1:41" x14ac:dyDescent="0.35">
      <c r="A97" t="s">
        <v>96</v>
      </c>
      <c r="B97">
        <v>8.77</v>
      </c>
      <c r="C97">
        <v>8.2799999999999994</v>
      </c>
      <c r="D97">
        <v>8.41</v>
      </c>
      <c r="E97">
        <v>13.07</v>
      </c>
      <c r="F97">
        <v>13.73</v>
      </c>
      <c r="G97">
        <v>13.2</v>
      </c>
      <c r="H97">
        <v>78.58</v>
      </c>
      <c r="I97">
        <v>68.400000000000006</v>
      </c>
      <c r="J97">
        <v>73.94</v>
      </c>
      <c r="K97">
        <v>3.49</v>
      </c>
      <c r="L97">
        <v>5.53</v>
      </c>
      <c r="M97">
        <v>4.21</v>
      </c>
      <c r="N97">
        <v>72.459999999999994</v>
      </c>
      <c r="O97">
        <v>77.95</v>
      </c>
      <c r="P97">
        <v>75.14</v>
      </c>
      <c r="Q97">
        <v>84.3</v>
      </c>
      <c r="R97">
        <v>47.94</v>
      </c>
      <c r="S97">
        <v>66.12</v>
      </c>
      <c r="T97">
        <v>320281</v>
      </c>
      <c r="V97" t="str">
        <v>Bungo</v>
      </c>
      <c r="W97">
        <v>9.14</v>
      </c>
      <c r="X97">
        <v>8.08</v>
      </c>
      <c r="Y97">
        <v>8.61</v>
      </c>
      <c r="Z97">
        <v>12.82</v>
      </c>
      <c r="AA97">
        <v>13.19</v>
      </c>
      <c r="AB97">
        <v>12.92</v>
      </c>
      <c r="AC97">
        <v>79.739999999999995</v>
      </c>
      <c r="AD97">
        <v>71.73</v>
      </c>
      <c r="AE97">
        <v>75.150000000000006</v>
      </c>
      <c r="AF97">
        <v>4.03</v>
      </c>
      <c r="AG97">
        <v>4.8499999999999996</v>
      </c>
      <c r="AH97">
        <v>4.33</v>
      </c>
      <c r="AI97">
        <v>71.88</v>
      </c>
      <c r="AJ97">
        <v>76.94</v>
      </c>
      <c r="AK97">
        <v>74.349999999999994</v>
      </c>
      <c r="AL97">
        <v>87.68</v>
      </c>
      <c r="AM97">
        <v>51.7</v>
      </c>
      <c r="AN97">
        <v>69.69</v>
      </c>
      <c r="AO97">
        <v>386114</v>
      </c>
    </row>
    <row r="98" spans="1:41" x14ac:dyDescent="0.35">
      <c r="A98" t="s">
        <v>97</v>
      </c>
      <c r="B98">
        <v>8.93</v>
      </c>
      <c r="C98">
        <v>8.5299999999999994</v>
      </c>
      <c r="D98">
        <v>8.7200000000000006</v>
      </c>
      <c r="E98">
        <v>12.96</v>
      </c>
      <c r="F98">
        <v>14.03</v>
      </c>
      <c r="G98">
        <v>13.38</v>
      </c>
      <c r="H98">
        <v>78.02</v>
      </c>
      <c r="I98">
        <v>65.319999999999993</v>
      </c>
      <c r="J98">
        <v>73.87</v>
      </c>
      <c r="K98">
        <v>5.05</v>
      </c>
      <c r="L98">
        <v>4.9800000000000004</v>
      </c>
      <c r="M98">
        <v>5.0199999999999996</v>
      </c>
      <c r="N98">
        <v>72.400000000000006</v>
      </c>
      <c r="O98">
        <v>77.86</v>
      </c>
      <c r="P98">
        <v>75.06</v>
      </c>
      <c r="Q98">
        <v>88.99</v>
      </c>
      <c r="R98">
        <v>57.83</v>
      </c>
      <c r="S98">
        <v>73.41</v>
      </c>
      <c r="T98">
        <v>430246</v>
      </c>
      <c r="V98" t="str">
        <v>Kota Jambi</v>
      </c>
      <c r="W98">
        <v>11.74</v>
      </c>
      <c r="X98">
        <v>11.54</v>
      </c>
      <c r="Y98">
        <v>11.59</v>
      </c>
      <c r="Z98">
        <v>15.47</v>
      </c>
      <c r="AA98">
        <v>15.72</v>
      </c>
      <c r="AB98">
        <v>15.56</v>
      </c>
      <c r="AC98">
        <v>85.1</v>
      </c>
      <c r="AD98">
        <v>81.97</v>
      </c>
      <c r="AE98">
        <v>82.32</v>
      </c>
      <c r="AF98">
        <v>7.16</v>
      </c>
      <c r="AG98">
        <v>6.97</v>
      </c>
      <c r="AH98">
        <v>7.08</v>
      </c>
      <c r="AI98">
        <v>72.78</v>
      </c>
      <c r="AJ98">
        <v>78.41</v>
      </c>
      <c r="AK98">
        <v>75.53</v>
      </c>
      <c r="AL98">
        <v>80.38</v>
      </c>
      <c r="AM98">
        <v>51.88</v>
      </c>
      <c r="AN98">
        <v>66.13</v>
      </c>
      <c r="AO98">
        <v>642264</v>
      </c>
    </row>
    <row r="99" spans="1:41" x14ac:dyDescent="0.35">
      <c r="A99" t="s">
        <v>98</v>
      </c>
      <c r="B99">
        <v>8</v>
      </c>
      <c r="C99">
        <v>7.48</v>
      </c>
      <c r="D99">
        <v>7.71</v>
      </c>
      <c r="E99">
        <v>11.89</v>
      </c>
      <c r="F99">
        <v>12.74</v>
      </c>
      <c r="G99">
        <v>12.22</v>
      </c>
      <c r="H99">
        <v>75.77</v>
      </c>
      <c r="I99">
        <v>67.569999999999993</v>
      </c>
      <c r="J99">
        <v>71.28</v>
      </c>
      <c r="K99">
        <v>2.11</v>
      </c>
      <c r="L99">
        <v>1.81</v>
      </c>
      <c r="M99">
        <v>2</v>
      </c>
      <c r="N99">
        <v>72.2</v>
      </c>
      <c r="O99">
        <v>77.569999999999993</v>
      </c>
      <c r="P99">
        <v>74.819999999999993</v>
      </c>
      <c r="Q99">
        <v>85.29</v>
      </c>
      <c r="R99">
        <v>51.91</v>
      </c>
      <c r="S99">
        <v>68.599999999999994</v>
      </c>
      <c r="T99">
        <v>241154</v>
      </c>
      <c r="V99" t="str">
        <v>Kota Sungai Penuh</v>
      </c>
      <c r="W99">
        <v>11.28</v>
      </c>
      <c r="X99">
        <v>10.63</v>
      </c>
      <c r="Y99">
        <v>10.75</v>
      </c>
      <c r="Z99">
        <v>15.19</v>
      </c>
      <c r="AA99">
        <v>14.85</v>
      </c>
      <c r="AB99">
        <v>14.85</v>
      </c>
      <c r="AC99">
        <v>81.93</v>
      </c>
      <c r="AD99">
        <v>78.41</v>
      </c>
      <c r="AE99">
        <v>78.89</v>
      </c>
      <c r="AF99">
        <v>4.71</v>
      </c>
      <c r="AG99">
        <v>3.21</v>
      </c>
      <c r="AH99">
        <v>4.09</v>
      </c>
      <c r="AI99">
        <v>72.11</v>
      </c>
      <c r="AJ99">
        <v>77.41</v>
      </c>
      <c r="AK99">
        <v>74.7</v>
      </c>
      <c r="AL99">
        <v>80.55</v>
      </c>
      <c r="AM99">
        <v>57.45</v>
      </c>
      <c r="AN99">
        <v>69</v>
      </c>
      <c r="AO99">
        <v>101916</v>
      </c>
    </row>
    <row r="100" spans="1:41" x14ac:dyDescent="0.35">
      <c r="A100" t="s">
        <v>99</v>
      </c>
      <c r="B100">
        <v>8.7200000000000006</v>
      </c>
      <c r="C100">
        <v>8.26</v>
      </c>
      <c r="D100">
        <v>8.5399999999999991</v>
      </c>
      <c r="E100">
        <v>12.71</v>
      </c>
      <c r="F100">
        <v>13.07</v>
      </c>
      <c r="G100">
        <v>12.71</v>
      </c>
      <c r="H100">
        <v>76.98</v>
      </c>
      <c r="I100">
        <v>67.02</v>
      </c>
      <c r="J100">
        <v>73</v>
      </c>
      <c r="K100">
        <v>3.38</v>
      </c>
      <c r="L100">
        <v>2.48</v>
      </c>
      <c r="M100">
        <v>3.12</v>
      </c>
      <c r="N100">
        <v>71.489999999999995</v>
      </c>
      <c r="O100">
        <v>76.12</v>
      </c>
      <c r="P100">
        <v>73.75</v>
      </c>
      <c r="Q100">
        <v>87.12</v>
      </c>
      <c r="R100">
        <v>37.75</v>
      </c>
      <c r="S100">
        <v>62.44</v>
      </c>
      <c r="T100">
        <v>339625</v>
      </c>
      <c r="V100" t="str">
        <v>Ogan Komering Ulu</v>
      </c>
      <c r="W100">
        <v>9.2799999999999994</v>
      </c>
      <c r="X100">
        <v>8.85</v>
      </c>
      <c r="Y100">
        <v>9.07</v>
      </c>
      <c r="Z100">
        <v>12.58</v>
      </c>
      <c r="AA100">
        <v>13.2</v>
      </c>
      <c r="AB100">
        <v>13.01</v>
      </c>
      <c r="AC100">
        <v>78</v>
      </c>
      <c r="AD100">
        <v>73.87</v>
      </c>
      <c r="AE100">
        <v>74.47</v>
      </c>
      <c r="AF100">
        <v>5.21</v>
      </c>
      <c r="AG100">
        <v>1.81</v>
      </c>
      <c r="AH100">
        <v>3.85</v>
      </c>
      <c r="AI100">
        <v>71.63</v>
      </c>
      <c r="AJ100">
        <v>76.42</v>
      </c>
      <c r="AK100">
        <v>73.97</v>
      </c>
      <c r="AL100">
        <v>84.33</v>
      </c>
      <c r="AM100">
        <v>58.52</v>
      </c>
      <c r="AN100">
        <v>71.430000000000007</v>
      </c>
      <c r="AO100">
        <v>386816</v>
      </c>
    </row>
    <row r="101" spans="1:41" x14ac:dyDescent="0.35">
      <c r="A101" t="s">
        <v>100</v>
      </c>
      <c r="B101">
        <v>8.36</v>
      </c>
      <c r="C101">
        <v>7.88</v>
      </c>
      <c r="D101">
        <v>8.0500000000000007</v>
      </c>
      <c r="E101">
        <v>12.98</v>
      </c>
      <c r="F101">
        <v>13.34</v>
      </c>
      <c r="G101">
        <v>13.2</v>
      </c>
      <c r="H101">
        <v>77.17</v>
      </c>
      <c r="I101">
        <v>71.33</v>
      </c>
      <c r="J101">
        <v>73.41</v>
      </c>
      <c r="K101">
        <v>1.59</v>
      </c>
      <c r="L101">
        <v>3.54</v>
      </c>
      <c r="M101">
        <v>2.21</v>
      </c>
      <c r="N101">
        <v>71.569999999999993</v>
      </c>
      <c r="O101">
        <v>76.290000000000006</v>
      </c>
      <c r="P101">
        <v>73.88</v>
      </c>
      <c r="Q101">
        <v>87.8</v>
      </c>
      <c r="R101">
        <v>43.11</v>
      </c>
      <c r="S101">
        <v>65.459999999999994</v>
      </c>
      <c r="T101">
        <v>359638</v>
      </c>
      <c r="V101" t="str">
        <v>Ogan Komering Ilir</v>
      </c>
      <c r="W101">
        <v>7.81</v>
      </c>
      <c r="X101">
        <v>7.21</v>
      </c>
      <c r="Y101">
        <v>7.49</v>
      </c>
      <c r="Z101">
        <v>11.58</v>
      </c>
      <c r="AA101">
        <v>12.43</v>
      </c>
      <c r="AB101">
        <v>11.99</v>
      </c>
      <c r="AC101">
        <v>75.64</v>
      </c>
      <c r="AD101">
        <v>70.7</v>
      </c>
      <c r="AE101">
        <v>72.2</v>
      </c>
      <c r="AF101">
        <v>3.08</v>
      </c>
      <c r="AG101">
        <v>3.19</v>
      </c>
      <c r="AH101">
        <v>3.12</v>
      </c>
      <c r="AI101">
        <v>71.959999999999994</v>
      </c>
      <c r="AJ101">
        <v>77.11</v>
      </c>
      <c r="AK101">
        <v>74.47</v>
      </c>
      <c r="AL101">
        <v>84.24</v>
      </c>
      <c r="AM101">
        <v>46.56</v>
      </c>
      <c r="AN101">
        <v>65.400000000000006</v>
      </c>
      <c r="AO101">
        <v>816505</v>
      </c>
    </row>
    <row r="102" spans="1:41" x14ac:dyDescent="0.35">
      <c r="A102" t="s">
        <v>101</v>
      </c>
      <c r="B102">
        <v>9.14</v>
      </c>
      <c r="C102">
        <v>8.08</v>
      </c>
      <c r="D102">
        <v>8.61</v>
      </c>
      <c r="E102">
        <v>12.82</v>
      </c>
      <c r="F102">
        <v>13.19</v>
      </c>
      <c r="G102">
        <v>12.92</v>
      </c>
      <c r="H102">
        <v>79.739999999999995</v>
      </c>
      <c r="I102">
        <v>71.73</v>
      </c>
      <c r="J102">
        <v>75.150000000000006</v>
      </c>
      <c r="K102">
        <v>4.03</v>
      </c>
      <c r="L102">
        <v>4.8499999999999996</v>
      </c>
      <c r="M102">
        <v>4.33</v>
      </c>
      <c r="N102">
        <v>71.88</v>
      </c>
      <c r="O102">
        <v>76.94</v>
      </c>
      <c r="P102">
        <v>74.349999999999994</v>
      </c>
      <c r="Q102">
        <v>87.68</v>
      </c>
      <c r="R102">
        <v>51.7</v>
      </c>
      <c r="S102">
        <v>69.69</v>
      </c>
      <c r="T102">
        <v>386114</v>
      </c>
      <c r="V102" t="str">
        <v>Muara Enim</v>
      </c>
      <c r="W102">
        <v>8.73</v>
      </c>
      <c r="X102">
        <v>8.01</v>
      </c>
      <c r="Y102">
        <v>8.4499999999999993</v>
      </c>
      <c r="Z102">
        <v>11.82</v>
      </c>
      <c r="AA102">
        <v>12.23</v>
      </c>
      <c r="AB102">
        <v>12.03</v>
      </c>
      <c r="AC102">
        <v>77.19</v>
      </c>
      <c r="AD102">
        <v>70.819999999999993</v>
      </c>
      <c r="AE102">
        <v>73.77</v>
      </c>
      <c r="AF102">
        <v>3.45</v>
      </c>
      <c r="AG102">
        <v>5.24</v>
      </c>
      <c r="AH102">
        <v>4.13</v>
      </c>
      <c r="AI102">
        <v>72.2</v>
      </c>
      <c r="AJ102">
        <v>77.569999999999993</v>
      </c>
      <c r="AK102">
        <v>74.819999999999993</v>
      </c>
      <c r="AL102">
        <v>85.61</v>
      </c>
      <c r="AM102">
        <v>54.07</v>
      </c>
      <c r="AN102">
        <v>69.84</v>
      </c>
      <c r="AO102">
        <v>647936</v>
      </c>
    </row>
    <row r="103" spans="1:41" x14ac:dyDescent="0.35">
      <c r="A103" t="s">
        <v>102</v>
      </c>
      <c r="B103">
        <v>11.74</v>
      </c>
      <c r="C103">
        <v>11.54</v>
      </c>
      <c r="D103">
        <v>11.59</v>
      </c>
      <c r="E103">
        <v>15.47</v>
      </c>
      <c r="F103">
        <v>15.72</v>
      </c>
      <c r="G103">
        <v>15.56</v>
      </c>
      <c r="H103">
        <v>85.1</v>
      </c>
      <c r="I103">
        <v>81.97</v>
      </c>
      <c r="J103">
        <v>82.32</v>
      </c>
      <c r="K103">
        <v>7.16</v>
      </c>
      <c r="L103">
        <v>6.97</v>
      </c>
      <c r="M103">
        <v>7.08</v>
      </c>
      <c r="N103">
        <v>72.78</v>
      </c>
      <c r="O103">
        <v>78.41</v>
      </c>
      <c r="P103">
        <v>75.53</v>
      </c>
      <c r="Q103">
        <v>80.38</v>
      </c>
      <c r="R103">
        <v>51.88</v>
      </c>
      <c r="S103">
        <v>66.13</v>
      </c>
      <c r="T103">
        <v>642264</v>
      </c>
      <c r="V103" t="str">
        <v>Lahat</v>
      </c>
      <c r="W103">
        <v>9.27</v>
      </c>
      <c r="X103">
        <v>8.7899999999999991</v>
      </c>
      <c r="Y103">
        <v>9.0299999999999994</v>
      </c>
      <c r="Z103">
        <v>12.46</v>
      </c>
      <c r="AA103">
        <v>13.04</v>
      </c>
      <c r="AB103">
        <v>12.46</v>
      </c>
      <c r="AC103">
        <v>76.97</v>
      </c>
      <c r="AD103">
        <v>73.599999999999994</v>
      </c>
      <c r="AE103">
        <v>73.75</v>
      </c>
      <c r="AF103">
        <v>2.4</v>
      </c>
      <c r="AG103">
        <v>3.57</v>
      </c>
      <c r="AH103">
        <v>2.84</v>
      </c>
      <c r="AI103">
        <v>71.61</v>
      </c>
      <c r="AJ103">
        <v>76.37</v>
      </c>
      <c r="AK103">
        <v>73.930000000000007</v>
      </c>
      <c r="AL103">
        <v>86.25</v>
      </c>
      <c r="AM103">
        <v>54.54</v>
      </c>
      <c r="AN103">
        <v>70.400000000000006</v>
      </c>
      <c r="AO103">
        <v>455581</v>
      </c>
    </row>
    <row r="104" spans="1:41" x14ac:dyDescent="0.35">
      <c r="A104" t="s">
        <v>103</v>
      </c>
      <c r="B104">
        <v>11.28</v>
      </c>
      <c r="C104">
        <v>10.63</v>
      </c>
      <c r="D104">
        <v>10.75</v>
      </c>
      <c r="E104">
        <v>15.19</v>
      </c>
      <c r="F104">
        <v>14.85</v>
      </c>
      <c r="G104">
        <v>14.85</v>
      </c>
      <c r="H104">
        <v>81.93</v>
      </c>
      <c r="I104">
        <v>78.41</v>
      </c>
      <c r="J104">
        <v>78.89</v>
      </c>
      <c r="K104">
        <v>4.71</v>
      </c>
      <c r="L104">
        <v>3.21</v>
      </c>
      <c r="M104">
        <v>4.09</v>
      </c>
      <c r="N104">
        <v>72.11</v>
      </c>
      <c r="O104">
        <v>77.41</v>
      </c>
      <c r="P104">
        <v>74.7</v>
      </c>
      <c r="Q104">
        <v>80.55</v>
      </c>
      <c r="R104">
        <v>57.45</v>
      </c>
      <c r="S104">
        <v>69</v>
      </c>
      <c r="T104">
        <v>101916</v>
      </c>
      <c r="V104" t="str">
        <v>Musi Rawas</v>
      </c>
      <c r="W104">
        <v>7.92</v>
      </c>
      <c r="X104">
        <v>7.46</v>
      </c>
      <c r="Y104">
        <v>7.61</v>
      </c>
      <c r="Z104">
        <v>12.43</v>
      </c>
      <c r="AA104">
        <v>12.6</v>
      </c>
      <c r="AB104">
        <v>12.43</v>
      </c>
      <c r="AC104">
        <v>76.37</v>
      </c>
      <c r="AD104">
        <v>66.72</v>
      </c>
      <c r="AE104">
        <v>71.92</v>
      </c>
      <c r="AF104">
        <v>1.97</v>
      </c>
      <c r="AG104">
        <v>1.38</v>
      </c>
      <c r="AH104">
        <v>1.74</v>
      </c>
      <c r="AI104">
        <v>71.95</v>
      </c>
      <c r="AJ104">
        <v>77.08</v>
      </c>
      <c r="AK104">
        <v>74.45</v>
      </c>
      <c r="AL104">
        <v>87.39</v>
      </c>
      <c r="AM104">
        <v>55.97</v>
      </c>
      <c r="AN104">
        <v>71.680000000000007</v>
      </c>
      <c r="AO104">
        <v>415744</v>
      </c>
    </row>
    <row r="105" spans="1:41" x14ac:dyDescent="0.35">
      <c r="A105" t="s">
        <v>122</v>
      </c>
      <c r="B105">
        <v>9.1199999999999992</v>
      </c>
      <c r="C105">
        <v>8.6999999999999993</v>
      </c>
      <c r="D105">
        <v>8.91</v>
      </c>
      <c r="E105">
        <v>12.56</v>
      </c>
      <c r="F105">
        <v>12.95</v>
      </c>
      <c r="G105">
        <v>12.65</v>
      </c>
      <c r="H105">
        <v>77.989999999999995</v>
      </c>
      <c r="I105">
        <v>73.38</v>
      </c>
      <c r="J105">
        <v>74.760000000000005</v>
      </c>
      <c r="K105">
        <v>3.56</v>
      </c>
      <c r="L105">
        <v>3.91</v>
      </c>
      <c r="M105">
        <v>3.69</v>
      </c>
      <c r="N105">
        <v>72.03</v>
      </c>
      <c r="O105">
        <v>77.25</v>
      </c>
      <c r="P105">
        <v>74.58</v>
      </c>
      <c r="Q105">
        <v>84.82</v>
      </c>
      <c r="R105">
        <v>54.46</v>
      </c>
      <c r="S105">
        <v>69.64</v>
      </c>
      <c r="T105">
        <v>8928515</v>
      </c>
      <c r="V105" t="str">
        <v>Musi Banyuasin</v>
      </c>
      <c r="W105">
        <v>8.5500000000000007</v>
      </c>
      <c r="X105">
        <v>7.96</v>
      </c>
      <c r="Y105">
        <v>8.2899999999999991</v>
      </c>
      <c r="Z105">
        <v>12.34</v>
      </c>
      <c r="AA105">
        <v>12.38</v>
      </c>
      <c r="AB105">
        <v>12.34</v>
      </c>
      <c r="AC105">
        <v>77.47</v>
      </c>
      <c r="AD105">
        <v>65.67</v>
      </c>
      <c r="AE105">
        <v>73.17</v>
      </c>
      <c r="AF105">
        <v>1.02</v>
      </c>
      <c r="AG105">
        <v>3.7</v>
      </c>
      <c r="AH105">
        <v>2.04</v>
      </c>
      <c r="AI105">
        <v>72.13</v>
      </c>
      <c r="AJ105">
        <v>77.45</v>
      </c>
      <c r="AK105">
        <v>74.72</v>
      </c>
      <c r="AL105">
        <v>86</v>
      </c>
      <c r="AM105">
        <v>55.29</v>
      </c>
      <c r="AN105">
        <v>70.650000000000006</v>
      </c>
      <c r="AO105">
        <v>659302</v>
      </c>
    </row>
    <row r="106" spans="1:41" x14ac:dyDescent="0.35">
      <c r="A106" t="s">
        <v>105</v>
      </c>
      <c r="B106">
        <v>9.2799999999999994</v>
      </c>
      <c r="C106">
        <v>8.85</v>
      </c>
      <c r="D106">
        <v>9.07</v>
      </c>
      <c r="E106">
        <v>12.58</v>
      </c>
      <c r="F106">
        <v>13.2</v>
      </c>
      <c r="G106">
        <v>13.01</v>
      </c>
      <c r="H106">
        <v>78</v>
      </c>
      <c r="I106">
        <v>73.87</v>
      </c>
      <c r="J106">
        <v>74.47</v>
      </c>
      <c r="K106">
        <v>5.21</v>
      </c>
      <c r="L106">
        <v>1.81</v>
      </c>
      <c r="M106">
        <v>3.85</v>
      </c>
      <c r="N106">
        <v>71.63</v>
      </c>
      <c r="O106">
        <v>76.42</v>
      </c>
      <c r="P106">
        <v>73.97</v>
      </c>
      <c r="Q106">
        <v>84.33</v>
      </c>
      <c r="R106">
        <v>58.52</v>
      </c>
      <c r="S106">
        <v>71.430000000000007</v>
      </c>
      <c r="T106">
        <v>386816</v>
      </c>
      <c r="V106" t="str">
        <v>Banyu Asin</v>
      </c>
      <c r="W106">
        <v>7.94</v>
      </c>
      <c r="X106">
        <v>7.44</v>
      </c>
      <c r="Y106">
        <v>7.65</v>
      </c>
      <c r="Z106">
        <v>12.17</v>
      </c>
      <c r="AA106">
        <v>12.8</v>
      </c>
      <c r="AB106">
        <v>12.54</v>
      </c>
      <c r="AC106">
        <v>75.97</v>
      </c>
      <c r="AD106">
        <v>69.209999999999994</v>
      </c>
      <c r="AE106">
        <v>72.42</v>
      </c>
      <c r="AF106">
        <v>1.86</v>
      </c>
      <c r="AG106">
        <v>4.3099999999999996</v>
      </c>
      <c r="AH106">
        <v>2.68</v>
      </c>
      <c r="AI106">
        <v>72.13</v>
      </c>
      <c r="AJ106">
        <v>77.459999999999994</v>
      </c>
      <c r="AK106">
        <v>74.73</v>
      </c>
      <c r="AL106">
        <v>84.97</v>
      </c>
      <c r="AM106">
        <v>44.42</v>
      </c>
      <c r="AN106">
        <v>64.7</v>
      </c>
      <c r="AO106">
        <v>897425</v>
      </c>
    </row>
    <row r="107" spans="1:41" x14ac:dyDescent="0.35">
      <c r="A107" t="s">
        <v>106</v>
      </c>
      <c r="B107">
        <v>7.81</v>
      </c>
      <c r="C107">
        <v>7.21</v>
      </c>
      <c r="D107">
        <v>7.49</v>
      </c>
      <c r="E107">
        <v>11.58</v>
      </c>
      <c r="F107">
        <v>12.43</v>
      </c>
      <c r="G107">
        <v>11.99</v>
      </c>
      <c r="H107">
        <v>75.64</v>
      </c>
      <c r="I107">
        <v>70.7</v>
      </c>
      <c r="J107">
        <v>72.2</v>
      </c>
      <c r="K107">
        <v>3.08</v>
      </c>
      <c r="L107">
        <v>3.19</v>
      </c>
      <c r="M107">
        <v>3.12</v>
      </c>
      <c r="N107">
        <v>71.959999999999994</v>
      </c>
      <c r="O107">
        <v>77.11</v>
      </c>
      <c r="P107">
        <v>74.47</v>
      </c>
      <c r="Q107">
        <v>84.24</v>
      </c>
      <c r="R107">
        <v>46.56</v>
      </c>
      <c r="S107">
        <v>65.400000000000006</v>
      </c>
      <c r="T107">
        <v>816505</v>
      </c>
      <c r="V107" t="str">
        <v>Ogan Komering Ulu Selatan</v>
      </c>
      <c r="W107">
        <v>8.5299999999999994</v>
      </c>
      <c r="X107">
        <v>8.3000000000000007</v>
      </c>
      <c r="Y107">
        <v>8.48</v>
      </c>
      <c r="Z107">
        <v>11.93</v>
      </c>
      <c r="AA107">
        <v>12.4</v>
      </c>
      <c r="AB107">
        <v>12.02</v>
      </c>
      <c r="AC107">
        <v>74.31</v>
      </c>
      <c r="AD107">
        <v>69.44</v>
      </c>
      <c r="AE107">
        <v>70.98</v>
      </c>
      <c r="AF107">
        <v>1.08</v>
      </c>
      <c r="AG107">
        <v>3.29</v>
      </c>
      <c r="AH107">
        <v>1.92</v>
      </c>
      <c r="AI107">
        <v>71.48</v>
      </c>
      <c r="AJ107">
        <v>76.099999999999994</v>
      </c>
      <c r="AK107">
        <v>73.739999999999995</v>
      </c>
      <c r="AL107">
        <v>88.86</v>
      </c>
      <c r="AM107">
        <v>58.85</v>
      </c>
      <c r="AN107">
        <v>73.86</v>
      </c>
      <c r="AO107">
        <v>434789</v>
      </c>
    </row>
    <row r="108" spans="1:41" x14ac:dyDescent="0.35">
      <c r="A108" t="s">
        <v>107</v>
      </c>
      <c r="B108">
        <v>8.73</v>
      </c>
      <c r="C108">
        <v>8.01</v>
      </c>
      <c r="D108">
        <v>8.4499999999999993</v>
      </c>
      <c r="E108">
        <v>11.82</v>
      </c>
      <c r="F108">
        <v>12.23</v>
      </c>
      <c r="G108">
        <v>12.03</v>
      </c>
      <c r="H108">
        <v>77.19</v>
      </c>
      <c r="I108">
        <v>70.819999999999993</v>
      </c>
      <c r="J108">
        <v>73.77</v>
      </c>
      <c r="K108">
        <v>3.45</v>
      </c>
      <c r="L108">
        <v>5.24</v>
      </c>
      <c r="M108">
        <v>4.13</v>
      </c>
      <c r="N108">
        <v>72.2</v>
      </c>
      <c r="O108">
        <v>77.569999999999993</v>
      </c>
      <c r="P108">
        <v>74.819999999999993</v>
      </c>
      <c r="Q108">
        <v>85.61</v>
      </c>
      <c r="R108">
        <v>54.07</v>
      </c>
      <c r="S108">
        <v>69.84</v>
      </c>
      <c r="T108">
        <v>647936</v>
      </c>
      <c r="V108" t="str">
        <v>Ogan Komering Ulu Timur</v>
      </c>
      <c r="W108">
        <v>8.3800000000000008</v>
      </c>
      <c r="X108">
        <v>7.77</v>
      </c>
      <c r="Y108">
        <v>8.1300000000000008</v>
      </c>
      <c r="Z108">
        <v>12.62</v>
      </c>
      <c r="AA108">
        <v>12.66</v>
      </c>
      <c r="AB108">
        <v>12.66</v>
      </c>
      <c r="AC108">
        <v>77.180000000000007</v>
      </c>
      <c r="AD108">
        <v>73.819999999999993</v>
      </c>
      <c r="AE108">
        <v>74.42</v>
      </c>
      <c r="AF108">
        <v>1.56</v>
      </c>
      <c r="AG108">
        <v>5.32</v>
      </c>
      <c r="AH108">
        <v>3.1</v>
      </c>
      <c r="AI108">
        <v>72.19</v>
      </c>
      <c r="AJ108">
        <v>77.55</v>
      </c>
      <c r="AK108">
        <v>74.8</v>
      </c>
      <c r="AL108">
        <v>90.1</v>
      </c>
      <c r="AM108">
        <v>65.67</v>
      </c>
      <c r="AN108">
        <v>77.89</v>
      </c>
      <c r="AO108">
        <v>680094</v>
      </c>
    </row>
    <row r="109" spans="1:41" x14ac:dyDescent="0.35">
      <c r="A109" t="s">
        <v>108</v>
      </c>
      <c r="B109">
        <v>9.27</v>
      </c>
      <c r="C109">
        <v>8.7899999999999991</v>
      </c>
      <c r="D109">
        <v>9.0299999999999994</v>
      </c>
      <c r="E109">
        <v>12.46</v>
      </c>
      <c r="F109">
        <v>13.04</v>
      </c>
      <c r="G109">
        <v>12.46</v>
      </c>
      <c r="H109">
        <v>76.97</v>
      </c>
      <c r="I109">
        <v>73.599999999999994</v>
      </c>
      <c r="J109">
        <v>73.75</v>
      </c>
      <c r="K109">
        <v>2.4</v>
      </c>
      <c r="L109">
        <v>3.57</v>
      </c>
      <c r="M109">
        <v>2.84</v>
      </c>
      <c r="N109">
        <v>71.61</v>
      </c>
      <c r="O109">
        <v>76.37</v>
      </c>
      <c r="P109">
        <v>73.930000000000007</v>
      </c>
      <c r="Q109">
        <v>86.25</v>
      </c>
      <c r="R109">
        <v>54.54</v>
      </c>
      <c r="S109">
        <v>70.400000000000006</v>
      </c>
      <c r="T109">
        <v>455581</v>
      </c>
      <c r="V109" t="str">
        <v>Ogan Ilir</v>
      </c>
      <c r="W109">
        <v>8.4499999999999993</v>
      </c>
      <c r="X109">
        <v>7.97</v>
      </c>
      <c r="Y109">
        <v>8.16</v>
      </c>
      <c r="Z109">
        <v>12.39</v>
      </c>
      <c r="AA109">
        <v>12.6</v>
      </c>
      <c r="AB109">
        <v>12.43</v>
      </c>
      <c r="AC109">
        <v>73.650000000000006</v>
      </c>
      <c r="AD109">
        <v>73.209999999999994</v>
      </c>
      <c r="AE109">
        <v>73.209999999999994</v>
      </c>
      <c r="AF109">
        <v>3.44</v>
      </c>
      <c r="AG109">
        <v>2.2000000000000002</v>
      </c>
      <c r="AH109">
        <v>2.93</v>
      </c>
      <c r="AI109">
        <v>71.510000000000005</v>
      </c>
      <c r="AJ109">
        <v>76.16</v>
      </c>
      <c r="AK109">
        <v>73.78</v>
      </c>
      <c r="AL109">
        <v>89.42</v>
      </c>
      <c r="AM109">
        <v>63.06</v>
      </c>
      <c r="AN109">
        <v>76.239999999999995</v>
      </c>
      <c r="AO109">
        <v>441183</v>
      </c>
    </row>
    <row r="110" spans="1:41" x14ac:dyDescent="0.35">
      <c r="A110" t="s">
        <v>109</v>
      </c>
      <c r="B110">
        <v>7.92</v>
      </c>
      <c r="C110">
        <v>7.46</v>
      </c>
      <c r="D110">
        <v>7.61</v>
      </c>
      <c r="E110">
        <v>12.43</v>
      </c>
      <c r="F110">
        <v>12.6</v>
      </c>
      <c r="G110">
        <v>12.43</v>
      </c>
      <c r="H110">
        <v>76.37</v>
      </c>
      <c r="I110">
        <v>66.72</v>
      </c>
      <c r="J110">
        <v>71.92</v>
      </c>
      <c r="K110">
        <v>1.97</v>
      </c>
      <c r="L110">
        <v>1.38</v>
      </c>
      <c r="M110">
        <v>1.74</v>
      </c>
      <c r="N110">
        <v>71.95</v>
      </c>
      <c r="O110">
        <v>77.08</v>
      </c>
      <c r="P110">
        <v>74.45</v>
      </c>
      <c r="Q110">
        <v>87.39</v>
      </c>
      <c r="R110">
        <v>55.97</v>
      </c>
      <c r="S110">
        <v>71.680000000000007</v>
      </c>
      <c r="T110">
        <v>415744</v>
      </c>
      <c r="V110" t="str">
        <v>Empat Lawang</v>
      </c>
      <c r="W110">
        <v>8.4700000000000006</v>
      </c>
      <c r="X110">
        <v>7.87</v>
      </c>
      <c r="Y110">
        <v>8.02</v>
      </c>
      <c r="Z110">
        <v>11.97</v>
      </c>
      <c r="AA110">
        <v>12.57</v>
      </c>
      <c r="AB110">
        <v>12.12</v>
      </c>
      <c r="AC110">
        <v>74.47</v>
      </c>
      <c r="AD110">
        <v>69.95</v>
      </c>
      <c r="AE110">
        <v>70.56</v>
      </c>
      <c r="AF110">
        <v>2.2000000000000002</v>
      </c>
      <c r="AG110">
        <v>3.35</v>
      </c>
      <c r="AH110">
        <v>2.68</v>
      </c>
      <c r="AI110">
        <v>69.209999999999994</v>
      </c>
      <c r="AJ110">
        <v>73.17</v>
      </c>
      <c r="AK110">
        <v>71.14</v>
      </c>
      <c r="AL110">
        <v>87.71</v>
      </c>
      <c r="AM110">
        <v>66.72</v>
      </c>
      <c r="AN110">
        <v>77.22</v>
      </c>
      <c r="AO110">
        <v>348974</v>
      </c>
    </row>
    <row r="111" spans="1:41" x14ac:dyDescent="0.35">
      <c r="A111" t="s">
        <v>110</v>
      </c>
      <c r="B111">
        <v>8.5500000000000007</v>
      </c>
      <c r="C111">
        <v>7.96</v>
      </c>
      <c r="D111">
        <v>8.2899999999999991</v>
      </c>
      <c r="E111">
        <v>12.34</v>
      </c>
      <c r="F111">
        <v>12.38</v>
      </c>
      <c r="G111">
        <v>12.34</v>
      </c>
      <c r="H111">
        <v>77.47</v>
      </c>
      <c r="I111">
        <v>65.67</v>
      </c>
      <c r="J111">
        <v>73.17</v>
      </c>
      <c r="K111">
        <v>1.02</v>
      </c>
      <c r="L111">
        <v>3.7</v>
      </c>
      <c r="M111">
        <v>2.04</v>
      </c>
      <c r="N111">
        <v>72.13</v>
      </c>
      <c r="O111">
        <v>77.45</v>
      </c>
      <c r="P111">
        <v>74.72</v>
      </c>
      <c r="Q111">
        <v>86</v>
      </c>
      <c r="R111">
        <v>55.29</v>
      </c>
      <c r="S111">
        <v>70.650000000000006</v>
      </c>
      <c r="T111">
        <v>659302</v>
      </c>
      <c r="V111" t="str">
        <v>Penukal Abab Lematang Ilir</v>
      </c>
      <c r="W111">
        <v>7.94</v>
      </c>
      <c r="X111">
        <v>7.02</v>
      </c>
      <c r="Y111">
        <v>7.42</v>
      </c>
      <c r="Z111">
        <v>11.81</v>
      </c>
      <c r="AA111">
        <v>12.69</v>
      </c>
      <c r="AB111">
        <v>12.69</v>
      </c>
      <c r="AC111">
        <v>73.34</v>
      </c>
      <c r="AD111">
        <v>69.28</v>
      </c>
      <c r="AE111">
        <v>70.55</v>
      </c>
      <c r="AF111">
        <v>4.0199999999999996</v>
      </c>
      <c r="AG111">
        <v>3.24</v>
      </c>
      <c r="AH111">
        <v>3.69</v>
      </c>
      <c r="AI111">
        <v>71.87</v>
      </c>
      <c r="AJ111">
        <v>76.91</v>
      </c>
      <c r="AK111">
        <v>74.33</v>
      </c>
      <c r="AL111">
        <v>88.1</v>
      </c>
      <c r="AM111">
        <v>64.290000000000006</v>
      </c>
      <c r="AN111">
        <v>76.2</v>
      </c>
      <c r="AO111">
        <v>208032</v>
      </c>
    </row>
    <row r="112" spans="1:41" x14ac:dyDescent="0.35">
      <c r="A112" t="s">
        <v>111</v>
      </c>
      <c r="B112">
        <v>7.94</v>
      </c>
      <c r="C112">
        <v>7.44</v>
      </c>
      <c r="D112">
        <v>7.65</v>
      </c>
      <c r="E112">
        <v>12.17</v>
      </c>
      <c r="F112">
        <v>12.8</v>
      </c>
      <c r="G112">
        <v>12.54</v>
      </c>
      <c r="H112">
        <v>75.97</v>
      </c>
      <c r="I112">
        <v>69.209999999999994</v>
      </c>
      <c r="J112">
        <v>72.42</v>
      </c>
      <c r="K112">
        <v>1.86</v>
      </c>
      <c r="L112">
        <v>4.3099999999999996</v>
      </c>
      <c r="M112">
        <v>2.68</v>
      </c>
      <c r="N112">
        <v>72.13</v>
      </c>
      <c r="O112">
        <v>77.459999999999994</v>
      </c>
      <c r="P112">
        <v>74.73</v>
      </c>
      <c r="Q112">
        <v>84.97</v>
      </c>
      <c r="R112">
        <v>44.42</v>
      </c>
      <c r="S112">
        <v>64.7</v>
      </c>
      <c r="T112">
        <v>897425</v>
      </c>
      <c r="V112" t="str">
        <v>Musi Rawas Utara</v>
      </c>
      <c r="W112">
        <v>8.4</v>
      </c>
      <c r="X112">
        <v>7.32</v>
      </c>
      <c r="Y112">
        <v>7.8</v>
      </c>
      <c r="Z112">
        <v>12.07</v>
      </c>
      <c r="AA112">
        <v>12.45</v>
      </c>
      <c r="AB112">
        <v>12.07</v>
      </c>
      <c r="AC112">
        <v>75.900000000000006</v>
      </c>
      <c r="AD112">
        <v>70.400000000000006</v>
      </c>
      <c r="AE112">
        <v>71.39</v>
      </c>
      <c r="AF112">
        <v>4.42</v>
      </c>
      <c r="AG112">
        <v>5.36</v>
      </c>
      <c r="AH112">
        <v>4.78</v>
      </c>
      <c r="AI112">
        <v>71.3</v>
      </c>
      <c r="AJ112">
        <v>75.72</v>
      </c>
      <c r="AK112">
        <v>73.459999999999994</v>
      </c>
      <c r="AL112">
        <v>85.1</v>
      </c>
      <c r="AM112">
        <v>55.67</v>
      </c>
      <c r="AN112">
        <v>70.39</v>
      </c>
      <c r="AO112">
        <v>200799</v>
      </c>
    </row>
    <row r="113" spans="1:41" x14ac:dyDescent="0.35">
      <c r="A113" t="s">
        <v>112</v>
      </c>
      <c r="B113">
        <v>8.5299999999999994</v>
      </c>
      <c r="C113">
        <v>8.3000000000000007</v>
      </c>
      <c r="D113">
        <v>8.48</v>
      </c>
      <c r="E113">
        <v>11.93</v>
      </c>
      <c r="F113">
        <v>12.4</v>
      </c>
      <c r="G113">
        <v>12.02</v>
      </c>
      <c r="H113">
        <v>74.31</v>
      </c>
      <c r="I113">
        <v>69.44</v>
      </c>
      <c r="J113">
        <v>70.98</v>
      </c>
      <c r="K113">
        <v>1.08</v>
      </c>
      <c r="L113">
        <v>3.29</v>
      </c>
      <c r="M113">
        <v>1.92</v>
      </c>
      <c r="N113">
        <v>71.48</v>
      </c>
      <c r="O113">
        <v>76.099999999999994</v>
      </c>
      <c r="P113">
        <v>73.739999999999995</v>
      </c>
      <c r="Q113">
        <v>88.86</v>
      </c>
      <c r="R113">
        <v>58.85</v>
      </c>
      <c r="S113">
        <v>73.86</v>
      </c>
      <c r="T113">
        <v>434789</v>
      </c>
      <c r="V113" t="str">
        <v>Kota Palembang</v>
      </c>
      <c r="W113">
        <v>11.43</v>
      </c>
      <c r="X113">
        <v>11.01</v>
      </c>
      <c r="Y113">
        <v>11.25</v>
      </c>
      <c r="Z113">
        <v>14.52</v>
      </c>
      <c r="AA113">
        <v>14.35</v>
      </c>
      <c r="AB113">
        <v>14.47</v>
      </c>
      <c r="AC113">
        <v>84.69</v>
      </c>
      <c r="AD113">
        <v>82.78</v>
      </c>
      <c r="AE113">
        <v>83.27</v>
      </c>
      <c r="AF113">
        <v>7.83</v>
      </c>
      <c r="AG113">
        <v>5.18</v>
      </c>
      <c r="AH113">
        <v>6.81</v>
      </c>
      <c r="AI113">
        <v>73.39</v>
      </c>
      <c r="AJ113">
        <v>79.290000000000006</v>
      </c>
      <c r="AK113">
        <v>76.260000000000005</v>
      </c>
      <c r="AL113">
        <v>78.069999999999993</v>
      </c>
      <c r="AM113">
        <v>48.09</v>
      </c>
      <c r="AN113">
        <v>63.08</v>
      </c>
      <c r="AO113">
        <v>1729843</v>
      </c>
    </row>
    <row r="114" spans="1:41" x14ac:dyDescent="0.35">
      <c r="A114" t="s">
        <v>113</v>
      </c>
      <c r="B114">
        <v>8.3800000000000008</v>
      </c>
      <c r="C114">
        <v>7.77</v>
      </c>
      <c r="D114">
        <v>8.1300000000000008</v>
      </c>
      <c r="E114">
        <v>12.62</v>
      </c>
      <c r="F114">
        <v>12.66</v>
      </c>
      <c r="G114">
        <v>12.66</v>
      </c>
      <c r="H114">
        <v>77.180000000000007</v>
      </c>
      <c r="I114">
        <v>73.819999999999993</v>
      </c>
      <c r="J114">
        <v>74.42</v>
      </c>
      <c r="K114">
        <v>1.56</v>
      </c>
      <c r="L114">
        <v>5.32</v>
      </c>
      <c r="M114">
        <v>3.1</v>
      </c>
      <c r="N114">
        <v>72.19</v>
      </c>
      <c r="O114">
        <v>77.55</v>
      </c>
      <c r="P114">
        <v>74.8</v>
      </c>
      <c r="Q114">
        <v>90.1</v>
      </c>
      <c r="R114">
        <v>65.67</v>
      </c>
      <c r="S114">
        <v>77.89</v>
      </c>
      <c r="T114">
        <v>680094</v>
      </c>
      <c r="V114" t="str">
        <v>Kota Prabumulih</v>
      </c>
      <c r="W114">
        <v>10.66</v>
      </c>
      <c r="X114">
        <v>10.29</v>
      </c>
      <c r="Y114">
        <v>10.37</v>
      </c>
      <c r="Z114">
        <v>13.2</v>
      </c>
      <c r="AA114">
        <v>14</v>
      </c>
      <c r="AB114">
        <v>13.42</v>
      </c>
      <c r="AC114">
        <v>82.77</v>
      </c>
      <c r="AD114">
        <v>79.14</v>
      </c>
      <c r="AE114">
        <v>79.17</v>
      </c>
      <c r="AF114">
        <v>5.59</v>
      </c>
      <c r="AG114">
        <v>3.46</v>
      </c>
      <c r="AH114">
        <v>4.72</v>
      </c>
      <c r="AI114">
        <v>72.62</v>
      </c>
      <c r="AJ114">
        <v>78.17</v>
      </c>
      <c r="AK114">
        <v>75.33</v>
      </c>
      <c r="AL114">
        <v>82.64</v>
      </c>
      <c r="AM114">
        <v>56.72</v>
      </c>
      <c r="AN114">
        <v>69.680000000000007</v>
      </c>
      <c r="AO114">
        <v>205905</v>
      </c>
    </row>
    <row r="115" spans="1:41" x14ac:dyDescent="0.35">
      <c r="A115" t="s">
        <v>114</v>
      </c>
      <c r="B115">
        <v>8.4499999999999993</v>
      </c>
      <c r="C115">
        <v>7.97</v>
      </c>
      <c r="D115">
        <v>8.16</v>
      </c>
      <c r="E115">
        <v>12.39</v>
      </c>
      <c r="F115">
        <v>12.6</v>
      </c>
      <c r="G115">
        <v>12.43</v>
      </c>
      <c r="H115">
        <v>73.650000000000006</v>
      </c>
      <c r="I115">
        <v>73.209999999999994</v>
      </c>
      <c r="J115">
        <v>73.209999999999994</v>
      </c>
      <c r="K115">
        <v>3.44</v>
      </c>
      <c r="L115">
        <v>2.2000000000000002</v>
      </c>
      <c r="M115">
        <v>2.93</v>
      </c>
      <c r="N115">
        <v>71.510000000000005</v>
      </c>
      <c r="O115">
        <v>76.16</v>
      </c>
      <c r="P115">
        <v>73.78</v>
      </c>
      <c r="Q115">
        <v>89.42</v>
      </c>
      <c r="R115">
        <v>63.06</v>
      </c>
      <c r="S115">
        <v>76.239999999999995</v>
      </c>
      <c r="T115">
        <v>441183</v>
      </c>
      <c r="V115" t="str">
        <v>Kota Pagar Alam</v>
      </c>
      <c r="W115">
        <v>9.9</v>
      </c>
      <c r="X115">
        <v>9.73</v>
      </c>
      <c r="Y115">
        <v>9.7799999999999994</v>
      </c>
      <c r="Z115">
        <v>13.29</v>
      </c>
      <c r="AA115">
        <v>14</v>
      </c>
      <c r="AB115">
        <v>13.51</v>
      </c>
      <c r="AC115">
        <v>77.73</v>
      </c>
      <c r="AD115">
        <v>74.510000000000005</v>
      </c>
      <c r="AE115">
        <v>74.92</v>
      </c>
      <c r="AF115">
        <v>2.17</v>
      </c>
      <c r="AG115">
        <v>2.2200000000000002</v>
      </c>
      <c r="AH115">
        <v>2.19</v>
      </c>
      <c r="AI115">
        <v>71.77</v>
      </c>
      <c r="AJ115">
        <v>76.7</v>
      </c>
      <c r="AK115">
        <v>74.180000000000007</v>
      </c>
      <c r="AL115">
        <v>88.81</v>
      </c>
      <c r="AM115">
        <v>68.739999999999995</v>
      </c>
      <c r="AN115">
        <v>78.78</v>
      </c>
      <c r="AO115">
        <v>150533</v>
      </c>
    </row>
    <row r="116" spans="1:41" x14ac:dyDescent="0.35">
      <c r="A116" t="s">
        <v>115</v>
      </c>
      <c r="B116">
        <v>8.4700000000000006</v>
      </c>
      <c r="C116">
        <v>7.87</v>
      </c>
      <c r="D116">
        <v>8.02</v>
      </c>
      <c r="E116">
        <v>11.97</v>
      </c>
      <c r="F116">
        <v>12.57</v>
      </c>
      <c r="G116">
        <v>12.12</v>
      </c>
      <c r="H116">
        <v>74.47</v>
      </c>
      <c r="I116">
        <v>69.95</v>
      </c>
      <c r="J116">
        <v>70.56</v>
      </c>
      <c r="K116">
        <v>2.2000000000000002</v>
      </c>
      <c r="L116">
        <v>3.35</v>
      </c>
      <c r="M116">
        <v>2.68</v>
      </c>
      <c r="N116">
        <v>69.209999999999994</v>
      </c>
      <c r="O116">
        <v>73.17</v>
      </c>
      <c r="P116">
        <v>71.14</v>
      </c>
      <c r="Q116">
        <v>87.71</v>
      </c>
      <c r="R116">
        <v>66.72</v>
      </c>
      <c r="S116">
        <v>77.22</v>
      </c>
      <c r="T116">
        <v>348974</v>
      </c>
      <c r="V116" t="str">
        <v>Kota Lubuklinggau</v>
      </c>
      <c r="W116">
        <v>10.42</v>
      </c>
      <c r="X116">
        <v>9.99</v>
      </c>
      <c r="Y116">
        <v>10.15</v>
      </c>
      <c r="Z116">
        <v>13.79</v>
      </c>
      <c r="AA116">
        <v>14.32</v>
      </c>
      <c r="AB116">
        <v>13.88</v>
      </c>
      <c r="AC116">
        <v>82.8</v>
      </c>
      <c r="AD116">
        <v>79.84</v>
      </c>
      <c r="AE116">
        <v>79.94</v>
      </c>
      <c r="AF116">
        <v>5.52</v>
      </c>
      <c r="AG116">
        <v>4.3099999999999996</v>
      </c>
      <c r="AH116">
        <v>5.01</v>
      </c>
      <c r="AI116">
        <v>72.72</v>
      </c>
      <c r="AJ116">
        <v>78.33</v>
      </c>
      <c r="AK116">
        <v>75.459999999999994</v>
      </c>
      <c r="AL116">
        <v>82.6</v>
      </c>
      <c r="AM116">
        <v>60.69</v>
      </c>
      <c r="AN116">
        <v>71.650000000000006</v>
      </c>
      <c r="AO116">
        <v>249054</v>
      </c>
    </row>
    <row r="117" spans="1:41" x14ac:dyDescent="0.35">
      <c r="A117" t="s">
        <v>116</v>
      </c>
      <c r="B117">
        <v>7.94</v>
      </c>
      <c r="C117">
        <v>7.02</v>
      </c>
      <c r="D117">
        <v>7.42</v>
      </c>
      <c r="E117">
        <v>11.81</v>
      </c>
      <c r="F117">
        <v>12.69</v>
      </c>
      <c r="G117">
        <v>12.69</v>
      </c>
      <c r="H117">
        <v>73.34</v>
      </c>
      <c r="I117">
        <v>69.28</v>
      </c>
      <c r="J117">
        <v>70.55</v>
      </c>
      <c r="K117">
        <v>4.0199999999999996</v>
      </c>
      <c r="L117">
        <v>3.24</v>
      </c>
      <c r="M117">
        <v>3.69</v>
      </c>
      <c r="N117">
        <v>71.87</v>
      </c>
      <c r="O117">
        <v>76.91</v>
      </c>
      <c r="P117">
        <v>74.33</v>
      </c>
      <c r="Q117">
        <v>88.1</v>
      </c>
      <c r="R117">
        <v>64.290000000000006</v>
      </c>
      <c r="S117">
        <v>76.2</v>
      </c>
      <c r="T117">
        <v>208032</v>
      </c>
      <c r="V117" t="str">
        <v>Bengkulu Selatan</v>
      </c>
      <c r="W117">
        <v>9.92</v>
      </c>
      <c r="X117">
        <v>9.39</v>
      </c>
      <c r="Y117">
        <v>9.6</v>
      </c>
      <c r="Z117">
        <v>13.67</v>
      </c>
      <c r="AA117">
        <v>14.23</v>
      </c>
      <c r="AB117">
        <v>13.67</v>
      </c>
      <c r="AC117">
        <v>78.760000000000005</v>
      </c>
      <c r="AD117">
        <v>75.09</v>
      </c>
      <c r="AE117">
        <v>75.319999999999993</v>
      </c>
      <c r="AF117">
        <v>2.3199999999999998</v>
      </c>
      <c r="AG117">
        <v>3.59</v>
      </c>
      <c r="AH117">
        <v>2.86</v>
      </c>
      <c r="AI117">
        <v>71.209999999999994</v>
      </c>
      <c r="AJ117">
        <v>75.53</v>
      </c>
      <c r="AK117">
        <v>73.319999999999993</v>
      </c>
      <c r="AL117">
        <v>82.73</v>
      </c>
      <c r="AM117">
        <v>62.93</v>
      </c>
      <c r="AN117">
        <v>72.83</v>
      </c>
      <c r="AO117">
        <v>175126</v>
      </c>
    </row>
    <row r="118" spans="1:41" x14ac:dyDescent="0.35">
      <c r="A118" t="s">
        <v>117</v>
      </c>
      <c r="B118">
        <v>8.4</v>
      </c>
      <c r="C118">
        <v>7.32</v>
      </c>
      <c r="D118">
        <v>7.8</v>
      </c>
      <c r="E118">
        <v>12.07</v>
      </c>
      <c r="F118">
        <v>12.45</v>
      </c>
      <c r="G118">
        <v>12.07</v>
      </c>
      <c r="H118">
        <v>75.900000000000006</v>
      </c>
      <c r="I118">
        <v>70.400000000000006</v>
      </c>
      <c r="J118">
        <v>71.39</v>
      </c>
      <c r="K118">
        <v>4.42</v>
      </c>
      <c r="L118">
        <v>5.36</v>
      </c>
      <c r="M118">
        <v>4.78</v>
      </c>
      <c r="N118">
        <v>71.3</v>
      </c>
      <c r="O118">
        <v>75.72</v>
      </c>
      <c r="P118">
        <v>73.459999999999994</v>
      </c>
      <c r="Q118">
        <v>85.1</v>
      </c>
      <c r="R118">
        <v>55.67</v>
      </c>
      <c r="S118">
        <v>70.39</v>
      </c>
      <c r="T118">
        <v>200799</v>
      </c>
      <c r="V118" t="str">
        <v>Rejang Lebong</v>
      </c>
      <c r="W118">
        <v>9.18</v>
      </c>
      <c r="X118">
        <v>9.0299999999999994</v>
      </c>
      <c r="Y118">
        <v>9.0500000000000007</v>
      </c>
      <c r="Z118">
        <v>13.88</v>
      </c>
      <c r="AA118">
        <v>14.56</v>
      </c>
      <c r="AB118">
        <v>14.21</v>
      </c>
      <c r="AC118">
        <v>78.94</v>
      </c>
      <c r="AD118">
        <v>75.12</v>
      </c>
      <c r="AE118">
        <v>75.87</v>
      </c>
      <c r="AF118">
        <v>2.52</v>
      </c>
      <c r="AG118">
        <v>3.44</v>
      </c>
      <c r="AH118">
        <v>2.91</v>
      </c>
      <c r="AI118">
        <v>71.77</v>
      </c>
      <c r="AJ118">
        <v>76.7</v>
      </c>
      <c r="AK118">
        <v>74.17</v>
      </c>
      <c r="AL118">
        <v>85.83</v>
      </c>
      <c r="AM118">
        <v>66.28</v>
      </c>
      <c r="AN118">
        <v>76.06</v>
      </c>
      <c r="AO118">
        <v>291897</v>
      </c>
    </row>
    <row r="119" spans="1:41" x14ac:dyDescent="0.35">
      <c r="A119" t="s">
        <v>118</v>
      </c>
      <c r="B119">
        <v>11.43</v>
      </c>
      <c r="C119">
        <v>11.01</v>
      </c>
      <c r="D119">
        <v>11.25</v>
      </c>
      <c r="E119">
        <v>14.52</v>
      </c>
      <c r="F119">
        <v>14.35</v>
      </c>
      <c r="G119">
        <v>14.47</v>
      </c>
      <c r="H119">
        <v>84.69</v>
      </c>
      <c r="I119">
        <v>82.78</v>
      </c>
      <c r="J119">
        <v>83.27</v>
      </c>
      <c r="K119">
        <v>7.83</v>
      </c>
      <c r="L119">
        <v>5.18</v>
      </c>
      <c r="M119">
        <v>6.81</v>
      </c>
      <c r="N119">
        <v>73.39</v>
      </c>
      <c r="O119">
        <v>79.290000000000006</v>
      </c>
      <c r="P119">
        <v>76.260000000000005</v>
      </c>
      <c r="Q119">
        <v>78.069999999999993</v>
      </c>
      <c r="R119">
        <v>48.09</v>
      </c>
      <c r="S119">
        <v>63.08</v>
      </c>
      <c r="T119">
        <v>1729843</v>
      </c>
      <c r="V119" t="str">
        <v>Bengkulu Utara</v>
      </c>
      <c r="W119">
        <v>8.75</v>
      </c>
      <c r="X119">
        <v>8.01</v>
      </c>
      <c r="Y119">
        <v>8.35</v>
      </c>
      <c r="Z119">
        <v>12.66</v>
      </c>
      <c r="AA119">
        <v>13.33</v>
      </c>
      <c r="AB119">
        <v>12.93</v>
      </c>
      <c r="AC119">
        <v>77.37</v>
      </c>
      <c r="AD119">
        <v>71.45</v>
      </c>
      <c r="AE119">
        <v>73.56</v>
      </c>
      <c r="AF119">
        <v>3.37</v>
      </c>
      <c r="AG119">
        <v>4.3899999999999997</v>
      </c>
      <c r="AH119">
        <v>3.75</v>
      </c>
      <c r="AI119">
        <v>71.34</v>
      </c>
      <c r="AJ119">
        <v>75.8</v>
      </c>
      <c r="AK119">
        <v>73.52</v>
      </c>
      <c r="AL119">
        <v>85.29</v>
      </c>
      <c r="AM119">
        <v>53.26</v>
      </c>
      <c r="AN119">
        <v>69.28</v>
      </c>
      <c r="AO119">
        <v>313521</v>
      </c>
    </row>
    <row r="120" spans="1:41" x14ac:dyDescent="0.35">
      <c r="A120" t="s">
        <v>119</v>
      </c>
      <c r="B120">
        <v>10.66</v>
      </c>
      <c r="C120">
        <v>10.29</v>
      </c>
      <c r="D120">
        <v>10.37</v>
      </c>
      <c r="E120">
        <v>13.2</v>
      </c>
      <c r="F120">
        <v>14</v>
      </c>
      <c r="G120">
        <v>13.42</v>
      </c>
      <c r="H120">
        <v>82.77</v>
      </c>
      <c r="I120">
        <v>79.14</v>
      </c>
      <c r="J120">
        <v>79.17</v>
      </c>
      <c r="K120">
        <v>5.59</v>
      </c>
      <c r="L120">
        <v>3.46</v>
      </c>
      <c r="M120">
        <v>4.72</v>
      </c>
      <c r="N120">
        <v>72.62</v>
      </c>
      <c r="O120">
        <v>78.17</v>
      </c>
      <c r="P120">
        <v>75.33</v>
      </c>
      <c r="Q120">
        <v>82.64</v>
      </c>
      <c r="R120">
        <v>56.72</v>
      </c>
      <c r="S120">
        <v>69.680000000000007</v>
      </c>
      <c r="T120">
        <v>205905</v>
      </c>
      <c r="V120" t="str">
        <v>Kaur</v>
      </c>
      <c r="W120">
        <v>9.39</v>
      </c>
      <c r="X120">
        <v>8.4499999999999993</v>
      </c>
      <c r="Y120">
        <v>8.7100000000000009</v>
      </c>
      <c r="Z120">
        <v>13.36</v>
      </c>
      <c r="AA120">
        <v>13.16</v>
      </c>
      <c r="AB120">
        <v>13.16</v>
      </c>
      <c r="AC120">
        <v>77.22</v>
      </c>
      <c r="AD120">
        <v>68.12</v>
      </c>
      <c r="AE120">
        <v>72.45</v>
      </c>
      <c r="AF120">
        <v>3.52</v>
      </c>
      <c r="AG120">
        <v>4.38</v>
      </c>
      <c r="AH120">
        <v>3.88</v>
      </c>
      <c r="AI120">
        <v>71.209999999999994</v>
      </c>
      <c r="AJ120">
        <v>75.52</v>
      </c>
      <c r="AK120">
        <v>73.31</v>
      </c>
      <c r="AL120">
        <v>83.88</v>
      </c>
      <c r="AM120">
        <v>62.84</v>
      </c>
      <c r="AN120">
        <v>73.36</v>
      </c>
      <c r="AO120">
        <v>134235</v>
      </c>
    </row>
    <row r="121" spans="1:41" x14ac:dyDescent="0.35">
      <c r="A121" t="s">
        <v>120</v>
      </c>
      <c r="B121">
        <v>9.9</v>
      </c>
      <c r="C121">
        <v>9.73</v>
      </c>
      <c r="D121">
        <v>9.7799999999999994</v>
      </c>
      <c r="E121">
        <v>13.29</v>
      </c>
      <c r="F121">
        <v>14</v>
      </c>
      <c r="G121">
        <v>13.51</v>
      </c>
      <c r="H121">
        <v>77.73</v>
      </c>
      <c r="I121">
        <v>74.510000000000005</v>
      </c>
      <c r="J121">
        <v>74.92</v>
      </c>
      <c r="K121">
        <v>2.17</v>
      </c>
      <c r="L121">
        <v>2.2200000000000002</v>
      </c>
      <c r="M121">
        <v>2.19</v>
      </c>
      <c r="N121">
        <v>71.77</v>
      </c>
      <c r="O121">
        <v>76.7</v>
      </c>
      <c r="P121">
        <v>74.180000000000007</v>
      </c>
      <c r="Q121">
        <v>88.81</v>
      </c>
      <c r="R121">
        <v>68.739999999999995</v>
      </c>
      <c r="S121">
        <v>78.78</v>
      </c>
      <c r="T121">
        <v>150533</v>
      </c>
      <c r="V121" t="str">
        <v>Seluma</v>
      </c>
      <c r="W121">
        <v>8.86</v>
      </c>
      <c r="X121">
        <v>7.85</v>
      </c>
      <c r="Y121">
        <v>8.34</v>
      </c>
      <c r="Z121">
        <v>13.3</v>
      </c>
      <c r="AA121">
        <v>13.67</v>
      </c>
      <c r="AB121">
        <v>13.34</v>
      </c>
      <c r="AC121">
        <v>76.75</v>
      </c>
      <c r="AD121">
        <v>66.67</v>
      </c>
      <c r="AE121">
        <v>71.849999999999994</v>
      </c>
      <c r="AF121">
        <v>1.93</v>
      </c>
      <c r="AG121">
        <v>2.2999999999999998</v>
      </c>
      <c r="AH121">
        <v>2.0699999999999998</v>
      </c>
      <c r="AI121">
        <v>71.13</v>
      </c>
      <c r="AJ121">
        <v>75.349999999999994</v>
      </c>
      <c r="AK121">
        <v>73.19</v>
      </c>
      <c r="AL121">
        <v>88.1</v>
      </c>
      <c r="AM121">
        <v>57.88</v>
      </c>
      <c r="AN121">
        <v>72.989999999999995</v>
      </c>
      <c r="AO121">
        <v>219877</v>
      </c>
    </row>
    <row r="122" spans="1:41" x14ac:dyDescent="0.35">
      <c r="A122" t="s">
        <v>121</v>
      </c>
      <c r="B122">
        <v>10.42</v>
      </c>
      <c r="C122">
        <v>9.99</v>
      </c>
      <c r="D122">
        <v>10.15</v>
      </c>
      <c r="E122">
        <v>13.79</v>
      </c>
      <c r="F122">
        <v>14.32</v>
      </c>
      <c r="G122">
        <v>13.88</v>
      </c>
      <c r="H122">
        <v>82.8</v>
      </c>
      <c r="I122">
        <v>79.84</v>
      </c>
      <c r="J122">
        <v>79.94</v>
      </c>
      <c r="K122">
        <v>5.52</v>
      </c>
      <c r="L122">
        <v>4.3099999999999996</v>
      </c>
      <c r="M122">
        <v>5.01</v>
      </c>
      <c r="N122">
        <v>72.72</v>
      </c>
      <c r="O122">
        <v>78.33</v>
      </c>
      <c r="P122">
        <v>75.459999999999994</v>
      </c>
      <c r="Q122">
        <v>82.6</v>
      </c>
      <c r="R122">
        <v>60.69</v>
      </c>
      <c r="S122">
        <v>71.650000000000006</v>
      </c>
      <c r="T122">
        <v>249054</v>
      </c>
      <c r="V122" t="str">
        <v>Mukomuko</v>
      </c>
      <c r="W122">
        <v>8.9499999999999993</v>
      </c>
      <c r="X122">
        <v>8.41</v>
      </c>
      <c r="Y122">
        <v>8.65</v>
      </c>
      <c r="Z122">
        <v>13.06</v>
      </c>
      <c r="AA122">
        <v>13.22</v>
      </c>
      <c r="AB122">
        <v>13.06</v>
      </c>
      <c r="AC122">
        <v>79.099999999999994</v>
      </c>
      <c r="AD122">
        <v>68.08</v>
      </c>
      <c r="AE122">
        <v>74.45</v>
      </c>
      <c r="AF122">
        <v>2.9</v>
      </c>
      <c r="AG122">
        <v>4.25</v>
      </c>
      <c r="AH122">
        <v>3.33</v>
      </c>
      <c r="AI122">
        <v>71.86</v>
      </c>
      <c r="AJ122">
        <v>76.89</v>
      </c>
      <c r="AK122">
        <v>74.31</v>
      </c>
      <c r="AL122">
        <v>89.85</v>
      </c>
      <c r="AM122">
        <v>44.47</v>
      </c>
      <c r="AN122">
        <v>67.16</v>
      </c>
      <c r="AO122">
        <v>204560</v>
      </c>
    </row>
    <row r="123" spans="1:41" x14ac:dyDescent="0.35">
      <c r="A123" t="s">
        <v>123</v>
      </c>
      <c r="B123">
        <v>9.4700000000000006</v>
      </c>
      <c r="C123">
        <v>9.06</v>
      </c>
      <c r="D123">
        <v>9.23</v>
      </c>
      <c r="E123">
        <v>13.71</v>
      </c>
      <c r="F123">
        <v>14.15</v>
      </c>
      <c r="G123">
        <v>13.76</v>
      </c>
      <c r="H123">
        <v>79.34</v>
      </c>
      <c r="I123">
        <v>73.14</v>
      </c>
      <c r="J123">
        <v>75.680000000000007</v>
      </c>
      <c r="K123">
        <v>3.01</v>
      </c>
      <c r="L123">
        <v>4.0199999999999996</v>
      </c>
      <c r="M123">
        <v>3.41</v>
      </c>
      <c r="N123">
        <v>71.39</v>
      </c>
      <c r="O123">
        <v>75.900000000000006</v>
      </c>
      <c r="P123">
        <v>73.59</v>
      </c>
      <c r="Q123">
        <v>84.84</v>
      </c>
      <c r="R123">
        <v>58.17</v>
      </c>
      <c r="S123">
        <v>71.510000000000005</v>
      </c>
      <c r="T123">
        <v>2138044</v>
      </c>
      <c r="V123" t="str">
        <v>Lebong</v>
      </c>
      <c r="W123">
        <v>8.8699999999999992</v>
      </c>
      <c r="X123">
        <v>8.3000000000000007</v>
      </c>
      <c r="Y123">
        <v>8.48</v>
      </c>
      <c r="Z123">
        <v>12.61</v>
      </c>
      <c r="AA123">
        <v>13.17</v>
      </c>
      <c r="AB123">
        <v>12.92</v>
      </c>
      <c r="AC123">
        <v>78.260000000000005</v>
      </c>
      <c r="AD123">
        <v>72.510000000000005</v>
      </c>
      <c r="AE123">
        <v>74.099999999999994</v>
      </c>
      <c r="AF123">
        <v>1.89</v>
      </c>
      <c r="AG123">
        <v>2.5499999999999998</v>
      </c>
      <c r="AH123">
        <v>2.16</v>
      </c>
      <c r="AI123">
        <v>71.069999999999993</v>
      </c>
      <c r="AJ123">
        <v>75.23</v>
      </c>
      <c r="AK123">
        <v>73.099999999999994</v>
      </c>
      <c r="AL123">
        <v>86.41</v>
      </c>
      <c r="AM123">
        <v>64.569999999999993</v>
      </c>
      <c r="AN123">
        <v>75.489999999999995</v>
      </c>
      <c r="AO123">
        <v>113140</v>
      </c>
    </row>
    <row r="124" spans="1:41" x14ac:dyDescent="0.35">
      <c r="A124" t="s">
        <v>124</v>
      </c>
      <c r="B124">
        <v>9.92</v>
      </c>
      <c r="C124">
        <v>9.39</v>
      </c>
      <c r="D124">
        <v>9.6</v>
      </c>
      <c r="E124">
        <v>13.67</v>
      </c>
      <c r="F124">
        <v>14.23</v>
      </c>
      <c r="G124">
        <v>13.67</v>
      </c>
      <c r="H124">
        <v>78.760000000000005</v>
      </c>
      <c r="I124">
        <v>75.09</v>
      </c>
      <c r="J124">
        <v>75.319999999999993</v>
      </c>
      <c r="K124">
        <v>2.3199999999999998</v>
      </c>
      <c r="L124">
        <v>3.59</v>
      </c>
      <c r="M124">
        <v>2.86</v>
      </c>
      <c r="N124">
        <v>71.209999999999994</v>
      </c>
      <c r="O124">
        <v>75.53</v>
      </c>
      <c r="P124">
        <v>73.319999999999993</v>
      </c>
      <c r="Q124">
        <v>82.73</v>
      </c>
      <c r="R124">
        <v>62.93</v>
      </c>
      <c r="S124">
        <v>72.83</v>
      </c>
      <c r="T124">
        <v>175126</v>
      </c>
      <c r="V124" t="str">
        <v>Kepahiang</v>
      </c>
      <c r="W124">
        <v>8.74</v>
      </c>
      <c r="X124">
        <v>8.4700000000000006</v>
      </c>
      <c r="Y124">
        <v>8.61</v>
      </c>
      <c r="Z124">
        <v>13.31</v>
      </c>
      <c r="AA124">
        <v>14.04</v>
      </c>
      <c r="AB124">
        <v>13.31</v>
      </c>
      <c r="AC124">
        <v>75.64</v>
      </c>
      <c r="AD124">
        <v>72.87</v>
      </c>
      <c r="AE124">
        <v>72.959999999999994</v>
      </c>
      <c r="AF124">
        <v>2.0299999999999998</v>
      </c>
      <c r="AG124">
        <v>3.11</v>
      </c>
      <c r="AH124">
        <v>2.4900000000000002</v>
      </c>
      <c r="AI124">
        <v>70.650000000000006</v>
      </c>
      <c r="AJ124">
        <v>74.67</v>
      </c>
      <c r="AK124">
        <v>72.61</v>
      </c>
      <c r="AL124">
        <v>88.24</v>
      </c>
      <c r="AM124">
        <v>70.48</v>
      </c>
      <c r="AN124">
        <v>79.36</v>
      </c>
      <c r="AO124">
        <v>158012</v>
      </c>
    </row>
    <row r="125" spans="1:41" x14ac:dyDescent="0.35">
      <c r="A125" t="s">
        <v>125</v>
      </c>
      <c r="B125">
        <v>9.18</v>
      </c>
      <c r="C125">
        <v>9.0299999999999994</v>
      </c>
      <c r="D125">
        <v>9.0500000000000007</v>
      </c>
      <c r="E125">
        <v>13.88</v>
      </c>
      <c r="F125">
        <v>14.56</v>
      </c>
      <c r="G125">
        <v>14.21</v>
      </c>
      <c r="H125">
        <v>78.94</v>
      </c>
      <c r="I125">
        <v>75.12</v>
      </c>
      <c r="J125">
        <v>75.87</v>
      </c>
      <c r="K125">
        <v>2.52</v>
      </c>
      <c r="L125">
        <v>3.44</v>
      </c>
      <c r="M125">
        <v>2.91</v>
      </c>
      <c r="N125">
        <v>71.77</v>
      </c>
      <c r="O125">
        <v>76.7</v>
      </c>
      <c r="P125">
        <v>74.17</v>
      </c>
      <c r="Q125">
        <v>85.83</v>
      </c>
      <c r="R125">
        <v>66.28</v>
      </c>
      <c r="S125">
        <v>76.06</v>
      </c>
      <c r="T125">
        <v>291897</v>
      </c>
      <c r="V125" t="str">
        <v>Bengkulu Tengah</v>
      </c>
      <c r="W125">
        <v>8.52</v>
      </c>
      <c r="X125">
        <v>7.36</v>
      </c>
      <c r="Y125">
        <v>7.94</v>
      </c>
      <c r="Z125">
        <v>13.41</v>
      </c>
      <c r="AA125">
        <v>13.75</v>
      </c>
      <c r="AB125">
        <v>13.64</v>
      </c>
      <c r="AC125">
        <v>76.86</v>
      </c>
      <c r="AD125">
        <v>67.78</v>
      </c>
      <c r="AE125">
        <v>72.48</v>
      </c>
      <c r="AF125">
        <v>3.08</v>
      </c>
      <c r="AG125">
        <v>4.03</v>
      </c>
      <c r="AH125">
        <v>3.4</v>
      </c>
      <c r="AI125">
        <v>70.75</v>
      </c>
      <c r="AJ125">
        <v>74.78</v>
      </c>
      <c r="AK125">
        <v>72.709999999999994</v>
      </c>
      <c r="AL125">
        <v>87.99</v>
      </c>
      <c r="AM125">
        <v>47.63</v>
      </c>
      <c r="AN125">
        <v>67.81</v>
      </c>
      <c r="AO125">
        <v>124191</v>
      </c>
    </row>
    <row r="126" spans="1:41" x14ac:dyDescent="0.35">
      <c r="A126" t="s">
        <v>126</v>
      </c>
      <c r="B126">
        <v>8.75</v>
      </c>
      <c r="C126">
        <v>8.01</v>
      </c>
      <c r="D126">
        <v>8.35</v>
      </c>
      <c r="E126">
        <v>12.66</v>
      </c>
      <c r="F126">
        <v>13.33</v>
      </c>
      <c r="G126">
        <v>12.93</v>
      </c>
      <c r="H126">
        <v>77.37</v>
      </c>
      <c r="I126">
        <v>71.45</v>
      </c>
      <c r="J126">
        <v>73.56</v>
      </c>
      <c r="K126">
        <v>3.37</v>
      </c>
      <c r="L126">
        <v>4.3899999999999997</v>
      </c>
      <c r="M126">
        <v>3.75</v>
      </c>
      <c r="N126">
        <v>71.34</v>
      </c>
      <c r="O126">
        <v>75.8</v>
      </c>
      <c r="P126">
        <v>73.52</v>
      </c>
      <c r="Q126">
        <v>85.29</v>
      </c>
      <c r="R126">
        <v>53.26</v>
      </c>
      <c r="S126">
        <v>69.28</v>
      </c>
      <c r="T126">
        <v>313521</v>
      </c>
      <c r="V126" t="str">
        <v>Kota Bengkulu</v>
      </c>
      <c r="W126">
        <v>12.14</v>
      </c>
      <c r="X126">
        <v>11.95</v>
      </c>
      <c r="Y126">
        <v>11.95</v>
      </c>
      <c r="Z126">
        <v>16.059999999999999</v>
      </c>
      <c r="AA126">
        <v>16.489999999999998</v>
      </c>
      <c r="AB126">
        <v>16.079999999999998</v>
      </c>
      <c r="AC126">
        <v>86.71</v>
      </c>
      <c r="AD126">
        <v>84.42</v>
      </c>
      <c r="AE126">
        <v>84.59</v>
      </c>
      <c r="AF126">
        <v>4.78</v>
      </c>
      <c r="AG126">
        <v>6.12</v>
      </c>
      <c r="AH126">
        <v>5.34</v>
      </c>
      <c r="AI126">
        <v>72.459999999999994</v>
      </c>
      <c r="AJ126">
        <v>77.95</v>
      </c>
      <c r="AK126">
        <v>75.14</v>
      </c>
      <c r="AL126">
        <v>77.739999999999995</v>
      </c>
      <c r="AM126">
        <v>55.65</v>
      </c>
      <c r="AN126">
        <v>66.7</v>
      </c>
      <c r="AO126">
        <v>403485</v>
      </c>
    </row>
    <row r="127" spans="1:41" x14ac:dyDescent="0.35">
      <c r="A127" t="s">
        <v>127</v>
      </c>
      <c r="B127">
        <v>9.39</v>
      </c>
      <c r="C127">
        <v>8.4499999999999993</v>
      </c>
      <c r="D127">
        <v>8.7100000000000009</v>
      </c>
      <c r="E127">
        <v>13.36</v>
      </c>
      <c r="F127">
        <v>13.16</v>
      </c>
      <c r="G127">
        <v>13.16</v>
      </c>
      <c r="H127">
        <v>77.22</v>
      </c>
      <c r="I127">
        <v>68.12</v>
      </c>
      <c r="J127">
        <v>72.45</v>
      </c>
      <c r="K127">
        <v>3.52</v>
      </c>
      <c r="L127">
        <v>4.38</v>
      </c>
      <c r="M127">
        <v>3.88</v>
      </c>
      <c r="N127">
        <v>71.209999999999994</v>
      </c>
      <c r="O127">
        <v>75.52</v>
      </c>
      <c r="P127">
        <v>73.31</v>
      </c>
      <c r="Q127">
        <v>83.88</v>
      </c>
      <c r="R127">
        <v>62.84</v>
      </c>
      <c r="S127">
        <v>73.36</v>
      </c>
      <c r="T127">
        <v>134235</v>
      </c>
      <c r="V127" t="str">
        <v>Lampung Barat</v>
      </c>
      <c r="W127">
        <v>8.74</v>
      </c>
      <c r="X127">
        <v>8.35</v>
      </c>
      <c r="Y127">
        <v>8.57</v>
      </c>
      <c r="Z127">
        <v>12.22</v>
      </c>
      <c r="AA127">
        <v>12.56</v>
      </c>
      <c r="AB127">
        <v>12.31</v>
      </c>
      <c r="AC127">
        <v>75.84</v>
      </c>
      <c r="AD127">
        <v>71.5</v>
      </c>
      <c r="AE127">
        <v>73.14</v>
      </c>
      <c r="AF127">
        <v>1.52</v>
      </c>
      <c r="AG127">
        <v>2.94</v>
      </c>
      <c r="AH127">
        <v>2.11</v>
      </c>
      <c r="AI127">
        <v>71.81</v>
      </c>
      <c r="AJ127">
        <v>76.790000000000006</v>
      </c>
      <c r="AK127">
        <v>74.239999999999995</v>
      </c>
      <c r="AL127">
        <v>90.99</v>
      </c>
      <c r="AM127">
        <v>68.260000000000005</v>
      </c>
      <c r="AN127">
        <v>79.63</v>
      </c>
      <c r="AO127">
        <v>319301</v>
      </c>
    </row>
    <row r="128" spans="1:41" x14ac:dyDescent="0.35">
      <c r="A128" t="s">
        <v>128</v>
      </c>
      <c r="B128">
        <v>8.86</v>
      </c>
      <c r="C128">
        <v>7.85</v>
      </c>
      <c r="D128">
        <v>8.34</v>
      </c>
      <c r="E128">
        <v>13.3</v>
      </c>
      <c r="F128">
        <v>13.67</v>
      </c>
      <c r="G128">
        <v>13.34</v>
      </c>
      <c r="H128">
        <v>76.75</v>
      </c>
      <c r="I128">
        <v>66.67</v>
      </c>
      <c r="J128">
        <v>71.849999999999994</v>
      </c>
      <c r="K128">
        <v>1.93</v>
      </c>
      <c r="L128">
        <v>2.2999999999999998</v>
      </c>
      <c r="M128">
        <v>2.0699999999999998</v>
      </c>
      <c r="N128">
        <v>71.13</v>
      </c>
      <c r="O128">
        <v>75.349999999999994</v>
      </c>
      <c r="P128">
        <v>73.19</v>
      </c>
      <c r="Q128">
        <v>88.1</v>
      </c>
      <c r="R128">
        <v>57.88</v>
      </c>
      <c r="S128">
        <v>72.989999999999995</v>
      </c>
      <c r="T128">
        <v>219877</v>
      </c>
      <c r="V128" t="str">
        <v>Tanggamus</v>
      </c>
      <c r="W128">
        <v>7.82</v>
      </c>
      <c r="X128">
        <v>7.3</v>
      </c>
      <c r="Y128">
        <v>7.63</v>
      </c>
      <c r="Z128">
        <v>11.89</v>
      </c>
      <c r="AA128">
        <v>12.85</v>
      </c>
      <c r="AB128">
        <v>12.34</v>
      </c>
      <c r="AC128">
        <v>74.61</v>
      </c>
      <c r="AD128">
        <v>69.25</v>
      </c>
      <c r="AE128">
        <v>71.36</v>
      </c>
      <c r="AF128">
        <v>3.8</v>
      </c>
      <c r="AG128">
        <v>2.83</v>
      </c>
      <c r="AH128">
        <v>3.44</v>
      </c>
      <c r="AI128">
        <v>71.91</v>
      </c>
      <c r="AJ128">
        <v>76.989999999999995</v>
      </c>
      <c r="AK128">
        <v>74.39</v>
      </c>
      <c r="AL128">
        <v>85.71</v>
      </c>
      <c r="AM128">
        <v>52.93</v>
      </c>
      <c r="AN128">
        <v>69.319999999999993</v>
      </c>
      <c r="AO128">
        <v>678021</v>
      </c>
    </row>
    <row r="129" spans="1:41" x14ac:dyDescent="0.35">
      <c r="A129" t="s">
        <v>129</v>
      </c>
      <c r="B129">
        <v>8.9499999999999993</v>
      </c>
      <c r="C129">
        <v>8.41</v>
      </c>
      <c r="D129">
        <v>8.65</v>
      </c>
      <c r="E129">
        <v>13.06</v>
      </c>
      <c r="F129">
        <v>13.22</v>
      </c>
      <c r="G129">
        <v>13.06</v>
      </c>
      <c r="H129">
        <v>79.099999999999994</v>
      </c>
      <c r="I129">
        <v>68.08</v>
      </c>
      <c r="J129">
        <v>74.45</v>
      </c>
      <c r="K129">
        <v>2.9</v>
      </c>
      <c r="L129">
        <v>4.25</v>
      </c>
      <c r="M129">
        <v>3.33</v>
      </c>
      <c r="N129">
        <v>71.86</v>
      </c>
      <c r="O129">
        <v>76.89</v>
      </c>
      <c r="P129">
        <v>74.31</v>
      </c>
      <c r="Q129">
        <v>89.85</v>
      </c>
      <c r="R129">
        <v>44.47</v>
      </c>
      <c r="S129">
        <v>67.16</v>
      </c>
      <c r="T129">
        <v>204560</v>
      </c>
      <c r="V129" t="str">
        <v>Lampung Selatan</v>
      </c>
      <c r="W129">
        <v>8.34</v>
      </c>
      <c r="X129">
        <v>7.7</v>
      </c>
      <c r="Y129">
        <v>7.98</v>
      </c>
      <c r="Z129">
        <v>12.35</v>
      </c>
      <c r="AA129">
        <v>13.05</v>
      </c>
      <c r="AB129">
        <v>12.79</v>
      </c>
      <c r="AC129">
        <v>76.44</v>
      </c>
      <c r="AD129">
        <v>69.7</v>
      </c>
      <c r="AE129">
        <v>73.099999999999994</v>
      </c>
      <c r="AF129">
        <v>3.34</v>
      </c>
      <c r="AG129">
        <v>7.15</v>
      </c>
      <c r="AH129">
        <v>4.67</v>
      </c>
      <c r="AI129">
        <v>72.22</v>
      </c>
      <c r="AJ129">
        <v>77.599999999999994</v>
      </c>
      <c r="AK129">
        <v>74.84</v>
      </c>
      <c r="AL129">
        <v>87.55</v>
      </c>
      <c r="AM129">
        <v>48.78</v>
      </c>
      <c r="AN129">
        <v>68.17</v>
      </c>
      <c r="AO129">
        <v>1133387</v>
      </c>
    </row>
    <row r="130" spans="1:41" x14ac:dyDescent="0.35">
      <c r="A130" t="s">
        <v>130</v>
      </c>
      <c r="B130">
        <v>8.8699999999999992</v>
      </c>
      <c r="C130">
        <v>8.3000000000000007</v>
      </c>
      <c r="D130">
        <v>8.48</v>
      </c>
      <c r="E130">
        <v>12.61</v>
      </c>
      <c r="F130">
        <v>13.17</v>
      </c>
      <c r="G130">
        <v>12.92</v>
      </c>
      <c r="H130">
        <v>78.260000000000005</v>
      </c>
      <c r="I130">
        <v>72.510000000000005</v>
      </c>
      <c r="J130">
        <v>74.099999999999994</v>
      </c>
      <c r="K130">
        <v>1.89</v>
      </c>
      <c r="L130">
        <v>2.5499999999999998</v>
      </c>
      <c r="M130">
        <v>2.16</v>
      </c>
      <c r="N130">
        <v>71.069999999999993</v>
      </c>
      <c r="O130">
        <v>75.23</v>
      </c>
      <c r="P130">
        <v>73.099999999999994</v>
      </c>
      <c r="Q130">
        <v>86.41</v>
      </c>
      <c r="R130">
        <v>64.569999999999993</v>
      </c>
      <c r="S130">
        <v>75.489999999999995</v>
      </c>
      <c r="T130">
        <v>113140</v>
      </c>
      <c r="V130" t="str">
        <v>Lampung Timur</v>
      </c>
      <c r="W130">
        <v>8.81</v>
      </c>
      <c r="X130">
        <v>8.2200000000000006</v>
      </c>
      <c r="Y130">
        <v>8.4600000000000009</v>
      </c>
      <c r="Z130">
        <v>13.21</v>
      </c>
      <c r="AA130">
        <v>13</v>
      </c>
      <c r="AB130">
        <v>13</v>
      </c>
      <c r="AC130">
        <v>78.209999999999994</v>
      </c>
      <c r="AD130">
        <v>70.72</v>
      </c>
      <c r="AE130">
        <v>73.92</v>
      </c>
      <c r="AF130">
        <v>3.39</v>
      </c>
      <c r="AG130">
        <v>2.82</v>
      </c>
      <c r="AH130">
        <v>3.18</v>
      </c>
      <c r="AI130">
        <v>72.010000000000005</v>
      </c>
      <c r="AJ130">
        <v>77.2</v>
      </c>
      <c r="AK130">
        <v>74.540000000000006</v>
      </c>
      <c r="AL130">
        <v>84.12</v>
      </c>
      <c r="AM130">
        <v>50.78</v>
      </c>
      <c r="AN130">
        <v>67.45</v>
      </c>
      <c r="AO130">
        <v>1164703</v>
      </c>
    </row>
    <row r="131" spans="1:41" x14ac:dyDescent="0.35">
      <c r="A131" t="s">
        <v>131</v>
      </c>
      <c r="B131">
        <v>8.74</v>
      </c>
      <c r="C131">
        <v>8.4700000000000006</v>
      </c>
      <c r="D131">
        <v>8.61</v>
      </c>
      <c r="E131">
        <v>13.31</v>
      </c>
      <c r="F131">
        <v>14.04</v>
      </c>
      <c r="G131">
        <v>13.31</v>
      </c>
      <c r="H131">
        <v>75.64</v>
      </c>
      <c r="I131">
        <v>72.87</v>
      </c>
      <c r="J131">
        <v>72.959999999999994</v>
      </c>
      <c r="K131">
        <v>2.0299999999999998</v>
      </c>
      <c r="L131">
        <v>3.11</v>
      </c>
      <c r="M131">
        <v>2.4900000000000002</v>
      </c>
      <c r="N131">
        <v>70.650000000000006</v>
      </c>
      <c r="O131">
        <v>74.67</v>
      </c>
      <c r="P131">
        <v>72.61</v>
      </c>
      <c r="Q131">
        <v>88.24</v>
      </c>
      <c r="R131">
        <v>70.48</v>
      </c>
      <c r="S131">
        <v>79.36</v>
      </c>
      <c r="T131">
        <v>158012</v>
      </c>
      <c r="V131" t="str">
        <v>Lampung Tengah</v>
      </c>
      <c r="W131">
        <v>8.52</v>
      </c>
      <c r="X131">
        <v>7.81</v>
      </c>
      <c r="Y131">
        <v>8.17</v>
      </c>
      <c r="Z131">
        <v>13.06</v>
      </c>
      <c r="AA131">
        <v>13.29</v>
      </c>
      <c r="AB131">
        <v>13.18</v>
      </c>
      <c r="AC131">
        <v>78.38</v>
      </c>
      <c r="AD131">
        <v>71.62</v>
      </c>
      <c r="AE131">
        <v>74.86</v>
      </c>
      <c r="AF131">
        <v>2.58</v>
      </c>
      <c r="AG131">
        <v>4.32</v>
      </c>
      <c r="AH131">
        <v>3.27</v>
      </c>
      <c r="AI131">
        <v>72.11</v>
      </c>
      <c r="AJ131">
        <v>77.42</v>
      </c>
      <c r="AK131">
        <v>74.7</v>
      </c>
      <c r="AL131">
        <v>89.63</v>
      </c>
      <c r="AM131">
        <v>61.26</v>
      </c>
      <c r="AN131">
        <v>75.45</v>
      </c>
      <c r="AO131">
        <v>1541429</v>
      </c>
    </row>
    <row r="132" spans="1:41" x14ac:dyDescent="0.35">
      <c r="A132" t="s">
        <v>132</v>
      </c>
      <c r="B132">
        <v>8.52</v>
      </c>
      <c r="C132">
        <v>7.36</v>
      </c>
      <c r="D132">
        <v>7.94</v>
      </c>
      <c r="E132">
        <v>13.41</v>
      </c>
      <c r="F132">
        <v>13.75</v>
      </c>
      <c r="G132">
        <v>13.64</v>
      </c>
      <c r="H132">
        <v>76.86</v>
      </c>
      <c r="I132">
        <v>67.78</v>
      </c>
      <c r="J132">
        <v>72.48</v>
      </c>
      <c r="K132">
        <v>3.08</v>
      </c>
      <c r="L132">
        <v>4.03</v>
      </c>
      <c r="M132">
        <v>3.4</v>
      </c>
      <c r="N132">
        <v>70.75</v>
      </c>
      <c r="O132">
        <v>74.78</v>
      </c>
      <c r="P132">
        <v>72.709999999999994</v>
      </c>
      <c r="Q132">
        <v>87.99</v>
      </c>
      <c r="R132">
        <v>47.63</v>
      </c>
      <c r="S132">
        <v>67.81</v>
      </c>
      <c r="T132">
        <v>124191</v>
      </c>
      <c r="V132" t="str">
        <v>Lampung Utara</v>
      </c>
      <c r="W132">
        <v>8.8800000000000008</v>
      </c>
      <c r="X132">
        <v>8.39</v>
      </c>
      <c r="Y132">
        <v>8.6300000000000008</v>
      </c>
      <c r="Z132">
        <v>12.57</v>
      </c>
      <c r="AA132">
        <v>13.2</v>
      </c>
      <c r="AB132">
        <v>12.64</v>
      </c>
      <c r="AC132">
        <v>76.13</v>
      </c>
      <c r="AD132">
        <v>69.17</v>
      </c>
      <c r="AE132">
        <v>72.28</v>
      </c>
      <c r="AF132">
        <v>5.1100000000000003</v>
      </c>
      <c r="AG132">
        <v>6.92</v>
      </c>
      <c r="AH132">
        <v>5.78</v>
      </c>
      <c r="AI132">
        <v>71.92</v>
      </c>
      <c r="AJ132">
        <v>77.03</v>
      </c>
      <c r="AK132">
        <v>74.41</v>
      </c>
      <c r="AL132">
        <v>83.97</v>
      </c>
      <c r="AM132">
        <v>50.27</v>
      </c>
      <c r="AN132">
        <v>67.12</v>
      </c>
      <c r="AO132">
        <v>665763</v>
      </c>
    </row>
    <row r="133" spans="1:41" x14ac:dyDescent="0.35">
      <c r="A133" t="s">
        <v>133</v>
      </c>
      <c r="B133">
        <v>12.14</v>
      </c>
      <c r="C133">
        <v>11.95</v>
      </c>
      <c r="D133">
        <v>11.95</v>
      </c>
      <c r="E133">
        <v>16.059999999999999</v>
      </c>
      <c r="F133">
        <v>16.489999999999998</v>
      </c>
      <c r="G133">
        <v>16.079999999999998</v>
      </c>
      <c r="H133">
        <v>86.71</v>
      </c>
      <c r="I133">
        <v>84.42</v>
      </c>
      <c r="J133">
        <v>84.59</v>
      </c>
      <c r="K133">
        <v>4.78</v>
      </c>
      <c r="L133">
        <v>6.12</v>
      </c>
      <c r="M133">
        <v>5.34</v>
      </c>
      <c r="N133">
        <v>72.459999999999994</v>
      </c>
      <c r="O133">
        <v>77.95</v>
      </c>
      <c r="P133">
        <v>75.14</v>
      </c>
      <c r="Q133">
        <v>77.739999999999995</v>
      </c>
      <c r="R133">
        <v>55.65</v>
      </c>
      <c r="S133">
        <v>66.7</v>
      </c>
      <c r="T133">
        <v>403485</v>
      </c>
      <c r="V133" t="str">
        <v>Way Kanan</v>
      </c>
      <c r="W133">
        <v>8.1300000000000008</v>
      </c>
      <c r="X133">
        <v>7.6</v>
      </c>
      <c r="Y133">
        <v>7.91</v>
      </c>
      <c r="Z133">
        <v>12.35</v>
      </c>
      <c r="AA133">
        <v>12.82</v>
      </c>
      <c r="AB133">
        <v>12.53</v>
      </c>
      <c r="AC133">
        <v>75.849999999999994</v>
      </c>
      <c r="AD133">
        <v>68.33</v>
      </c>
      <c r="AE133">
        <v>71.98</v>
      </c>
      <c r="AF133">
        <v>2.52</v>
      </c>
      <c r="AG133">
        <v>5.21</v>
      </c>
      <c r="AH133">
        <v>3.51</v>
      </c>
      <c r="AI133">
        <v>72.05</v>
      </c>
      <c r="AJ133">
        <v>77.290000000000006</v>
      </c>
      <c r="AK133">
        <v>74.61</v>
      </c>
      <c r="AL133">
        <v>89.69</v>
      </c>
      <c r="AM133">
        <v>54.21</v>
      </c>
      <c r="AN133">
        <v>71.95</v>
      </c>
      <c r="AO133">
        <v>503313</v>
      </c>
    </row>
    <row r="134" spans="1:41" x14ac:dyDescent="0.35">
      <c r="A134" t="s">
        <v>149</v>
      </c>
      <c r="B134">
        <v>8.82</v>
      </c>
      <c r="C134">
        <v>8.3800000000000008</v>
      </c>
      <c r="D134">
        <v>8.61</v>
      </c>
      <c r="E134">
        <v>12.7</v>
      </c>
      <c r="F134">
        <v>13.08</v>
      </c>
      <c r="G134">
        <v>12.79</v>
      </c>
      <c r="H134">
        <v>77.52</v>
      </c>
      <c r="I134">
        <v>71.239999999999995</v>
      </c>
      <c r="J134">
        <v>73.98</v>
      </c>
      <c r="K134">
        <v>3.72</v>
      </c>
      <c r="L134">
        <v>5.03</v>
      </c>
      <c r="M134">
        <v>4.21</v>
      </c>
      <c r="N134">
        <v>72.12</v>
      </c>
      <c r="O134">
        <v>77.430000000000007</v>
      </c>
      <c r="P134">
        <v>74.709999999999994</v>
      </c>
      <c r="Q134">
        <v>86.4</v>
      </c>
      <c r="R134">
        <v>53.85</v>
      </c>
      <c r="S134">
        <v>70.13</v>
      </c>
      <c r="T134">
        <v>9522913</v>
      </c>
      <c r="V134" t="str">
        <v>Tulangbawang</v>
      </c>
      <c r="W134">
        <v>8.36</v>
      </c>
      <c r="X134">
        <v>7.83</v>
      </c>
      <c r="Y134">
        <v>7.9</v>
      </c>
      <c r="Z134">
        <v>12.16</v>
      </c>
      <c r="AA134">
        <v>12.8</v>
      </c>
      <c r="AB134">
        <v>12.39</v>
      </c>
      <c r="AC134">
        <v>77.16</v>
      </c>
      <c r="AD134">
        <v>70.37</v>
      </c>
      <c r="AE134">
        <v>73.11</v>
      </c>
      <c r="AF134">
        <v>2.2599999999999998</v>
      </c>
      <c r="AG134">
        <v>5.0199999999999996</v>
      </c>
      <c r="AH134">
        <v>3.19</v>
      </c>
      <c r="AI134">
        <v>71.86</v>
      </c>
      <c r="AJ134">
        <v>76.900000000000006</v>
      </c>
      <c r="AK134">
        <v>74.319999999999993</v>
      </c>
      <c r="AL134">
        <v>88.58</v>
      </c>
      <c r="AM134">
        <v>48.35</v>
      </c>
      <c r="AN134">
        <v>68.47</v>
      </c>
      <c r="AO134">
        <v>455403</v>
      </c>
    </row>
    <row r="135" spans="1:41" x14ac:dyDescent="0.35">
      <c r="A135" t="s">
        <v>134</v>
      </c>
      <c r="B135">
        <v>8.74</v>
      </c>
      <c r="C135">
        <v>8.35</v>
      </c>
      <c r="D135">
        <v>8.57</v>
      </c>
      <c r="E135">
        <v>12.22</v>
      </c>
      <c r="F135">
        <v>12.56</v>
      </c>
      <c r="G135">
        <v>12.31</v>
      </c>
      <c r="H135">
        <v>75.84</v>
      </c>
      <c r="I135">
        <v>71.5</v>
      </c>
      <c r="J135">
        <v>73.14</v>
      </c>
      <c r="K135">
        <v>1.52</v>
      </c>
      <c r="L135">
        <v>2.94</v>
      </c>
      <c r="M135">
        <v>2.11</v>
      </c>
      <c r="N135">
        <v>71.81</v>
      </c>
      <c r="O135">
        <v>76.790000000000006</v>
      </c>
      <c r="P135">
        <v>74.239999999999995</v>
      </c>
      <c r="Q135">
        <v>90.99</v>
      </c>
      <c r="R135">
        <v>68.260000000000005</v>
      </c>
      <c r="S135">
        <v>79.63</v>
      </c>
      <c r="T135">
        <v>319301</v>
      </c>
      <c r="V135" t="str">
        <v>Pesawaran</v>
      </c>
      <c r="W135">
        <v>8.39</v>
      </c>
      <c r="X135">
        <v>7.76</v>
      </c>
      <c r="Y135">
        <v>8.01</v>
      </c>
      <c r="Z135">
        <v>12.52</v>
      </c>
      <c r="AA135">
        <v>12.98</v>
      </c>
      <c r="AB135">
        <v>12.64</v>
      </c>
      <c r="AC135">
        <v>75.72</v>
      </c>
      <c r="AD135">
        <v>67.5</v>
      </c>
      <c r="AE135">
        <v>70.900000000000006</v>
      </c>
      <c r="AF135">
        <v>4.16</v>
      </c>
      <c r="AG135">
        <v>4.17</v>
      </c>
      <c r="AH135">
        <v>4.17</v>
      </c>
      <c r="AI135">
        <v>71.849999999999994</v>
      </c>
      <c r="AJ135">
        <v>76.87</v>
      </c>
      <c r="AK135">
        <v>74.3</v>
      </c>
      <c r="AL135">
        <v>85.95</v>
      </c>
      <c r="AM135">
        <v>50.04</v>
      </c>
      <c r="AN135">
        <v>68</v>
      </c>
      <c r="AO135">
        <v>506261</v>
      </c>
    </row>
    <row r="136" spans="1:41" x14ac:dyDescent="0.35">
      <c r="A136" t="s">
        <v>135</v>
      </c>
      <c r="B136">
        <v>7.82</v>
      </c>
      <c r="C136">
        <v>7.3</v>
      </c>
      <c r="D136">
        <v>7.63</v>
      </c>
      <c r="E136">
        <v>11.89</v>
      </c>
      <c r="F136">
        <v>12.85</v>
      </c>
      <c r="G136">
        <v>12.34</v>
      </c>
      <c r="H136">
        <v>74.61</v>
      </c>
      <c r="I136">
        <v>69.25</v>
      </c>
      <c r="J136">
        <v>71.36</v>
      </c>
      <c r="K136">
        <v>3.8</v>
      </c>
      <c r="L136">
        <v>2.83</v>
      </c>
      <c r="M136">
        <v>3.44</v>
      </c>
      <c r="N136">
        <v>71.91</v>
      </c>
      <c r="O136">
        <v>76.989999999999995</v>
      </c>
      <c r="P136">
        <v>74.39</v>
      </c>
      <c r="Q136">
        <v>85.71</v>
      </c>
      <c r="R136">
        <v>52.93</v>
      </c>
      <c r="S136">
        <v>69.319999999999993</v>
      </c>
      <c r="T136">
        <v>678021</v>
      </c>
      <c r="V136" t="str">
        <v>Pringsewu</v>
      </c>
      <c r="W136">
        <v>8.9499999999999993</v>
      </c>
      <c r="X136">
        <v>8.34</v>
      </c>
      <c r="Y136">
        <v>8.7200000000000006</v>
      </c>
      <c r="Z136">
        <v>12.93</v>
      </c>
      <c r="AA136">
        <v>13.6</v>
      </c>
      <c r="AB136">
        <v>13.09</v>
      </c>
      <c r="AC136">
        <v>78.790000000000006</v>
      </c>
      <c r="AD136">
        <v>74.069999999999993</v>
      </c>
      <c r="AE136">
        <v>74.760000000000005</v>
      </c>
      <c r="AF136">
        <v>5.94</v>
      </c>
      <c r="AG136">
        <v>2.52</v>
      </c>
      <c r="AH136">
        <v>4.6500000000000004</v>
      </c>
      <c r="AI136">
        <v>72.28</v>
      </c>
      <c r="AJ136">
        <v>77.69</v>
      </c>
      <c r="AK136">
        <v>74.92</v>
      </c>
      <c r="AL136">
        <v>87.24</v>
      </c>
      <c r="AM136">
        <v>55.37</v>
      </c>
      <c r="AN136">
        <v>71.31</v>
      </c>
      <c r="AO136">
        <v>429736</v>
      </c>
    </row>
    <row r="137" spans="1:41" x14ac:dyDescent="0.35">
      <c r="A137" t="s">
        <v>136</v>
      </c>
      <c r="B137">
        <v>8.34</v>
      </c>
      <c r="C137">
        <v>7.7</v>
      </c>
      <c r="D137">
        <v>7.98</v>
      </c>
      <c r="E137">
        <v>12.35</v>
      </c>
      <c r="F137">
        <v>13.05</v>
      </c>
      <c r="G137">
        <v>12.79</v>
      </c>
      <c r="H137">
        <v>76.44</v>
      </c>
      <c r="I137">
        <v>69.7</v>
      </c>
      <c r="J137">
        <v>73.099999999999994</v>
      </c>
      <c r="K137">
        <v>3.34</v>
      </c>
      <c r="L137">
        <v>7.15</v>
      </c>
      <c r="M137">
        <v>4.67</v>
      </c>
      <c r="N137">
        <v>72.22</v>
      </c>
      <c r="O137">
        <v>77.599999999999994</v>
      </c>
      <c r="P137">
        <v>74.84</v>
      </c>
      <c r="Q137">
        <v>87.55</v>
      </c>
      <c r="R137">
        <v>48.78</v>
      </c>
      <c r="S137">
        <v>68.17</v>
      </c>
      <c r="T137">
        <v>1133387</v>
      </c>
      <c r="V137" t="str">
        <v>Mesuji</v>
      </c>
      <c r="W137">
        <v>7.58</v>
      </c>
      <c r="X137">
        <v>7</v>
      </c>
      <c r="Y137">
        <v>7.3</v>
      </c>
      <c r="Z137">
        <v>11.88</v>
      </c>
      <c r="AA137">
        <v>12.14</v>
      </c>
      <c r="AB137">
        <v>11.97</v>
      </c>
      <c r="AC137">
        <v>73.53</v>
      </c>
      <c r="AD137">
        <v>63.15</v>
      </c>
      <c r="AE137">
        <v>69.400000000000006</v>
      </c>
      <c r="AF137">
        <v>1.08</v>
      </c>
      <c r="AG137">
        <v>5.74</v>
      </c>
      <c r="AH137">
        <v>2.68</v>
      </c>
      <c r="AI137">
        <v>71.760000000000005</v>
      </c>
      <c r="AJ137">
        <v>76.680000000000007</v>
      </c>
      <c r="AK137">
        <v>74.16</v>
      </c>
      <c r="AL137">
        <v>89.88</v>
      </c>
      <c r="AM137">
        <v>49.84</v>
      </c>
      <c r="AN137">
        <v>69.86</v>
      </c>
      <c r="AO137">
        <v>245211</v>
      </c>
    </row>
    <row r="138" spans="1:41" x14ac:dyDescent="0.35">
      <c r="A138" t="s">
        <v>137</v>
      </c>
      <c r="B138">
        <v>8.81</v>
      </c>
      <c r="C138">
        <v>8.2200000000000006</v>
      </c>
      <c r="D138">
        <v>8.4600000000000009</v>
      </c>
      <c r="E138">
        <v>13.21</v>
      </c>
      <c r="F138">
        <v>13</v>
      </c>
      <c r="G138">
        <v>13</v>
      </c>
      <c r="H138">
        <v>78.209999999999994</v>
      </c>
      <c r="I138">
        <v>70.72</v>
      </c>
      <c r="J138">
        <v>73.92</v>
      </c>
      <c r="K138">
        <v>3.39</v>
      </c>
      <c r="L138">
        <v>2.82</v>
      </c>
      <c r="M138">
        <v>3.18</v>
      </c>
      <c r="N138">
        <v>72.010000000000005</v>
      </c>
      <c r="O138">
        <v>77.2</v>
      </c>
      <c r="P138">
        <v>74.540000000000006</v>
      </c>
      <c r="Q138">
        <v>84.12</v>
      </c>
      <c r="R138">
        <v>50.78</v>
      </c>
      <c r="S138">
        <v>67.45</v>
      </c>
      <c r="T138">
        <v>1164703</v>
      </c>
      <c r="V138" t="str">
        <v>Tulang Bawang Barat</v>
      </c>
      <c r="W138">
        <v>8.1300000000000008</v>
      </c>
      <c r="X138">
        <v>7.48</v>
      </c>
      <c r="Y138">
        <v>7.81</v>
      </c>
      <c r="Z138">
        <v>11.99</v>
      </c>
      <c r="AA138">
        <v>12.6</v>
      </c>
      <c r="AB138">
        <v>12.13</v>
      </c>
      <c r="AC138">
        <v>74.2</v>
      </c>
      <c r="AD138">
        <v>66.78</v>
      </c>
      <c r="AE138">
        <v>70.61</v>
      </c>
      <c r="AF138">
        <v>2.82</v>
      </c>
      <c r="AG138">
        <v>5.24</v>
      </c>
      <c r="AH138">
        <v>3.71</v>
      </c>
      <c r="AI138">
        <v>72.02</v>
      </c>
      <c r="AJ138">
        <v>77.22</v>
      </c>
      <c r="AK138">
        <v>74.55</v>
      </c>
      <c r="AL138">
        <v>89.66</v>
      </c>
      <c r="AM138">
        <v>53.68</v>
      </c>
      <c r="AN138">
        <v>71.67</v>
      </c>
      <c r="AO138">
        <v>301790</v>
      </c>
    </row>
    <row r="139" spans="1:41" x14ac:dyDescent="0.35">
      <c r="A139" t="s">
        <v>138</v>
      </c>
      <c r="B139">
        <v>8.52</v>
      </c>
      <c r="C139">
        <v>7.81</v>
      </c>
      <c r="D139">
        <v>8.17</v>
      </c>
      <c r="E139">
        <v>13.06</v>
      </c>
      <c r="F139">
        <v>13.29</v>
      </c>
      <c r="G139">
        <v>13.18</v>
      </c>
      <c r="H139">
        <v>78.38</v>
      </c>
      <c r="I139">
        <v>71.62</v>
      </c>
      <c r="J139">
        <v>74.86</v>
      </c>
      <c r="K139">
        <v>2.58</v>
      </c>
      <c r="L139">
        <v>4.32</v>
      </c>
      <c r="M139">
        <v>3.27</v>
      </c>
      <c r="N139">
        <v>72.11</v>
      </c>
      <c r="O139">
        <v>77.42</v>
      </c>
      <c r="P139">
        <v>74.7</v>
      </c>
      <c r="Q139">
        <v>89.63</v>
      </c>
      <c r="R139">
        <v>61.26</v>
      </c>
      <c r="S139">
        <v>75.45</v>
      </c>
      <c r="T139">
        <v>1541429</v>
      </c>
      <c r="V139" t="str">
        <v>Pesisir Barat</v>
      </c>
      <c r="W139">
        <v>8.9700000000000006</v>
      </c>
      <c r="X139">
        <v>8.69</v>
      </c>
      <c r="Y139">
        <v>8.76</v>
      </c>
      <c r="Z139">
        <v>12.24</v>
      </c>
      <c r="AA139">
        <v>12.5</v>
      </c>
      <c r="AB139">
        <v>12.31</v>
      </c>
      <c r="AC139">
        <v>74.180000000000007</v>
      </c>
      <c r="AD139">
        <v>70.709999999999994</v>
      </c>
      <c r="AE139">
        <v>71.72</v>
      </c>
      <c r="AF139">
        <v>2.2799999999999998</v>
      </c>
      <c r="AG139">
        <v>4.7</v>
      </c>
      <c r="AH139">
        <v>3.27</v>
      </c>
      <c r="AI139">
        <v>71.790000000000006</v>
      </c>
      <c r="AJ139">
        <v>76.75</v>
      </c>
      <c r="AK139">
        <v>74.209999999999994</v>
      </c>
      <c r="AL139">
        <v>84.34</v>
      </c>
      <c r="AM139">
        <v>63.28</v>
      </c>
      <c r="AN139">
        <v>73.81</v>
      </c>
      <c r="AO139">
        <v>174861</v>
      </c>
    </row>
    <row r="140" spans="1:41" x14ac:dyDescent="0.35">
      <c r="A140" t="s">
        <v>139</v>
      </c>
      <c r="B140">
        <v>8.8800000000000008</v>
      </c>
      <c r="C140">
        <v>8.39</v>
      </c>
      <c r="D140">
        <v>8.6300000000000008</v>
      </c>
      <c r="E140">
        <v>12.57</v>
      </c>
      <c r="F140">
        <v>13.2</v>
      </c>
      <c r="G140">
        <v>12.64</v>
      </c>
      <c r="H140">
        <v>76.13</v>
      </c>
      <c r="I140">
        <v>69.17</v>
      </c>
      <c r="J140">
        <v>72.28</v>
      </c>
      <c r="K140">
        <v>5.1100000000000003</v>
      </c>
      <c r="L140">
        <v>6.92</v>
      </c>
      <c r="M140">
        <v>5.78</v>
      </c>
      <c r="N140">
        <v>71.92</v>
      </c>
      <c r="O140">
        <v>77.03</v>
      </c>
      <c r="P140">
        <v>74.41</v>
      </c>
      <c r="Q140">
        <v>83.97</v>
      </c>
      <c r="R140">
        <v>50.27</v>
      </c>
      <c r="S140">
        <v>67.12</v>
      </c>
      <c r="T140">
        <v>665763</v>
      </c>
      <c r="V140" t="str">
        <v>Kota Bandar Lampung</v>
      </c>
      <c r="W140">
        <v>11.46</v>
      </c>
      <c r="X140">
        <v>10.99</v>
      </c>
      <c r="Y140">
        <v>11.11</v>
      </c>
      <c r="Z140">
        <v>14.56</v>
      </c>
      <c r="AA140">
        <v>14.94</v>
      </c>
      <c r="AB140">
        <v>14.74</v>
      </c>
      <c r="AC140">
        <v>84.51</v>
      </c>
      <c r="AD140">
        <v>80.61</v>
      </c>
      <c r="AE140">
        <v>81.260000000000005</v>
      </c>
      <c r="AF140">
        <v>6.91</v>
      </c>
      <c r="AG140">
        <v>8.51</v>
      </c>
      <c r="AH140">
        <v>7.53</v>
      </c>
      <c r="AI140">
        <v>72.52</v>
      </c>
      <c r="AJ140">
        <v>78.03</v>
      </c>
      <c r="AK140">
        <v>75.209999999999994</v>
      </c>
      <c r="AL140">
        <v>81.010000000000005</v>
      </c>
      <c r="AM140">
        <v>52.8</v>
      </c>
      <c r="AN140">
        <v>66.91</v>
      </c>
      <c r="AO140">
        <v>1226211</v>
      </c>
    </row>
    <row r="141" spans="1:41" x14ac:dyDescent="0.35">
      <c r="A141" t="s">
        <v>140</v>
      </c>
      <c r="B141">
        <v>8.1300000000000008</v>
      </c>
      <c r="C141">
        <v>7.6</v>
      </c>
      <c r="D141">
        <v>7.91</v>
      </c>
      <c r="E141">
        <v>12.35</v>
      </c>
      <c r="F141">
        <v>12.82</v>
      </c>
      <c r="G141">
        <v>12.53</v>
      </c>
      <c r="H141">
        <v>75.849999999999994</v>
      </c>
      <c r="I141">
        <v>68.33</v>
      </c>
      <c r="J141">
        <v>71.98</v>
      </c>
      <c r="K141">
        <v>2.52</v>
      </c>
      <c r="L141">
        <v>5.21</v>
      </c>
      <c r="M141">
        <v>3.51</v>
      </c>
      <c r="N141">
        <v>72.05</v>
      </c>
      <c r="O141">
        <v>77.290000000000006</v>
      </c>
      <c r="P141">
        <v>74.61</v>
      </c>
      <c r="Q141">
        <v>89.69</v>
      </c>
      <c r="R141">
        <v>54.21</v>
      </c>
      <c r="S141">
        <v>71.95</v>
      </c>
      <c r="T141">
        <v>503313</v>
      </c>
      <c r="V141" t="str">
        <v>Kota Metro</v>
      </c>
      <c r="W141">
        <v>11.42</v>
      </c>
      <c r="X141">
        <v>11.12</v>
      </c>
      <c r="Y141">
        <v>11.19</v>
      </c>
      <c r="Z141">
        <v>14.91</v>
      </c>
      <c r="AA141">
        <v>15.18</v>
      </c>
      <c r="AB141">
        <v>14.97</v>
      </c>
      <c r="AC141">
        <v>83.48</v>
      </c>
      <c r="AD141">
        <v>80.930000000000007</v>
      </c>
      <c r="AE141">
        <v>81.22</v>
      </c>
      <c r="AF141">
        <v>3.75</v>
      </c>
      <c r="AG141">
        <v>3.23</v>
      </c>
      <c r="AH141">
        <v>3.54</v>
      </c>
      <c r="AI141">
        <v>73.06</v>
      </c>
      <c r="AJ141">
        <v>78.81</v>
      </c>
      <c r="AK141">
        <v>75.86</v>
      </c>
      <c r="AL141">
        <v>82.85</v>
      </c>
      <c r="AM141">
        <v>56.79</v>
      </c>
      <c r="AN141">
        <v>69.819999999999993</v>
      </c>
      <c r="AO141">
        <v>177523</v>
      </c>
    </row>
    <row r="142" spans="1:41" x14ac:dyDescent="0.35">
      <c r="A142" t="s">
        <v>141</v>
      </c>
      <c r="B142">
        <v>8.36</v>
      </c>
      <c r="C142">
        <v>7.83</v>
      </c>
      <c r="D142">
        <v>7.9</v>
      </c>
      <c r="E142">
        <v>12.16</v>
      </c>
      <c r="F142">
        <v>12.8</v>
      </c>
      <c r="G142">
        <v>12.39</v>
      </c>
      <c r="H142">
        <v>77.16</v>
      </c>
      <c r="I142">
        <v>70.37</v>
      </c>
      <c r="J142">
        <v>73.11</v>
      </c>
      <c r="K142">
        <v>2.2599999999999998</v>
      </c>
      <c r="L142">
        <v>5.0199999999999996</v>
      </c>
      <c r="M142">
        <v>3.19</v>
      </c>
      <c r="N142">
        <v>71.86</v>
      </c>
      <c r="O142">
        <v>76.900000000000006</v>
      </c>
      <c r="P142">
        <v>74.319999999999993</v>
      </c>
      <c r="Q142">
        <v>88.58</v>
      </c>
      <c r="R142">
        <v>48.35</v>
      </c>
      <c r="S142">
        <v>68.47</v>
      </c>
      <c r="T142">
        <v>455403</v>
      </c>
      <c r="V142" t="str">
        <v>Bangka</v>
      </c>
      <c r="W142">
        <v>9.18</v>
      </c>
      <c r="X142">
        <v>8.5</v>
      </c>
      <c r="Y142">
        <v>8.77</v>
      </c>
      <c r="Z142">
        <v>13.13</v>
      </c>
      <c r="AA142">
        <v>13.47</v>
      </c>
      <c r="AB142">
        <v>13.13</v>
      </c>
      <c r="AC142">
        <v>79.62</v>
      </c>
      <c r="AD142">
        <v>71.150000000000006</v>
      </c>
      <c r="AE142">
        <v>75.38</v>
      </c>
      <c r="AF142">
        <v>3.79</v>
      </c>
      <c r="AG142">
        <v>6.46</v>
      </c>
      <c r="AH142">
        <v>4.75</v>
      </c>
      <c r="AI142">
        <v>71.37</v>
      </c>
      <c r="AJ142">
        <v>75.86</v>
      </c>
      <c r="AK142">
        <v>73.56</v>
      </c>
      <c r="AL142">
        <v>84.59</v>
      </c>
      <c r="AM142">
        <v>50.29</v>
      </c>
      <c r="AN142">
        <v>67.44</v>
      </c>
      <c r="AO142">
        <v>346069</v>
      </c>
    </row>
    <row r="143" spans="1:41" x14ac:dyDescent="0.35">
      <c r="A143" t="s">
        <v>142</v>
      </c>
      <c r="B143">
        <v>8.39</v>
      </c>
      <c r="C143">
        <v>7.76</v>
      </c>
      <c r="D143">
        <v>8.01</v>
      </c>
      <c r="E143">
        <v>12.52</v>
      </c>
      <c r="F143">
        <v>12.98</v>
      </c>
      <c r="G143">
        <v>12.64</v>
      </c>
      <c r="H143">
        <v>75.72</v>
      </c>
      <c r="I143">
        <v>67.5</v>
      </c>
      <c r="J143">
        <v>70.900000000000006</v>
      </c>
      <c r="K143">
        <v>4.16</v>
      </c>
      <c r="L143">
        <v>4.17</v>
      </c>
      <c r="M143">
        <v>4.17</v>
      </c>
      <c r="N143">
        <v>71.849999999999994</v>
      </c>
      <c r="O143">
        <v>76.87</v>
      </c>
      <c r="P143">
        <v>74.3</v>
      </c>
      <c r="Q143">
        <v>85.95</v>
      </c>
      <c r="R143">
        <v>50.04</v>
      </c>
      <c r="S143">
        <v>68</v>
      </c>
      <c r="T143">
        <v>506261</v>
      </c>
      <c r="V143" t="str">
        <v>Belitung</v>
      </c>
      <c r="W143">
        <v>9.16</v>
      </c>
      <c r="X143">
        <v>9.0299999999999994</v>
      </c>
      <c r="Y143">
        <v>9.11</v>
      </c>
      <c r="Z143">
        <v>11.92</v>
      </c>
      <c r="AA143">
        <v>12.31</v>
      </c>
      <c r="AB143">
        <v>12.1</v>
      </c>
      <c r="AC143">
        <v>78.849999999999994</v>
      </c>
      <c r="AD143">
        <v>71.06</v>
      </c>
      <c r="AE143">
        <v>75.290000000000006</v>
      </c>
      <c r="AF143">
        <v>2.75</v>
      </c>
      <c r="AG143">
        <v>5.12</v>
      </c>
      <c r="AH143">
        <v>3.64</v>
      </c>
      <c r="AI143">
        <v>71.09</v>
      </c>
      <c r="AJ143">
        <v>75.27</v>
      </c>
      <c r="AK143">
        <v>73.13</v>
      </c>
      <c r="AL143">
        <v>85.09</v>
      </c>
      <c r="AM143">
        <v>52.76</v>
      </c>
      <c r="AN143">
        <v>68.930000000000007</v>
      </c>
      <c r="AO143">
        <v>193559</v>
      </c>
    </row>
    <row r="144" spans="1:41" x14ac:dyDescent="0.35">
      <c r="A144" t="s">
        <v>143</v>
      </c>
      <c r="B144">
        <v>8.9499999999999993</v>
      </c>
      <c r="C144">
        <v>8.34</v>
      </c>
      <c r="D144">
        <v>8.7200000000000006</v>
      </c>
      <c r="E144">
        <v>12.93</v>
      </c>
      <c r="F144">
        <v>13.6</v>
      </c>
      <c r="G144">
        <v>13.09</v>
      </c>
      <c r="H144">
        <v>78.790000000000006</v>
      </c>
      <c r="I144">
        <v>74.069999999999993</v>
      </c>
      <c r="J144">
        <v>74.760000000000005</v>
      </c>
      <c r="K144">
        <v>5.94</v>
      </c>
      <c r="L144">
        <v>2.52</v>
      </c>
      <c r="M144">
        <v>4.6500000000000004</v>
      </c>
      <c r="N144">
        <v>72.28</v>
      </c>
      <c r="O144">
        <v>77.69</v>
      </c>
      <c r="P144">
        <v>74.92</v>
      </c>
      <c r="Q144">
        <v>87.24</v>
      </c>
      <c r="R144">
        <v>55.37</v>
      </c>
      <c r="S144">
        <v>71.31</v>
      </c>
      <c r="T144">
        <v>429736</v>
      </c>
      <c r="V144" t="str">
        <v>Bangka Barat</v>
      </c>
      <c r="W144">
        <v>8.23</v>
      </c>
      <c r="X144">
        <v>7.8</v>
      </c>
      <c r="Y144">
        <v>7.8</v>
      </c>
      <c r="Z144">
        <v>11.78</v>
      </c>
      <c r="AA144">
        <v>12.21</v>
      </c>
      <c r="AB144">
        <v>11.95</v>
      </c>
      <c r="AC144">
        <v>76.319999999999993</v>
      </c>
      <c r="AD144">
        <v>69.5</v>
      </c>
      <c r="AE144">
        <v>72.23</v>
      </c>
      <c r="AF144">
        <v>3.68</v>
      </c>
      <c r="AG144">
        <v>5.86</v>
      </c>
      <c r="AH144">
        <v>4.49</v>
      </c>
      <c r="AI144">
        <v>70.39</v>
      </c>
      <c r="AJ144">
        <v>74.400000000000006</v>
      </c>
      <c r="AK144">
        <v>72.349999999999994</v>
      </c>
      <c r="AL144">
        <v>87.07</v>
      </c>
      <c r="AM144">
        <v>54.38</v>
      </c>
      <c r="AN144">
        <v>70.73</v>
      </c>
      <c r="AO144">
        <v>218748</v>
      </c>
    </row>
    <row r="145" spans="1:41" x14ac:dyDescent="0.35">
      <c r="A145" t="s">
        <v>144</v>
      </c>
      <c r="B145">
        <v>7.58</v>
      </c>
      <c r="C145">
        <v>7</v>
      </c>
      <c r="D145">
        <v>7.3</v>
      </c>
      <c r="E145">
        <v>11.88</v>
      </c>
      <c r="F145">
        <v>12.14</v>
      </c>
      <c r="G145">
        <v>11.97</v>
      </c>
      <c r="H145">
        <v>73.53</v>
      </c>
      <c r="I145">
        <v>63.15</v>
      </c>
      <c r="J145">
        <v>69.400000000000006</v>
      </c>
      <c r="K145">
        <v>1.08</v>
      </c>
      <c r="L145">
        <v>5.74</v>
      </c>
      <c r="M145">
        <v>2.68</v>
      </c>
      <c r="N145">
        <v>71.760000000000005</v>
      </c>
      <c r="O145">
        <v>76.680000000000007</v>
      </c>
      <c r="P145">
        <v>74.16</v>
      </c>
      <c r="Q145">
        <v>89.88</v>
      </c>
      <c r="R145">
        <v>49.84</v>
      </c>
      <c r="S145">
        <v>69.86</v>
      </c>
      <c r="T145">
        <v>245211</v>
      </c>
      <c r="V145" t="str">
        <v>Bangka Tengah</v>
      </c>
      <c r="W145">
        <v>7.68</v>
      </c>
      <c r="X145">
        <v>7.09</v>
      </c>
      <c r="Y145">
        <v>7.33</v>
      </c>
      <c r="Z145">
        <v>12.23</v>
      </c>
      <c r="AA145">
        <v>13.05</v>
      </c>
      <c r="AB145">
        <v>12.34</v>
      </c>
      <c r="AC145">
        <v>76.84</v>
      </c>
      <c r="AD145">
        <v>71.33</v>
      </c>
      <c r="AE145">
        <v>73.099999999999994</v>
      </c>
      <c r="AF145">
        <v>2.54</v>
      </c>
      <c r="AG145">
        <v>7.22</v>
      </c>
      <c r="AH145">
        <v>4.21</v>
      </c>
      <c r="AI145">
        <v>71.73</v>
      </c>
      <c r="AJ145">
        <v>76.61</v>
      </c>
      <c r="AK145">
        <v>74.11</v>
      </c>
      <c r="AL145">
        <v>87.43</v>
      </c>
      <c r="AM145">
        <v>51.9</v>
      </c>
      <c r="AN145">
        <v>69.67</v>
      </c>
      <c r="AO145">
        <v>213494</v>
      </c>
    </row>
    <row r="146" spans="1:41" x14ac:dyDescent="0.35">
      <c r="A146" t="s">
        <v>145</v>
      </c>
      <c r="B146">
        <v>8.1300000000000008</v>
      </c>
      <c r="C146">
        <v>7.48</v>
      </c>
      <c r="D146">
        <v>7.81</v>
      </c>
      <c r="E146">
        <v>11.99</v>
      </c>
      <c r="F146">
        <v>12.6</v>
      </c>
      <c r="G146">
        <v>12.13</v>
      </c>
      <c r="H146">
        <v>74.2</v>
      </c>
      <c r="I146">
        <v>66.78</v>
      </c>
      <c r="J146">
        <v>70.61</v>
      </c>
      <c r="K146">
        <v>2.82</v>
      </c>
      <c r="L146">
        <v>5.24</v>
      </c>
      <c r="M146">
        <v>3.71</v>
      </c>
      <c r="N146">
        <v>72.02</v>
      </c>
      <c r="O146">
        <v>77.22</v>
      </c>
      <c r="P146">
        <v>74.55</v>
      </c>
      <c r="Q146">
        <v>89.66</v>
      </c>
      <c r="R146">
        <v>53.68</v>
      </c>
      <c r="S146">
        <v>71.67</v>
      </c>
      <c r="T146">
        <v>301790</v>
      </c>
      <c r="V146" t="str">
        <v>Bangka Selatan</v>
      </c>
      <c r="W146">
        <v>7.41</v>
      </c>
      <c r="X146">
        <v>7.06</v>
      </c>
      <c r="Y146">
        <v>7.25</v>
      </c>
      <c r="Z146">
        <v>11.7</v>
      </c>
      <c r="AA146">
        <v>12.25</v>
      </c>
      <c r="AB146">
        <v>11.78</v>
      </c>
      <c r="AC146">
        <v>75.06</v>
      </c>
      <c r="AD146">
        <v>64.540000000000006</v>
      </c>
      <c r="AE146">
        <v>70.83</v>
      </c>
      <c r="AF146">
        <v>3.98</v>
      </c>
      <c r="AG146">
        <v>5.43</v>
      </c>
      <c r="AH146">
        <v>4.4800000000000004</v>
      </c>
      <c r="AI146">
        <v>70.12</v>
      </c>
      <c r="AJ146">
        <v>74.12</v>
      </c>
      <c r="AK146">
        <v>72.069999999999993</v>
      </c>
      <c r="AL146">
        <v>91.02</v>
      </c>
      <c r="AM146">
        <v>51.33</v>
      </c>
      <c r="AN146">
        <v>71.180000000000007</v>
      </c>
      <c r="AO146">
        <v>211114</v>
      </c>
    </row>
    <row r="147" spans="1:41" x14ac:dyDescent="0.35">
      <c r="A147" t="s">
        <v>146</v>
      </c>
      <c r="B147">
        <v>8.9700000000000006</v>
      </c>
      <c r="C147">
        <v>8.69</v>
      </c>
      <c r="D147">
        <v>8.76</v>
      </c>
      <c r="E147">
        <v>12.24</v>
      </c>
      <c r="F147">
        <v>12.5</v>
      </c>
      <c r="G147">
        <v>12.31</v>
      </c>
      <c r="H147">
        <v>74.180000000000007</v>
      </c>
      <c r="I147">
        <v>70.709999999999994</v>
      </c>
      <c r="J147">
        <v>71.72</v>
      </c>
      <c r="K147">
        <v>2.2799999999999998</v>
      </c>
      <c r="L147">
        <v>4.7</v>
      </c>
      <c r="M147">
        <v>3.27</v>
      </c>
      <c r="N147">
        <v>71.790000000000006</v>
      </c>
      <c r="O147">
        <v>76.75</v>
      </c>
      <c r="P147">
        <v>74.209999999999994</v>
      </c>
      <c r="Q147">
        <v>84.34</v>
      </c>
      <c r="R147">
        <v>63.28</v>
      </c>
      <c r="S147">
        <v>73.81</v>
      </c>
      <c r="T147">
        <v>174861</v>
      </c>
      <c r="V147" t="str">
        <v>Belitung Timur</v>
      </c>
      <c r="W147">
        <v>9.0399999999999991</v>
      </c>
      <c r="X147">
        <v>9.02</v>
      </c>
      <c r="Y147">
        <v>9.0299999999999994</v>
      </c>
      <c r="Z147">
        <v>11.67</v>
      </c>
      <c r="AA147">
        <v>12.23</v>
      </c>
      <c r="AB147">
        <v>11.78</v>
      </c>
      <c r="AC147">
        <v>77.88</v>
      </c>
      <c r="AD147">
        <v>68.97</v>
      </c>
      <c r="AE147">
        <v>73.989999999999995</v>
      </c>
      <c r="AF147">
        <v>2.71</v>
      </c>
      <c r="AG147">
        <v>3.67</v>
      </c>
      <c r="AH147">
        <v>3.05</v>
      </c>
      <c r="AI147">
        <v>71.73</v>
      </c>
      <c r="AJ147">
        <v>76.62</v>
      </c>
      <c r="AK147">
        <v>74.12</v>
      </c>
      <c r="AL147">
        <v>86.98</v>
      </c>
      <c r="AM147">
        <v>49.97</v>
      </c>
      <c r="AN147">
        <v>68.48</v>
      </c>
      <c r="AO147">
        <v>134371</v>
      </c>
    </row>
    <row r="148" spans="1:41" x14ac:dyDescent="0.35">
      <c r="A148" t="s">
        <v>147</v>
      </c>
      <c r="B148">
        <v>11.46</v>
      </c>
      <c r="C148">
        <v>10.99</v>
      </c>
      <c r="D148">
        <v>11.11</v>
      </c>
      <c r="E148">
        <v>14.56</v>
      </c>
      <c r="F148">
        <v>14.94</v>
      </c>
      <c r="G148">
        <v>14.74</v>
      </c>
      <c r="H148">
        <v>84.51</v>
      </c>
      <c r="I148">
        <v>80.61</v>
      </c>
      <c r="J148">
        <v>81.260000000000005</v>
      </c>
      <c r="K148">
        <v>6.91</v>
      </c>
      <c r="L148">
        <v>8.51</v>
      </c>
      <c r="M148">
        <v>7.53</v>
      </c>
      <c r="N148">
        <v>72.52</v>
      </c>
      <c r="O148">
        <v>78.03</v>
      </c>
      <c r="P148">
        <v>75.209999999999994</v>
      </c>
      <c r="Q148">
        <v>81.010000000000005</v>
      </c>
      <c r="R148">
        <v>52.8</v>
      </c>
      <c r="S148">
        <v>66.91</v>
      </c>
      <c r="T148">
        <v>1226211</v>
      </c>
      <c r="V148" t="str">
        <v>Kota Pangkal Pinang</v>
      </c>
      <c r="W148">
        <v>11.05</v>
      </c>
      <c r="X148">
        <v>10.75</v>
      </c>
      <c r="Y148">
        <v>10.9</v>
      </c>
      <c r="Z148">
        <v>13.49</v>
      </c>
      <c r="AA148">
        <v>13.53</v>
      </c>
      <c r="AB148">
        <v>13.5</v>
      </c>
      <c r="AC148">
        <v>84.7</v>
      </c>
      <c r="AD148">
        <v>80.709999999999994</v>
      </c>
      <c r="AE148">
        <v>81.64</v>
      </c>
      <c r="AF148">
        <v>6.31</v>
      </c>
      <c r="AG148">
        <v>4.8600000000000003</v>
      </c>
      <c r="AH148">
        <v>5.73</v>
      </c>
      <c r="AI148">
        <v>72.88</v>
      </c>
      <c r="AJ148">
        <v>78.55</v>
      </c>
      <c r="AK148">
        <v>75.64</v>
      </c>
      <c r="AL148">
        <v>80.290000000000006</v>
      </c>
      <c r="AM148">
        <v>53.71</v>
      </c>
      <c r="AN148">
        <v>67</v>
      </c>
      <c r="AO148">
        <v>233466</v>
      </c>
    </row>
    <row r="149" spans="1:41" x14ac:dyDescent="0.35">
      <c r="A149" t="s">
        <v>148</v>
      </c>
      <c r="B149">
        <v>11.42</v>
      </c>
      <c r="C149">
        <v>11.12</v>
      </c>
      <c r="D149">
        <v>11.19</v>
      </c>
      <c r="E149">
        <v>14.91</v>
      </c>
      <c r="F149">
        <v>15.18</v>
      </c>
      <c r="G149">
        <v>14.97</v>
      </c>
      <c r="H149">
        <v>83.48</v>
      </c>
      <c r="I149">
        <v>80.930000000000007</v>
      </c>
      <c r="J149">
        <v>81.22</v>
      </c>
      <c r="K149">
        <v>3.75</v>
      </c>
      <c r="L149">
        <v>3.23</v>
      </c>
      <c r="M149">
        <v>3.54</v>
      </c>
      <c r="N149">
        <v>73.06</v>
      </c>
      <c r="O149">
        <v>78.81</v>
      </c>
      <c r="P149">
        <v>75.86</v>
      </c>
      <c r="Q149">
        <v>82.85</v>
      </c>
      <c r="R149">
        <v>56.79</v>
      </c>
      <c r="S149">
        <v>69.819999999999993</v>
      </c>
      <c r="T149">
        <v>177523</v>
      </c>
      <c r="V149" t="str">
        <v>Karimun</v>
      </c>
      <c r="W149">
        <v>9.1</v>
      </c>
      <c r="X149">
        <v>8.9700000000000006</v>
      </c>
      <c r="Y149">
        <v>9.06</v>
      </c>
      <c r="Z149">
        <v>12.57</v>
      </c>
      <c r="AA149">
        <v>13.11</v>
      </c>
      <c r="AB149">
        <v>12.63</v>
      </c>
      <c r="AC149">
        <v>79.900000000000006</v>
      </c>
      <c r="AD149">
        <v>74.37</v>
      </c>
      <c r="AE149">
        <v>76.08</v>
      </c>
      <c r="AF149">
        <v>7.54</v>
      </c>
      <c r="AG149">
        <v>4.18</v>
      </c>
      <c r="AH149">
        <v>6.31</v>
      </c>
      <c r="AI149">
        <v>72.39</v>
      </c>
      <c r="AJ149">
        <v>77.849999999999994</v>
      </c>
      <c r="AK149">
        <v>75.05</v>
      </c>
      <c r="AL149">
        <v>82.54</v>
      </c>
      <c r="AM149">
        <v>50.26</v>
      </c>
      <c r="AN149">
        <v>66.400000000000006</v>
      </c>
      <c r="AO149">
        <v>266009</v>
      </c>
    </row>
    <row r="150" spans="1:41" x14ac:dyDescent="0.35">
      <c r="A150" t="s">
        <v>157</v>
      </c>
      <c r="B150">
        <v>8.66</v>
      </c>
      <c r="C150">
        <v>8.52</v>
      </c>
      <c r="D150">
        <v>8.65</v>
      </c>
      <c r="E150">
        <v>12.27</v>
      </c>
      <c r="F150">
        <v>12.81</v>
      </c>
      <c r="G150">
        <v>12.5</v>
      </c>
      <c r="H150">
        <v>78.569999999999993</v>
      </c>
      <c r="I150">
        <v>71.88</v>
      </c>
      <c r="J150">
        <v>75.260000000000005</v>
      </c>
      <c r="K150">
        <v>3.74</v>
      </c>
      <c r="L150">
        <v>5.68</v>
      </c>
      <c r="M150">
        <v>4.45</v>
      </c>
      <c r="N150">
        <v>71.959999999999994</v>
      </c>
      <c r="O150">
        <v>77.099999999999994</v>
      </c>
      <c r="P150">
        <v>74.459999999999994</v>
      </c>
      <c r="Q150">
        <v>85.86</v>
      </c>
      <c r="R150">
        <v>52.02</v>
      </c>
      <c r="S150">
        <v>68.94</v>
      </c>
      <c r="T150">
        <v>1550821</v>
      </c>
      <c r="V150" t="str">
        <v>Bintan</v>
      </c>
      <c r="W150">
        <v>9.5500000000000007</v>
      </c>
      <c r="X150">
        <v>9.44</v>
      </c>
      <c r="Y150">
        <v>9.4499999999999993</v>
      </c>
      <c r="Z150">
        <v>13.35</v>
      </c>
      <c r="AA150">
        <v>14.2</v>
      </c>
      <c r="AB150">
        <v>13.46</v>
      </c>
      <c r="AC150">
        <v>82.17</v>
      </c>
      <c r="AD150">
        <v>77.989999999999995</v>
      </c>
      <c r="AE150">
        <v>78.650000000000006</v>
      </c>
      <c r="AF150">
        <v>5.41</v>
      </c>
      <c r="AG150">
        <v>3.75</v>
      </c>
      <c r="AH150">
        <v>4.8099999999999996</v>
      </c>
      <c r="AI150">
        <v>72.52</v>
      </c>
      <c r="AJ150">
        <v>78.03</v>
      </c>
      <c r="AK150">
        <v>75.209999999999994</v>
      </c>
      <c r="AL150">
        <v>84.01</v>
      </c>
      <c r="AM150">
        <v>50.62</v>
      </c>
      <c r="AN150">
        <v>67.319999999999993</v>
      </c>
      <c r="AO150">
        <v>170455</v>
      </c>
    </row>
    <row r="151" spans="1:41" x14ac:dyDescent="0.35">
      <c r="A151" t="s">
        <v>150</v>
      </c>
      <c r="B151">
        <v>9.18</v>
      </c>
      <c r="C151">
        <v>8.5</v>
      </c>
      <c r="D151">
        <v>8.77</v>
      </c>
      <c r="E151">
        <v>13.13</v>
      </c>
      <c r="F151">
        <v>13.47</v>
      </c>
      <c r="G151">
        <v>13.13</v>
      </c>
      <c r="H151">
        <v>79.62</v>
      </c>
      <c r="I151">
        <v>71.150000000000006</v>
      </c>
      <c r="J151">
        <v>75.38</v>
      </c>
      <c r="K151">
        <v>3.79</v>
      </c>
      <c r="L151">
        <v>6.46</v>
      </c>
      <c r="M151">
        <v>4.75</v>
      </c>
      <c r="N151">
        <v>71.37</v>
      </c>
      <c r="O151">
        <v>75.86</v>
      </c>
      <c r="P151">
        <v>73.56</v>
      </c>
      <c r="Q151">
        <v>84.59</v>
      </c>
      <c r="R151">
        <v>50.29</v>
      </c>
      <c r="S151">
        <v>67.44</v>
      </c>
      <c r="T151">
        <v>346069</v>
      </c>
      <c r="V151" t="str">
        <v>Natuna</v>
      </c>
      <c r="W151">
        <v>9.6999999999999993</v>
      </c>
      <c r="X151">
        <v>9.25</v>
      </c>
      <c r="Y151">
        <v>9.25</v>
      </c>
      <c r="Z151">
        <v>13.81</v>
      </c>
      <c r="AA151">
        <v>14.19</v>
      </c>
      <c r="AB151">
        <v>13.95</v>
      </c>
      <c r="AC151">
        <v>82.51</v>
      </c>
      <c r="AD151">
        <v>76.83</v>
      </c>
      <c r="AE151">
        <v>78.94</v>
      </c>
      <c r="AF151">
        <v>4.88</v>
      </c>
      <c r="AG151">
        <v>2.72</v>
      </c>
      <c r="AH151">
        <v>3.98</v>
      </c>
      <c r="AI151">
        <v>72.150000000000006</v>
      </c>
      <c r="AJ151">
        <v>77.510000000000005</v>
      </c>
      <c r="AK151">
        <v>74.77</v>
      </c>
      <c r="AL151">
        <v>80.16</v>
      </c>
      <c r="AM151">
        <v>61.02</v>
      </c>
      <c r="AN151">
        <v>70.59</v>
      </c>
      <c r="AO151">
        <v>86757</v>
      </c>
    </row>
    <row r="152" spans="1:41" x14ac:dyDescent="0.35">
      <c r="A152" t="s">
        <v>151</v>
      </c>
      <c r="B152">
        <v>9.16</v>
      </c>
      <c r="C152">
        <v>9.0299999999999994</v>
      </c>
      <c r="D152">
        <v>9.11</v>
      </c>
      <c r="E152">
        <v>11.92</v>
      </c>
      <c r="F152">
        <v>12.31</v>
      </c>
      <c r="G152">
        <v>12.1</v>
      </c>
      <c r="H152">
        <v>78.849999999999994</v>
      </c>
      <c r="I152">
        <v>71.06</v>
      </c>
      <c r="J152">
        <v>75.290000000000006</v>
      </c>
      <c r="K152">
        <v>2.75</v>
      </c>
      <c r="L152">
        <v>5.12</v>
      </c>
      <c r="M152">
        <v>3.64</v>
      </c>
      <c r="N152">
        <v>71.09</v>
      </c>
      <c r="O152">
        <v>75.27</v>
      </c>
      <c r="P152">
        <v>73.13</v>
      </c>
      <c r="Q152">
        <v>85.09</v>
      </c>
      <c r="R152">
        <v>52.76</v>
      </c>
      <c r="S152">
        <v>68.930000000000007</v>
      </c>
      <c r="T152">
        <v>193559</v>
      </c>
      <c r="V152" t="str">
        <v>Lingga</v>
      </c>
      <c r="W152">
        <v>7.95</v>
      </c>
      <c r="X152">
        <v>7.66</v>
      </c>
      <c r="Y152">
        <v>7.87</v>
      </c>
      <c r="Z152">
        <v>12.93</v>
      </c>
      <c r="AA152">
        <v>12.76</v>
      </c>
      <c r="AB152">
        <v>12.77</v>
      </c>
      <c r="AC152">
        <v>77.78</v>
      </c>
      <c r="AD152">
        <v>71.58</v>
      </c>
      <c r="AE152">
        <v>73.819999999999993</v>
      </c>
      <c r="AF152">
        <v>4.9800000000000004</v>
      </c>
      <c r="AG152">
        <v>0.79</v>
      </c>
      <c r="AH152">
        <v>3.52</v>
      </c>
      <c r="AI152">
        <v>71.680000000000007</v>
      </c>
      <c r="AJ152">
        <v>76.510000000000005</v>
      </c>
      <c r="AK152">
        <v>74.040000000000006</v>
      </c>
      <c r="AL152">
        <v>83.03</v>
      </c>
      <c r="AM152">
        <v>47.85</v>
      </c>
      <c r="AN152">
        <v>65.44</v>
      </c>
      <c r="AO152">
        <v>102949</v>
      </c>
    </row>
    <row r="153" spans="1:41" x14ac:dyDescent="0.35">
      <c r="A153" t="s">
        <v>152</v>
      </c>
      <c r="B153">
        <v>8.23</v>
      </c>
      <c r="C153">
        <v>7.8</v>
      </c>
      <c r="D153">
        <v>7.8</v>
      </c>
      <c r="E153">
        <v>11.78</v>
      </c>
      <c r="F153">
        <v>12.21</v>
      </c>
      <c r="G153">
        <v>11.95</v>
      </c>
      <c r="H153">
        <v>76.319999999999993</v>
      </c>
      <c r="I153">
        <v>69.5</v>
      </c>
      <c r="J153">
        <v>72.23</v>
      </c>
      <c r="K153">
        <v>3.68</v>
      </c>
      <c r="L153">
        <v>5.86</v>
      </c>
      <c r="M153">
        <v>4.49</v>
      </c>
      <c r="N153">
        <v>70.39</v>
      </c>
      <c r="O153">
        <v>74.400000000000006</v>
      </c>
      <c r="P153">
        <v>72.349999999999994</v>
      </c>
      <c r="Q153">
        <v>87.07</v>
      </c>
      <c r="R153">
        <v>54.38</v>
      </c>
      <c r="S153">
        <v>70.73</v>
      </c>
      <c r="T153">
        <v>218748</v>
      </c>
      <c r="V153" t="str">
        <v>Kepulauan Anambas</v>
      </c>
      <c r="W153">
        <v>8.09</v>
      </c>
      <c r="X153">
        <v>7.71</v>
      </c>
      <c r="Y153">
        <v>7.79</v>
      </c>
      <c r="Z153">
        <v>13.02</v>
      </c>
      <c r="AA153">
        <v>13.33</v>
      </c>
      <c r="AB153">
        <v>13.07</v>
      </c>
      <c r="AC153">
        <v>77.760000000000005</v>
      </c>
      <c r="AD153">
        <v>71.66</v>
      </c>
      <c r="AE153">
        <v>74.069999999999993</v>
      </c>
      <c r="AF153">
        <v>2.33</v>
      </c>
      <c r="AG153">
        <v>2.91</v>
      </c>
      <c r="AH153">
        <v>2.56</v>
      </c>
      <c r="AI153">
        <v>71.69</v>
      </c>
      <c r="AJ153">
        <v>76.53</v>
      </c>
      <c r="AK153">
        <v>74.05</v>
      </c>
      <c r="AL153">
        <v>79.900000000000006</v>
      </c>
      <c r="AM153">
        <v>55.41</v>
      </c>
      <c r="AN153">
        <v>67.66</v>
      </c>
      <c r="AO153">
        <v>50362</v>
      </c>
    </row>
    <row r="154" spans="1:41" x14ac:dyDescent="0.35">
      <c r="A154" t="s">
        <v>153</v>
      </c>
      <c r="B154">
        <v>7.68</v>
      </c>
      <c r="C154">
        <v>7.09</v>
      </c>
      <c r="D154">
        <v>7.33</v>
      </c>
      <c r="E154">
        <v>12.23</v>
      </c>
      <c r="F154">
        <v>13.05</v>
      </c>
      <c r="G154">
        <v>12.34</v>
      </c>
      <c r="H154">
        <v>76.84</v>
      </c>
      <c r="I154">
        <v>71.33</v>
      </c>
      <c r="J154">
        <v>73.099999999999994</v>
      </c>
      <c r="K154">
        <v>2.54</v>
      </c>
      <c r="L154">
        <v>7.22</v>
      </c>
      <c r="M154">
        <v>4.21</v>
      </c>
      <c r="N154">
        <v>71.73</v>
      </c>
      <c r="O154">
        <v>76.61</v>
      </c>
      <c r="P154">
        <v>74.11</v>
      </c>
      <c r="Q154">
        <v>87.43</v>
      </c>
      <c r="R154">
        <v>51.9</v>
      </c>
      <c r="S154">
        <v>69.67</v>
      </c>
      <c r="T154">
        <v>213494</v>
      </c>
      <c r="V154" t="str">
        <v>Kota Batam</v>
      </c>
      <c r="W154">
        <v>11.52</v>
      </c>
      <c r="X154">
        <v>11.21</v>
      </c>
      <c r="Y154">
        <v>11.34</v>
      </c>
      <c r="Z154">
        <v>13.3</v>
      </c>
      <c r="AA154">
        <v>13.71</v>
      </c>
      <c r="AB154">
        <v>13.57</v>
      </c>
      <c r="AC154">
        <v>86.22</v>
      </c>
      <c r="AD154">
        <v>83.6</v>
      </c>
      <c r="AE154">
        <v>83.8</v>
      </c>
      <c r="AF154">
        <v>6.79</v>
      </c>
      <c r="AG154">
        <v>8.86</v>
      </c>
      <c r="AH154">
        <v>7.57</v>
      </c>
      <c r="AI154">
        <v>72.790000000000006</v>
      </c>
      <c r="AJ154">
        <v>78.430000000000007</v>
      </c>
      <c r="AK154">
        <v>75.540000000000006</v>
      </c>
      <c r="AL154">
        <v>85.35</v>
      </c>
      <c r="AM154">
        <v>51.93</v>
      </c>
      <c r="AN154">
        <v>68.64</v>
      </c>
      <c r="AO154">
        <v>1296962</v>
      </c>
    </row>
    <row r="155" spans="1:41" x14ac:dyDescent="0.35">
      <c r="A155" t="s">
        <v>154</v>
      </c>
      <c r="B155">
        <v>7.41</v>
      </c>
      <c r="C155">
        <v>7.06</v>
      </c>
      <c r="D155">
        <v>7.25</v>
      </c>
      <c r="E155">
        <v>11.7</v>
      </c>
      <c r="F155">
        <v>12.25</v>
      </c>
      <c r="G155">
        <v>11.78</v>
      </c>
      <c r="H155">
        <v>75.06</v>
      </c>
      <c r="I155">
        <v>64.540000000000006</v>
      </c>
      <c r="J155">
        <v>70.83</v>
      </c>
      <c r="K155">
        <v>3.98</v>
      </c>
      <c r="L155">
        <v>5.43</v>
      </c>
      <c r="M155">
        <v>4.4800000000000004</v>
      </c>
      <c r="N155">
        <v>70.12</v>
      </c>
      <c r="O155">
        <v>74.12</v>
      </c>
      <c r="P155">
        <v>72.069999999999993</v>
      </c>
      <c r="Q155">
        <v>91.02</v>
      </c>
      <c r="R155">
        <v>51.33</v>
      </c>
      <c r="S155">
        <v>71.180000000000007</v>
      </c>
      <c r="T155">
        <v>211114</v>
      </c>
      <c r="V155" t="str">
        <v>Kota Tanjung Pinang</v>
      </c>
      <c r="W155">
        <v>10.98</v>
      </c>
      <c r="X155">
        <v>10.78</v>
      </c>
      <c r="Y155">
        <v>10.8</v>
      </c>
      <c r="Z155">
        <v>14.19</v>
      </c>
      <c r="AA155">
        <v>14.64</v>
      </c>
      <c r="AB155">
        <v>14.19</v>
      </c>
      <c r="AC155">
        <v>83.98</v>
      </c>
      <c r="AD155">
        <v>82.02</v>
      </c>
      <c r="AE155">
        <v>82.02</v>
      </c>
      <c r="AF155">
        <v>5.7</v>
      </c>
      <c r="AG155">
        <v>3.25</v>
      </c>
      <c r="AH155">
        <v>4.72</v>
      </c>
      <c r="AI155">
        <v>72.569999999999993</v>
      </c>
      <c r="AJ155">
        <v>78.099999999999994</v>
      </c>
      <c r="AK155">
        <v>75.27</v>
      </c>
      <c r="AL155">
        <v>80.67</v>
      </c>
      <c r="AM155">
        <v>54.26</v>
      </c>
      <c r="AN155">
        <v>67.47</v>
      </c>
      <c r="AO155">
        <v>239962</v>
      </c>
    </row>
    <row r="156" spans="1:41" x14ac:dyDescent="0.35">
      <c r="A156" t="s">
        <v>155</v>
      </c>
      <c r="B156">
        <v>9.0399999999999991</v>
      </c>
      <c r="C156">
        <v>9.02</v>
      </c>
      <c r="D156">
        <v>9.0299999999999994</v>
      </c>
      <c r="E156">
        <v>11.67</v>
      </c>
      <c r="F156">
        <v>12.23</v>
      </c>
      <c r="G156">
        <v>11.78</v>
      </c>
      <c r="H156">
        <v>77.88</v>
      </c>
      <c r="I156">
        <v>68.97</v>
      </c>
      <c r="J156">
        <v>73.989999999999995</v>
      </c>
      <c r="K156">
        <v>2.71</v>
      </c>
      <c r="L156">
        <v>3.67</v>
      </c>
      <c r="M156">
        <v>3.05</v>
      </c>
      <c r="N156">
        <v>71.73</v>
      </c>
      <c r="O156">
        <v>76.62</v>
      </c>
      <c r="P156">
        <v>74.12</v>
      </c>
      <c r="Q156">
        <v>86.98</v>
      </c>
      <c r="R156">
        <v>49.97</v>
      </c>
      <c r="S156">
        <v>68.48</v>
      </c>
      <c r="T156">
        <v>134371</v>
      </c>
      <c r="V156" t="str">
        <v>Kep. Seribu</v>
      </c>
      <c r="W156">
        <v>9.58</v>
      </c>
      <c r="X156">
        <v>9.08</v>
      </c>
      <c r="Y156">
        <v>9.27</v>
      </c>
      <c r="Z156">
        <v>13.52</v>
      </c>
      <c r="AA156">
        <v>12.76</v>
      </c>
      <c r="AB156">
        <v>12.97</v>
      </c>
      <c r="AC156">
        <v>81.11</v>
      </c>
      <c r="AD156">
        <v>76.94</v>
      </c>
      <c r="AE156">
        <v>77.52</v>
      </c>
      <c r="AF156">
        <v>6.9</v>
      </c>
      <c r="AG156">
        <v>8.82</v>
      </c>
      <c r="AH156">
        <v>7.71</v>
      </c>
      <c r="AI156">
        <v>72.55</v>
      </c>
      <c r="AJ156">
        <v>78.069999999999993</v>
      </c>
      <c r="AK156">
        <v>75.239999999999995</v>
      </c>
      <c r="AL156">
        <v>84.25</v>
      </c>
      <c r="AM156">
        <v>59.94</v>
      </c>
      <c r="AN156">
        <v>72.099999999999994</v>
      </c>
      <c r="AO156">
        <v>29088</v>
      </c>
    </row>
    <row r="157" spans="1:41" x14ac:dyDescent="0.35">
      <c r="A157" t="s">
        <v>156</v>
      </c>
      <c r="B157">
        <v>11.05</v>
      </c>
      <c r="C157">
        <v>10.75</v>
      </c>
      <c r="D157">
        <v>10.9</v>
      </c>
      <c r="E157">
        <v>13.49</v>
      </c>
      <c r="F157">
        <v>13.53</v>
      </c>
      <c r="G157">
        <v>13.5</v>
      </c>
      <c r="H157">
        <v>84.7</v>
      </c>
      <c r="I157">
        <v>80.709999999999994</v>
      </c>
      <c r="J157">
        <v>81.64</v>
      </c>
      <c r="K157">
        <v>6.31</v>
      </c>
      <c r="L157">
        <v>4.8600000000000003</v>
      </c>
      <c r="M157">
        <v>5.73</v>
      </c>
      <c r="N157">
        <v>72.88</v>
      </c>
      <c r="O157">
        <v>78.55</v>
      </c>
      <c r="P157">
        <v>75.64</v>
      </c>
      <c r="Q157">
        <v>80.290000000000006</v>
      </c>
      <c r="R157">
        <v>53.71</v>
      </c>
      <c r="S157">
        <v>67</v>
      </c>
      <c r="T157">
        <v>233466</v>
      </c>
      <c r="V157" t="str">
        <v>Kota Jakarta Selatan</v>
      </c>
      <c r="W157">
        <v>12.39</v>
      </c>
      <c r="X157">
        <v>11.83</v>
      </c>
      <c r="Y157">
        <v>12.06</v>
      </c>
      <c r="Z157">
        <v>14.32</v>
      </c>
      <c r="AA157">
        <v>14.2</v>
      </c>
      <c r="AB157">
        <v>14.28</v>
      </c>
      <c r="AC157">
        <v>88.79</v>
      </c>
      <c r="AD157">
        <v>88.13</v>
      </c>
      <c r="AE157">
        <v>88.51</v>
      </c>
      <c r="AF157">
        <v>6.66</v>
      </c>
      <c r="AG157">
        <v>2.65</v>
      </c>
      <c r="AH157">
        <v>5.09</v>
      </c>
      <c r="AI157">
        <v>73.62</v>
      </c>
      <c r="AJ157">
        <v>79.62</v>
      </c>
      <c r="AK157">
        <v>76.55</v>
      </c>
      <c r="AL157">
        <v>78.91</v>
      </c>
      <c r="AM157">
        <v>50.38</v>
      </c>
      <c r="AN157">
        <v>64.650000000000006</v>
      </c>
      <c r="AO157">
        <v>2219225</v>
      </c>
    </row>
    <row r="158" spans="1:41" x14ac:dyDescent="0.35">
      <c r="A158" t="s">
        <v>165</v>
      </c>
      <c r="B158">
        <v>10.85</v>
      </c>
      <c r="C158">
        <v>10.58</v>
      </c>
      <c r="D158">
        <v>10.72</v>
      </c>
      <c r="E158">
        <v>13.1</v>
      </c>
      <c r="F158">
        <v>13.57</v>
      </c>
      <c r="G158">
        <v>13.28</v>
      </c>
      <c r="H158">
        <v>83.44</v>
      </c>
      <c r="I158">
        <v>79.489999999999995</v>
      </c>
      <c r="J158">
        <v>80.53</v>
      </c>
      <c r="K158">
        <v>6.4</v>
      </c>
      <c r="L158">
        <v>6.54</v>
      </c>
      <c r="M158">
        <v>6.45</v>
      </c>
      <c r="N158">
        <v>72.73</v>
      </c>
      <c r="O158">
        <v>78.33</v>
      </c>
      <c r="P158">
        <v>75.459999999999994</v>
      </c>
      <c r="Q158">
        <v>83.94</v>
      </c>
      <c r="R158">
        <v>52.12</v>
      </c>
      <c r="S158">
        <v>68.03</v>
      </c>
      <c r="T158">
        <v>2213456</v>
      </c>
      <c r="V158" t="str">
        <v>Kota Jakarta Timur</v>
      </c>
      <c r="W158">
        <v>12.32</v>
      </c>
      <c r="X158">
        <v>11.85</v>
      </c>
      <c r="Y158">
        <v>12.01</v>
      </c>
      <c r="Z158">
        <v>13.98</v>
      </c>
      <c r="AA158">
        <v>14.47</v>
      </c>
      <c r="AB158">
        <v>14.32</v>
      </c>
      <c r="AC158">
        <v>88.01</v>
      </c>
      <c r="AD158">
        <v>85.47</v>
      </c>
      <c r="AE158">
        <v>85.51</v>
      </c>
      <c r="AF158">
        <v>6.27</v>
      </c>
      <c r="AG158">
        <v>7.56</v>
      </c>
      <c r="AH158">
        <v>6.78</v>
      </c>
      <c r="AI158">
        <v>74.12</v>
      </c>
      <c r="AJ158">
        <v>78.88</v>
      </c>
      <c r="AK158">
        <v>75.930000000000007</v>
      </c>
      <c r="AL158">
        <v>78.91</v>
      </c>
      <c r="AM158">
        <v>49.48</v>
      </c>
      <c r="AN158">
        <v>64.2</v>
      </c>
      <c r="AO158">
        <v>3085058</v>
      </c>
    </row>
    <row r="159" spans="1:41" x14ac:dyDescent="0.35">
      <c r="A159" t="s">
        <v>158</v>
      </c>
      <c r="B159">
        <v>9.1</v>
      </c>
      <c r="C159">
        <v>8.9700000000000006</v>
      </c>
      <c r="D159">
        <v>9.06</v>
      </c>
      <c r="E159">
        <v>12.57</v>
      </c>
      <c r="F159">
        <v>13.11</v>
      </c>
      <c r="G159">
        <v>12.63</v>
      </c>
      <c r="H159">
        <v>79.900000000000006</v>
      </c>
      <c r="I159">
        <v>74.37</v>
      </c>
      <c r="J159">
        <v>76.08</v>
      </c>
      <c r="K159">
        <v>7.54</v>
      </c>
      <c r="L159">
        <v>4.18</v>
      </c>
      <c r="M159">
        <v>6.31</v>
      </c>
      <c r="N159">
        <v>72.39</v>
      </c>
      <c r="O159">
        <v>77.849999999999994</v>
      </c>
      <c r="P159">
        <v>75.05</v>
      </c>
      <c r="Q159">
        <v>82.54</v>
      </c>
      <c r="R159">
        <v>50.26</v>
      </c>
      <c r="S159">
        <v>66.400000000000006</v>
      </c>
      <c r="T159">
        <v>266009</v>
      </c>
      <c r="V159" t="str">
        <v>Kota Jakarta Pusat</v>
      </c>
      <c r="W159">
        <v>11.88</v>
      </c>
      <c r="X159">
        <v>11.41</v>
      </c>
      <c r="Y159">
        <v>11.62</v>
      </c>
      <c r="Z159">
        <v>13.53</v>
      </c>
      <c r="AA159">
        <v>13.5</v>
      </c>
      <c r="AB159">
        <v>13.5</v>
      </c>
      <c r="AC159">
        <v>85.75</v>
      </c>
      <c r="AD159">
        <v>84.12</v>
      </c>
      <c r="AE159">
        <v>84.45</v>
      </c>
      <c r="AF159">
        <v>6.39</v>
      </c>
      <c r="AG159">
        <v>5.61</v>
      </c>
      <c r="AH159">
        <v>6.09</v>
      </c>
      <c r="AI159">
        <v>73.92</v>
      </c>
      <c r="AJ159">
        <v>80.05</v>
      </c>
      <c r="AK159">
        <v>76.91</v>
      </c>
      <c r="AL159">
        <v>79.650000000000006</v>
      </c>
      <c r="AM159">
        <v>50.65</v>
      </c>
      <c r="AN159">
        <v>65.150000000000006</v>
      </c>
      <c r="AO159">
        <v>1038396</v>
      </c>
    </row>
    <row r="160" spans="1:41" x14ac:dyDescent="0.35">
      <c r="A160" t="s">
        <v>159</v>
      </c>
      <c r="B160">
        <v>9.5500000000000007</v>
      </c>
      <c r="C160">
        <v>9.44</v>
      </c>
      <c r="D160">
        <v>9.4499999999999993</v>
      </c>
      <c r="E160">
        <v>13.35</v>
      </c>
      <c r="F160">
        <v>14.2</v>
      </c>
      <c r="G160">
        <v>13.46</v>
      </c>
      <c r="H160">
        <v>82.17</v>
      </c>
      <c r="I160">
        <v>77.989999999999995</v>
      </c>
      <c r="J160">
        <v>78.650000000000006</v>
      </c>
      <c r="K160">
        <v>5.41</v>
      </c>
      <c r="L160">
        <v>3.75</v>
      </c>
      <c r="M160">
        <v>4.8099999999999996</v>
      </c>
      <c r="N160">
        <v>72.52</v>
      </c>
      <c r="O160">
        <v>78.03</v>
      </c>
      <c r="P160">
        <v>75.209999999999994</v>
      </c>
      <c r="Q160">
        <v>84.01</v>
      </c>
      <c r="R160">
        <v>50.62</v>
      </c>
      <c r="S160">
        <v>67.319999999999993</v>
      </c>
      <c r="T160">
        <v>170455</v>
      </c>
      <c r="V160" t="str">
        <v>Kota Jakarta Barat</v>
      </c>
      <c r="W160">
        <v>11.66</v>
      </c>
      <c r="X160">
        <v>10.84</v>
      </c>
      <c r="Y160">
        <v>11.25</v>
      </c>
      <c r="Z160">
        <v>13.52</v>
      </c>
      <c r="AA160">
        <v>13.47</v>
      </c>
      <c r="AB160">
        <v>13.47</v>
      </c>
      <c r="AC160">
        <v>86.92</v>
      </c>
      <c r="AD160">
        <v>84.4</v>
      </c>
      <c r="AE160">
        <v>85.18</v>
      </c>
      <c r="AF160">
        <v>6</v>
      </c>
      <c r="AG160">
        <v>6.06</v>
      </c>
      <c r="AH160">
        <v>6.02</v>
      </c>
      <c r="AI160">
        <v>73.36</v>
      </c>
      <c r="AJ160">
        <v>79.25</v>
      </c>
      <c r="AK160">
        <v>76.23</v>
      </c>
      <c r="AL160">
        <v>79.239999999999995</v>
      </c>
      <c r="AM160">
        <v>48.2</v>
      </c>
      <c r="AN160">
        <v>63.72</v>
      </c>
      <c r="AO160">
        <v>2487199</v>
      </c>
    </row>
    <row r="161" spans="1:41" x14ac:dyDescent="0.35">
      <c r="A161" t="s">
        <v>160</v>
      </c>
      <c r="B161">
        <v>9.6999999999999993</v>
      </c>
      <c r="C161">
        <v>9.25</v>
      </c>
      <c r="D161">
        <v>9.25</v>
      </c>
      <c r="E161">
        <v>13.81</v>
      </c>
      <c r="F161">
        <v>14.19</v>
      </c>
      <c r="G161">
        <v>13.95</v>
      </c>
      <c r="H161">
        <v>82.51</v>
      </c>
      <c r="I161">
        <v>76.83</v>
      </c>
      <c r="J161">
        <v>78.94</v>
      </c>
      <c r="K161">
        <v>4.88</v>
      </c>
      <c r="L161">
        <v>2.72</v>
      </c>
      <c r="M161">
        <v>3.98</v>
      </c>
      <c r="N161">
        <v>72.150000000000006</v>
      </c>
      <c r="O161">
        <v>77.510000000000005</v>
      </c>
      <c r="P161">
        <v>74.77</v>
      </c>
      <c r="Q161">
        <v>80.16</v>
      </c>
      <c r="R161">
        <v>61.02</v>
      </c>
      <c r="S161">
        <v>70.59</v>
      </c>
      <c r="T161">
        <v>86757</v>
      </c>
      <c r="V161" t="str">
        <v>Kota Jakarta Utara</v>
      </c>
      <c r="W161">
        <v>11.4</v>
      </c>
      <c r="X161">
        <v>10.67</v>
      </c>
      <c r="Y161">
        <v>11.08</v>
      </c>
      <c r="Z161">
        <v>13.35</v>
      </c>
      <c r="AA161">
        <v>12.99</v>
      </c>
      <c r="AB161">
        <v>13.05</v>
      </c>
      <c r="AC161">
        <v>86.02</v>
      </c>
      <c r="AD161">
        <v>82.45</v>
      </c>
      <c r="AE161">
        <v>83.12</v>
      </c>
      <c r="AF161">
        <v>5.77</v>
      </c>
      <c r="AG161">
        <v>6.42</v>
      </c>
      <c r="AH161">
        <v>6.02</v>
      </c>
      <c r="AI161">
        <v>72.61</v>
      </c>
      <c r="AJ161">
        <v>78.16</v>
      </c>
      <c r="AK161">
        <v>75.319999999999993</v>
      </c>
      <c r="AL161">
        <v>82.39</v>
      </c>
      <c r="AM161">
        <v>52.05</v>
      </c>
      <c r="AN161">
        <v>67.22</v>
      </c>
      <c r="AO161">
        <v>1819009</v>
      </c>
    </row>
    <row r="162" spans="1:41" x14ac:dyDescent="0.35">
      <c r="A162" t="s">
        <v>161</v>
      </c>
      <c r="B162">
        <v>7.95</v>
      </c>
      <c r="C162">
        <v>7.66</v>
      </c>
      <c r="D162">
        <v>7.87</v>
      </c>
      <c r="E162">
        <v>12.93</v>
      </c>
      <c r="F162">
        <v>12.76</v>
      </c>
      <c r="G162">
        <v>12.77</v>
      </c>
      <c r="H162">
        <v>77.78</v>
      </c>
      <c r="I162">
        <v>71.58</v>
      </c>
      <c r="J162">
        <v>73.819999999999993</v>
      </c>
      <c r="K162">
        <v>4.9800000000000004</v>
      </c>
      <c r="L162">
        <v>0.79</v>
      </c>
      <c r="M162">
        <v>3.52</v>
      </c>
      <c r="N162">
        <v>71.680000000000007</v>
      </c>
      <c r="O162">
        <v>76.510000000000005</v>
      </c>
      <c r="P162">
        <v>74.040000000000006</v>
      </c>
      <c r="Q162">
        <v>83.03</v>
      </c>
      <c r="R162">
        <v>47.85</v>
      </c>
      <c r="S162">
        <v>65.44</v>
      </c>
      <c r="T162">
        <v>102949</v>
      </c>
      <c r="V162" t="str">
        <v>Bogor</v>
      </c>
      <c r="W162">
        <v>9.36</v>
      </c>
      <c r="X162">
        <v>8.2799999999999994</v>
      </c>
      <c r="Y162">
        <v>8.7200000000000006</v>
      </c>
      <c r="Z162">
        <v>12.96</v>
      </c>
      <c r="AA162">
        <v>12.68</v>
      </c>
      <c r="AB162">
        <v>12.76</v>
      </c>
      <c r="AC162">
        <v>79.02</v>
      </c>
      <c r="AD162">
        <v>71.86</v>
      </c>
      <c r="AE162">
        <v>74.53</v>
      </c>
      <c r="AF162">
        <v>7.92</v>
      </c>
      <c r="AG162">
        <v>7.21</v>
      </c>
      <c r="AH162">
        <v>7.69</v>
      </c>
      <c r="AI162">
        <v>72.540000000000006</v>
      </c>
      <c r="AJ162">
        <v>78.06</v>
      </c>
      <c r="AK162">
        <v>75.23</v>
      </c>
      <c r="AL162">
        <v>86.12</v>
      </c>
      <c r="AM162">
        <v>42.13</v>
      </c>
      <c r="AN162">
        <v>64.13</v>
      </c>
      <c r="AO162">
        <v>5721618</v>
      </c>
    </row>
    <row r="163" spans="1:41" x14ac:dyDescent="0.35">
      <c r="A163" t="s">
        <v>162</v>
      </c>
      <c r="B163">
        <v>8.09</v>
      </c>
      <c r="C163">
        <v>7.71</v>
      </c>
      <c r="D163">
        <v>7.79</v>
      </c>
      <c r="E163">
        <v>13.02</v>
      </c>
      <c r="F163">
        <v>13.33</v>
      </c>
      <c r="G163">
        <v>13.07</v>
      </c>
      <c r="H163">
        <v>77.760000000000005</v>
      </c>
      <c r="I163">
        <v>71.66</v>
      </c>
      <c r="J163">
        <v>74.069999999999993</v>
      </c>
      <c r="K163">
        <v>2.33</v>
      </c>
      <c r="L163">
        <v>2.91</v>
      </c>
      <c r="M163">
        <v>2.56</v>
      </c>
      <c r="N163">
        <v>71.69</v>
      </c>
      <c r="O163">
        <v>76.53</v>
      </c>
      <c r="P163">
        <v>74.05</v>
      </c>
      <c r="Q163">
        <v>79.900000000000006</v>
      </c>
      <c r="R163">
        <v>55.41</v>
      </c>
      <c r="S163">
        <v>67.66</v>
      </c>
      <c r="T163">
        <v>50362</v>
      </c>
      <c r="V163" t="str">
        <v>Sukabumi</v>
      </c>
      <c r="W163">
        <v>8.19</v>
      </c>
      <c r="X163">
        <v>7.36</v>
      </c>
      <c r="Y163">
        <v>7.63</v>
      </c>
      <c r="Z163">
        <v>12.67</v>
      </c>
      <c r="AA163">
        <v>12.36</v>
      </c>
      <c r="AB163">
        <v>12.4</v>
      </c>
      <c r="AC163">
        <v>75.819999999999993</v>
      </c>
      <c r="AD163">
        <v>67.849999999999994</v>
      </c>
      <c r="AE163">
        <v>71.13</v>
      </c>
      <c r="AF163">
        <v>6.43</v>
      </c>
      <c r="AG163">
        <v>8.59</v>
      </c>
      <c r="AH163">
        <v>7.23</v>
      </c>
      <c r="AI163">
        <v>72.45</v>
      </c>
      <c r="AJ163">
        <v>77.930000000000007</v>
      </c>
      <c r="AK163">
        <v>75.12</v>
      </c>
      <c r="AL163">
        <v>87.29</v>
      </c>
      <c r="AM163">
        <v>51.81</v>
      </c>
      <c r="AN163">
        <v>69.55</v>
      </c>
      <c r="AO163">
        <v>2852107</v>
      </c>
    </row>
    <row r="164" spans="1:41" x14ac:dyDescent="0.35">
      <c r="A164" t="s">
        <v>163</v>
      </c>
      <c r="B164">
        <v>11.52</v>
      </c>
      <c r="C164">
        <v>11.21</v>
      </c>
      <c r="D164">
        <v>11.34</v>
      </c>
      <c r="E164">
        <v>13.3</v>
      </c>
      <c r="F164">
        <v>13.71</v>
      </c>
      <c r="G164">
        <v>13.57</v>
      </c>
      <c r="H164">
        <v>86.22</v>
      </c>
      <c r="I164">
        <v>83.6</v>
      </c>
      <c r="J164">
        <v>83.8</v>
      </c>
      <c r="K164">
        <v>6.79</v>
      </c>
      <c r="L164">
        <v>8.86</v>
      </c>
      <c r="M164">
        <v>7.57</v>
      </c>
      <c r="N164">
        <v>72.790000000000006</v>
      </c>
      <c r="O164">
        <v>78.430000000000007</v>
      </c>
      <c r="P164">
        <v>75.540000000000006</v>
      </c>
      <c r="Q164">
        <v>85.35</v>
      </c>
      <c r="R164">
        <v>51.93</v>
      </c>
      <c r="S164">
        <v>68.64</v>
      </c>
      <c r="T164">
        <v>1296962</v>
      </c>
      <c r="V164" t="str">
        <v>Cianjur</v>
      </c>
      <c r="W164">
        <v>7.85</v>
      </c>
      <c r="X164">
        <v>7.19</v>
      </c>
      <c r="Y164">
        <v>7.62</v>
      </c>
      <c r="Z164">
        <v>12.6</v>
      </c>
      <c r="AA164">
        <v>12.22</v>
      </c>
      <c r="AB164">
        <v>12.31</v>
      </c>
      <c r="AC164">
        <v>73.959999999999994</v>
      </c>
      <c r="AD164">
        <v>63.96</v>
      </c>
      <c r="AE164">
        <v>69.84</v>
      </c>
      <c r="AF164">
        <v>6.52</v>
      </c>
      <c r="AG164">
        <v>5.56</v>
      </c>
      <c r="AH164">
        <v>6.17</v>
      </c>
      <c r="AI164">
        <v>72.39</v>
      </c>
      <c r="AJ164">
        <v>77.84</v>
      </c>
      <c r="AK164">
        <v>75.05</v>
      </c>
      <c r="AL164">
        <v>86.16</v>
      </c>
      <c r="AM164">
        <v>50.8</v>
      </c>
      <c r="AN164">
        <v>68.48</v>
      </c>
      <c r="AO164">
        <v>2610316</v>
      </c>
    </row>
    <row r="165" spans="1:41" x14ac:dyDescent="0.35">
      <c r="A165" t="s">
        <v>164</v>
      </c>
      <c r="B165">
        <v>10.98</v>
      </c>
      <c r="C165">
        <v>10.78</v>
      </c>
      <c r="D165">
        <v>10.8</v>
      </c>
      <c r="E165">
        <v>14.19</v>
      </c>
      <c r="F165">
        <v>14.64</v>
      </c>
      <c r="G165">
        <v>14.19</v>
      </c>
      <c r="H165">
        <v>83.98</v>
      </c>
      <c r="I165">
        <v>82.02</v>
      </c>
      <c r="J165">
        <v>82.02</v>
      </c>
      <c r="K165">
        <v>5.7</v>
      </c>
      <c r="L165">
        <v>3.25</v>
      </c>
      <c r="M165">
        <v>4.72</v>
      </c>
      <c r="N165">
        <v>72.569999999999993</v>
      </c>
      <c r="O165">
        <v>78.099999999999994</v>
      </c>
      <c r="P165">
        <v>75.27</v>
      </c>
      <c r="Q165">
        <v>80.67</v>
      </c>
      <c r="R165">
        <v>54.26</v>
      </c>
      <c r="S165">
        <v>67.47</v>
      </c>
      <c r="T165">
        <v>239962</v>
      </c>
      <c r="V165" t="str">
        <v>Bandung</v>
      </c>
      <c r="W165">
        <v>9.66</v>
      </c>
      <c r="X165">
        <v>9.16</v>
      </c>
      <c r="Y165">
        <v>9.4</v>
      </c>
      <c r="Z165">
        <v>12.59</v>
      </c>
      <c r="AA165">
        <v>13.13</v>
      </c>
      <c r="AB165">
        <v>12.99</v>
      </c>
      <c r="AC165">
        <v>78.14</v>
      </c>
      <c r="AD165">
        <v>74.44</v>
      </c>
      <c r="AE165">
        <v>75.58</v>
      </c>
      <c r="AF165">
        <v>6.72</v>
      </c>
      <c r="AG165">
        <v>6.6</v>
      </c>
      <c r="AH165">
        <v>6.68</v>
      </c>
      <c r="AI165">
        <v>72.92</v>
      </c>
      <c r="AJ165">
        <v>78.61</v>
      </c>
      <c r="AK165">
        <v>75.7</v>
      </c>
      <c r="AL165">
        <v>83.07</v>
      </c>
      <c r="AM165">
        <v>50.44</v>
      </c>
      <c r="AN165">
        <v>66.760000000000005</v>
      </c>
      <c r="AO165">
        <v>3783213</v>
      </c>
    </row>
    <row r="166" spans="1:41" x14ac:dyDescent="0.35">
      <c r="A166" t="s">
        <v>172</v>
      </c>
      <c r="B166">
        <v>11.88</v>
      </c>
      <c r="C166">
        <v>11.31</v>
      </c>
      <c r="D166">
        <v>11.59</v>
      </c>
      <c r="E166">
        <v>13.65</v>
      </c>
      <c r="F166">
        <v>13.91</v>
      </c>
      <c r="G166">
        <v>13.8</v>
      </c>
      <c r="H166">
        <v>86.84</v>
      </c>
      <c r="I166">
        <v>84.17</v>
      </c>
      <c r="J166">
        <v>85.05</v>
      </c>
      <c r="K166">
        <v>6.21</v>
      </c>
      <c r="L166">
        <v>5.79</v>
      </c>
      <c r="M166">
        <v>6.05</v>
      </c>
      <c r="N166">
        <v>73.39</v>
      </c>
      <c r="O166">
        <v>79.290000000000006</v>
      </c>
      <c r="P166">
        <v>76.27</v>
      </c>
      <c r="Q166">
        <v>79.66</v>
      </c>
      <c r="R166">
        <v>49.94</v>
      </c>
      <c r="S166">
        <v>64.8</v>
      </c>
      <c r="T166">
        <v>10677975</v>
      </c>
      <c r="V166" t="str">
        <v>Garut</v>
      </c>
      <c r="W166">
        <v>8.1999999999999993</v>
      </c>
      <c r="X166">
        <v>7.51</v>
      </c>
      <c r="Y166">
        <v>7.86</v>
      </c>
      <c r="Z166">
        <v>12.63</v>
      </c>
      <c r="AA166">
        <v>12.41</v>
      </c>
      <c r="AB166">
        <v>12.43</v>
      </c>
      <c r="AC166">
        <v>74.75</v>
      </c>
      <c r="AD166">
        <v>63.25</v>
      </c>
      <c r="AE166">
        <v>70.67</v>
      </c>
      <c r="AF166">
        <v>6.03</v>
      </c>
      <c r="AG166">
        <v>7.43</v>
      </c>
      <c r="AH166">
        <v>6.54</v>
      </c>
      <c r="AI166">
        <v>72.459999999999994</v>
      </c>
      <c r="AJ166">
        <v>77.95</v>
      </c>
      <c r="AK166">
        <v>75.14</v>
      </c>
      <c r="AL166">
        <v>84.78</v>
      </c>
      <c r="AM166">
        <v>51.07</v>
      </c>
      <c r="AN166">
        <v>67.930000000000007</v>
      </c>
      <c r="AO166">
        <v>2748699</v>
      </c>
    </row>
    <row r="167" spans="1:41" x14ac:dyDescent="0.35">
      <c r="A167" t="s">
        <v>166</v>
      </c>
      <c r="B167">
        <v>9.58</v>
      </c>
      <c r="C167">
        <v>9.08</v>
      </c>
      <c r="D167">
        <v>9.27</v>
      </c>
      <c r="E167">
        <v>13.52</v>
      </c>
      <c r="F167">
        <v>12.76</v>
      </c>
      <c r="G167">
        <v>12.97</v>
      </c>
      <c r="H167">
        <v>81.11</v>
      </c>
      <c r="I167">
        <v>76.94</v>
      </c>
      <c r="J167">
        <v>77.52</v>
      </c>
      <c r="K167">
        <v>6.9</v>
      </c>
      <c r="L167">
        <v>8.82</v>
      </c>
      <c r="M167">
        <v>7.71</v>
      </c>
      <c r="N167">
        <v>72.55</v>
      </c>
      <c r="O167">
        <v>78.069999999999993</v>
      </c>
      <c r="P167">
        <v>75.239999999999995</v>
      </c>
      <c r="Q167">
        <v>84.25</v>
      </c>
      <c r="R167">
        <v>59.94</v>
      </c>
      <c r="S167">
        <v>72.099999999999994</v>
      </c>
      <c r="T167">
        <v>29088</v>
      </c>
      <c r="V167" t="str">
        <v>Tasikmalaya</v>
      </c>
      <c r="W167">
        <v>8.1199999999999992</v>
      </c>
      <c r="X167">
        <v>7.85</v>
      </c>
      <c r="Y167">
        <v>7.98</v>
      </c>
      <c r="Z167">
        <v>13.02</v>
      </c>
      <c r="AA167">
        <v>12.92</v>
      </c>
      <c r="AB167">
        <v>12.92</v>
      </c>
      <c r="AC167">
        <v>75.14</v>
      </c>
      <c r="AD167">
        <v>66.05</v>
      </c>
      <c r="AE167">
        <v>70.760000000000005</v>
      </c>
      <c r="AF167">
        <v>3.29</v>
      </c>
      <c r="AG167">
        <v>4.29</v>
      </c>
      <c r="AH167">
        <v>3.69</v>
      </c>
      <c r="AI167">
        <v>71.900000000000006</v>
      </c>
      <c r="AJ167">
        <v>76.97</v>
      </c>
      <c r="AK167">
        <v>74.37</v>
      </c>
      <c r="AL167">
        <v>83.08</v>
      </c>
      <c r="AM167">
        <v>55.13</v>
      </c>
      <c r="AN167">
        <v>69.11</v>
      </c>
      <c r="AO167">
        <v>1933814</v>
      </c>
    </row>
    <row r="168" spans="1:41" x14ac:dyDescent="0.35">
      <c r="A168" t="s">
        <v>167</v>
      </c>
      <c r="B168">
        <v>12.39</v>
      </c>
      <c r="C168">
        <v>11.83</v>
      </c>
      <c r="D168">
        <v>12.06</v>
      </c>
      <c r="E168">
        <v>14.32</v>
      </c>
      <c r="F168">
        <v>14.2</v>
      </c>
      <c r="G168">
        <v>14.28</v>
      </c>
      <c r="H168">
        <v>88.79</v>
      </c>
      <c r="I168">
        <v>88.13</v>
      </c>
      <c r="J168">
        <v>88.51</v>
      </c>
      <c r="K168">
        <v>6.66</v>
      </c>
      <c r="L168">
        <v>2.65</v>
      </c>
      <c r="M168">
        <v>5.09</v>
      </c>
      <c r="N168">
        <v>73.62</v>
      </c>
      <c r="O168">
        <v>79.62</v>
      </c>
      <c r="P168">
        <v>76.55</v>
      </c>
      <c r="Q168">
        <v>78.91</v>
      </c>
      <c r="R168">
        <v>50.38</v>
      </c>
      <c r="S168">
        <v>64.650000000000006</v>
      </c>
      <c r="T168">
        <v>2219225</v>
      </c>
      <c r="V168" t="str">
        <v>Ciamis</v>
      </c>
      <c r="W168">
        <v>8.33</v>
      </c>
      <c r="X168">
        <v>8.17</v>
      </c>
      <c r="Y168">
        <v>8.23</v>
      </c>
      <c r="Z168">
        <v>14.7</v>
      </c>
      <c r="AA168">
        <v>14.31</v>
      </c>
      <c r="AB168">
        <v>14.31</v>
      </c>
      <c r="AC168">
        <v>78.98</v>
      </c>
      <c r="AD168">
        <v>70.38</v>
      </c>
      <c r="AE168">
        <v>74.33</v>
      </c>
      <c r="AF168">
        <v>3.84</v>
      </c>
      <c r="AG168">
        <v>4.47</v>
      </c>
      <c r="AH168">
        <v>4.08</v>
      </c>
      <c r="AI168">
        <v>72.91</v>
      </c>
      <c r="AJ168">
        <v>78.599999999999994</v>
      </c>
      <c r="AK168">
        <v>75.69</v>
      </c>
      <c r="AL168">
        <v>83.31</v>
      </c>
      <c r="AM168">
        <v>49.24</v>
      </c>
      <c r="AN168">
        <v>66.28</v>
      </c>
      <c r="AO168">
        <v>1266331</v>
      </c>
    </row>
    <row r="169" spans="1:41" x14ac:dyDescent="0.35">
      <c r="A169" t="s">
        <v>168</v>
      </c>
      <c r="B169">
        <v>12.32</v>
      </c>
      <c r="C169">
        <v>11.85</v>
      </c>
      <c r="D169">
        <v>12.01</v>
      </c>
      <c r="E169">
        <v>13.98</v>
      </c>
      <c r="F169">
        <v>14.47</v>
      </c>
      <c r="G169">
        <v>14.32</v>
      </c>
      <c r="H169">
        <v>88.01</v>
      </c>
      <c r="I169">
        <v>85.47</v>
      </c>
      <c r="J169">
        <v>85.51</v>
      </c>
      <c r="K169">
        <v>6.27</v>
      </c>
      <c r="L169">
        <v>7.56</v>
      </c>
      <c r="M169">
        <v>6.78</v>
      </c>
      <c r="N169">
        <v>74.12</v>
      </c>
      <c r="O169">
        <v>78.88</v>
      </c>
      <c r="P169">
        <v>75.930000000000007</v>
      </c>
      <c r="Q169">
        <v>78.91</v>
      </c>
      <c r="R169">
        <v>49.48</v>
      </c>
      <c r="S169">
        <v>64.2</v>
      </c>
      <c r="T169">
        <v>3085058</v>
      </c>
      <c r="V169" t="str">
        <v>Kuningan</v>
      </c>
      <c r="W169">
        <v>8.18</v>
      </c>
      <c r="X169">
        <v>7.65</v>
      </c>
      <c r="Y169">
        <v>7.91</v>
      </c>
      <c r="Z169">
        <v>13.08</v>
      </c>
      <c r="AA169">
        <v>12.52</v>
      </c>
      <c r="AB169">
        <v>12.52</v>
      </c>
      <c r="AC169">
        <v>77.25</v>
      </c>
      <c r="AD169">
        <v>68.52</v>
      </c>
      <c r="AE169">
        <v>72.31</v>
      </c>
      <c r="AF169">
        <v>8.0299999999999994</v>
      </c>
      <c r="AG169">
        <v>6.84</v>
      </c>
      <c r="AH169">
        <v>7.59</v>
      </c>
      <c r="AI169">
        <v>73.650000000000006</v>
      </c>
      <c r="AJ169">
        <v>78.44</v>
      </c>
      <c r="AK169">
        <v>75.64</v>
      </c>
      <c r="AL169">
        <v>86.65</v>
      </c>
      <c r="AM169">
        <v>51.73</v>
      </c>
      <c r="AN169">
        <v>69.19</v>
      </c>
      <c r="AO169">
        <v>1225493</v>
      </c>
    </row>
    <row r="170" spans="1:41" x14ac:dyDescent="0.35">
      <c r="A170" t="s">
        <v>169</v>
      </c>
      <c r="B170">
        <v>11.88</v>
      </c>
      <c r="C170">
        <v>11.41</v>
      </c>
      <c r="D170">
        <v>11.62</v>
      </c>
      <c r="E170">
        <v>13.53</v>
      </c>
      <c r="F170">
        <v>13.5</v>
      </c>
      <c r="G170">
        <v>13.5</v>
      </c>
      <c r="H170">
        <v>85.75</v>
      </c>
      <c r="I170">
        <v>84.12</v>
      </c>
      <c r="J170">
        <v>84.45</v>
      </c>
      <c r="K170">
        <v>6.39</v>
      </c>
      <c r="L170">
        <v>5.61</v>
      </c>
      <c r="M170">
        <v>6.09</v>
      </c>
      <c r="N170">
        <v>73.92</v>
      </c>
      <c r="O170">
        <v>80.05</v>
      </c>
      <c r="P170">
        <v>76.91</v>
      </c>
      <c r="Q170">
        <v>79.650000000000006</v>
      </c>
      <c r="R170">
        <v>50.65</v>
      </c>
      <c r="S170">
        <v>65.150000000000006</v>
      </c>
      <c r="T170">
        <v>1038396</v>
      </c>
      <c r="V170" t="str">
        <v>Cirebon</v>
      </c>
      <c r="W170">
        <v>8.34</v>
      </c>
      <c r="X170">
        <v>7.41</v>
      </c>
      <c r="Y170">
        <v>7.88</v>
      </c>
      <c r="Z170">
        <v>12.43</v>
      </c>
      <c r="AA170">
        <v>13.02</v>
      </c>
      <c r="AB170">
        <v>12.67</v>
      </c>
      <c r="AC170">
        <v>77.37</v>
      </c>
      <c r="AD170">
        <v>66.47</v>
      </c>
      <c r="AE170">
        <v>73.27</v>
      </c>
      <c r="AF170">
        <v>7.6</v>
      </c>
      <c r="AG170">
        <v>4.5999999999999996</v>
      </c>
      <c r="AH170">
        <v>6.42</v>
      </c>
      <c r="AI170">
        <v>72.67</v>
      </c>
      <c r="AJ170">
        <v>78.239999999999995</v>
      </c>
      <c r="AK170">
        <v>75.39</v>
      </c>
      <c r="AL170">
        <v>83.44</v>
      </c>
      <c r="AM170">
        <v>54.9</v>
      </c>
      <c r="AN170">
        <v>69.17</v>
      </c>
      <c r="AO170">
        <v>2413814</v>
      </c>
    </row>
    <row r="171" spans="1:41" x14ac:dyDescent="0.35">
      <c r="A171" t="s">
        <v>170</v>
      </c>
      <c r="B171">
        <v>11.66</v>
      </c>
      <c r="C171">
        <v>10.84</v>
      </c>
      <c r="D171">
        <v>11.25</v>
      </c>
      <c r="E171">
        <v>13.52</v>
      </c>
      <c r="F171">
        <v>13.47</v>
      </c>
      <c r="G171">
        <v>13.47</v>
      </c>
      <c r="H171">
        <v>86.92</v>
      </c>
      <c r="I171">
        <v>84.4</v>
      </c>
      <c r="J171">
        <v>85.18</v>
      </c>
      <c r="K171">
        <v>6</v>
      </c>
      <c r="L171">
        <v>6.06</v>
      </c>
      <c r="M171">
        <v>6.02</v>
      </c>
      <c r="N171">
        <v>73.36</v>
      </c>
      <c r="O171">
        <v>79.25</v>
      </c>
      <c r="P171">
        <v>76.23</v>
      </c>
      <c r="Q171">
        <v>79.239999999999995</v>
      </c>
      <c r="R171">
        <v>48.2</v>
      </c>
      <c r="S171">
        <v>63.72</v>
      </c>
      <c r="T171">
        <v>2487199</v>
      </c>
      <c r="V171" t="str">
        <v>Majalengka</v>
      </c>
      <c r="W171">
        <v>8.1199999999999992</v>
      </c>
      <c r="X171">
        <v>7.51</v>
      </c>
      <c r="Y171">
        <v>7.81</v>
      </c>
      <c r="Z171">
        <v>12.5</v>
      </c>
      <c r="AA171">
        <v>12.5</v>
      </c>
      <c r="AB171">
        <v>12.5</v>
      </c>
      <c r="AC171">
        <v>76.209999999999994</v>
      </c>
      <c r="AD171">
        <v>67.459999999999994</v>
      </c>
      <c r="AE171">
        <v>72.37</v>
      </c>
      <c r="AF171">
        <v>3.96</v>
      </c>
      <c r="AG171">
        <v>3.13</v>
      </c>
      <c r="AH171">
        <v>3.62</v>
      </c>
      <c r="AI171">
        <v>72.61</v>
      </c>
      <c r="AJ171">
        <v>78.16</v>
      </c>
      <c r="AK171">
        <v>75.319999999999993</v>
      </c>
      <c r="AL171">
        <v>85.96</v>
      </c>
      <c r="AM171">
        <v>59.23</v>
      </c>
      <c r="AN171">
        <v>72.599999999999994</v>
      </c>
      <c r="AO171">
        <v>1363755</v>
      </c>
    </row>
    <row r="172" spans="1:41" x14ac:dyDescent="0.35">
      <c r="A172" t="s">
        <v>171</v>
      </c>
      <c r="B172">
        <v>11.4</v>
      </c>
      <c r="C172">
        <v>10.67</v>
      </c>
      <c r="D172">
        <v>11.08</v>
      </c>
      <c r="E172">
        <v>13.35</v>
      </c>
      <c r="F172">
        <v>12.99</v>
      </c>
      <c r="G172">
        <v>13.05</v>
      </c>
      <c r="H172">
        <v>86.02</v>
      </c>
      <c r="I172">
        <v>82.45</v>
      </c>
      <c r="J172">
        <v>83.12</v>
      </c>
      <c r="K172">
        <v>5.77</v>
      </c>
      <c r="L172">
        <v>6.42</v>
      </c>
      <c r="M172">
        <v>6.02</v>
      </c>
      <c r="N172">
        <v>72.61</v>
      </c>
      <c r="O172">
        <v>78.16</v>
      </c>
      <c r="P172">
        <v>75.319999999999993</v>
      </c>
      <c r="Q172">
        <v>82.39</v>
      </c>
      <c r="R172">
        <v>52.05</v>
      </c>
      <c r="S172">
        <v>67.22</v>
      </c>
      <c r="T172">
        <v>1819009</v>
      </c>
      <c r="V172" t="str">
        <v>Sumedang</v>
      </c>
      <c r="W172">
        <v>9.08</v>
      </c>
      <c r="X172">
        <v>8.76</v>
      </c>
      <c r="Y172">
        <v>8.92</v>
      </c>
      <c r="Z172">
        <v>13.21</v>
      </c>
      <c r="AA172">
        <v>13.69</v>
      </c>
      <c r="AB172">
        <v>13.21</v>
      </c>
      <c r="AC172">
        <v>78.47</v>
      </c>
      <c r="AD172">
        <v>75.48</v>
      </c>
      <c r="AE172">
        <v>75.5</v>
      </c>
      <c r="AF172">
        <v>6.43</v>
      </c>
      <c r="AG172">
        <v>5.42</v>
      </c>
      <c r="AH172">
        <v>6.08</v>
      </c>
      <c r="AI172">
        <v>72.92</v>
      </c>
      <c r="AJ172">
        <v>78.62</v>
      </c>
      <c r="AK172">
        <v>75.7</v>
      </c>
      <c r="AL172">
        <v>84.93</v>
      </c>
      <c r="AM172">
        <v>45.72</v>
      </c>
      <c r="AN172">
        <v>65.33</v>
      </c>
      <c r="AO172">
        <v>1195531</v>
      </c>
    </row>
    <row r="173" spans="1:41" x14ac:dyDescent="0.35">
      <c r="A173" t="s">
        <v>200</v>
      </c>
      <c r="B173">
        <v>9.4600000000000009</v>
      </c>
      <c r="C173">
        <v>8.81</v>
      </c>
      <c r="D173">
        <v>9.14</v>
      </c>
      <c r="E173">
        <v>12.9</v>
      </c>
      <c r="F173">
        <v>13.16</v>
      </c>
      <c r="G173">
        <v>13.02</v>
      </c>
      <c r="H173">
        <v>79.33</v>
      </c>
      <c r="I173">
        <v>72.400000000000006</v>
      </c>
      <c r="J173">
        <v>75.900000000000006</v>
      </c>
      <c r="K173">
        <v>6.92</v>
      </c>
      <c r="L173">
        <v>6.51</v>
      </c>
      <c r="M173">
        <v>6.77</v>
      </c>
      <c r="N173">
        <v>72.78</v>
      </c>
      <c r="O173">
        <v>78.42</v>
      </c>
      <c r="P173">
        <v>75.53</v>
      </c>
      <c r="Q173">
        <v>84.41</v>
      </c>
      <c r="R173">
        <v>49.27</v>
      </c>
      <c r="S173">
        <v>66.84</v>
      </c>
      <c r="T173">
        <v>50759003</v>
      </c>
      <c r="V173" t="str">
        <v>Indramayu</v>
      </c>
      <c r="W173">
        <v>7.52</v>
      </c>
      <c r="X173">
        <v>6.58</v>
      </c>
      <c r="Y173">
        <v>7.06</v>
      </c>
      <c r="Z173">
        <v>12.3</v>
      </c>
      <c r="AA173">
        <v>12.61</v>
      </c>
      <c r="AB173">
        <v>12.58</v>
      </c>
      <c r="AC173">
        <v>75.400000000000006</v>
      </c>
      <c r="AD173">
        <v>67.97</v>
      </c>
      <c r="AE173">
        <v>71.58</v>
      </c>
      <c r="AF173">
        <v>6.28</v>
      </c>
      <c r="AG173">
        <v>6.84</v>
      </c>
      <c r="AH173">
        <v>6.47</v>
      </c>
      <c r="AI173">
        <v>72.48</v>
      </c>
      <c r="AJ173">
        <v>77.98</v>
      </c>
      <c r="AK173">
        <v>75.16</v>
      </c>
      <c r="AL173">
        <v>85.09</v>
      </c>
      <c r="AM173">
        <v>45.14</v>
      </c>
      <c r="AN173">
        <v>65.12</v>
      </c>
      <c r="AO173">
        <v>1932522</v>
      </c>
    </row>
    <row r="174" spans="1:41" x14ac:dyDescent="0.35">
      <c r="A174" t="s">
        <v>173</v>
      </c>
      <c r="B174">
        <v>9.36</v>
      </c>
      <c r="C174">
        <v>8.2799999999999994</v>
      </c>
      <c r="D174">
        <v>8.7200000000000006</v>
      </c>
      <c r="E174">
        <v>12.96</v>
      </c>
      <c r="F174">
        <v>12.68</v>
      </c>
      <c r="G174">
        <v>12.76</v>
      </c>
      <c r="H174">
        <v>79.02</v>
      </c>
      <c r="I174">
        <v>71.86</v>
      </c>
      <c r="J174">
        <v>74.53</v>
      </c>
      <c r="K174">
        <v>7.92</v>
      </c>
      <c r="L174">
        <v>7.21</v>
      </c>
      <c r="M174">
        <v>7.69</v>
      </c>
      <c r="N174">
        <v>72.540000000000006</v>
      </c>
      <c r="O174">
        <v>78.06</v>
      </c>
      <c r="P174">
        <v>75.23</v>
      </c>
      <c r="Q174">
        <v>86.12</v>
      </c>
      <c r="R174">
        <v>42.13</v>
      </c>
      <c r="S174">
        <v>64.13</v>
      </c>
      <c r="T174">
        <v>5721618</v>
      </c>
      <c r="V174" t="str">
        <v>Subang</v>
      </c>
      <c r="W174">
        <v>8.1300000000000008</v>
      </c>
      <c r="X174">
        <v>7.3</v>
      </c>
      <c r="Y174">
        <v>7.68</v>
      </c>
      <c r="Z174">
        <v>12.37</v>
      </c>
      <c r="AA174">
        <v>12.48</v>
      </c>
      <c r="AB174">
        <v>12.38</v>
      </c>
      <c r="AC174">
        <v>76.459999999999994</v>
      </c>
      <c r="AD174">
        <v>70.45</v>
      </c>
      <c r="AE174">
        <v>73</v>
      </c>
      <c r="AF174">
        <v>8</v>
      </c>
      <c r="AG174">
        <v>4.87</v>
      </c>
      <c r="AH174">
        <v>6.8</v>
      </c>
      <c r="AI174">
        <v>72.680000000000007</v>
      </c>
      <c r="AJ174">
        <v>78.27</v>
      </c>
      <c r="AK174">
        <v>75.41</v>
      </c>
      <c r="AL174">
        <v>85.59</v>
      </c>
      <c r="AM174">
        <v>52.44</v>
      </c>
      <c r="AN174">
        <v>69.02</v>
      </c>
      <c r="AO174">
        <v>1675519</v>
      </c>
    </row>
    <row r="175" spans="1:41" x14ac:dyDescent="0.35">
      <c r="A175" t="s">
        <v>174</v>
      </c>
      <c r="B175">
        <v>8.19</v>
      </c>
      <c r="C175">
        <v>7.36</v>
      </c>
      <c r="D175">
        <v>7.63</v>
      </c>
      <c r="E175">
        <v>12.67</v>
      </c>
      <c r="F175">
        <v>12.36</v>
      </c>
      <c r="G175">
        <v>12.4</v>
      </c>
      <c r="H175">
        <v>75.819999999999993</v>
      </c>
      <c r="I175">
        <v>67.849999999999994</v>
      </c>
      <c r="J175">
        <v>71.13</v>
      </c>
      <c r="K175">
        <v>6.43</v>
      </c>
      <c r="L175">
        <v>8.59</v>
      </c>
      <c r="M175">
        <v>7.23</v>
      </c>
      <c r="N175">
        <v>72.45</v>
      </c>
      <c r="O175">
        <v>77.930000000000007</v>
      </c>
      <c r="P175">
        <v>75.12</v>
      </c>
      <c r="Q175">
        <v>87.29</v>
      </c>
      <c r="R175">
        <v>51.81</v>
      </c>
      <c r="S175">
        <v>69.55</v>
      </c>
      <c r="T175">
        <v>2852107</v>
      </c>
      <c r="V175" t="str">
        <v>Purwakarta</v>
      </c>
      <c r="W175">
        <v>8.82</v>
      </c>
      <c r="X175">
        <v>7.96</v>
      </c>
      <c r="Y175">
        <v>8.3699999999999992</v>
      </c>
      <c r="Z175">
        <v>12.5</v>
      </c>
      <c r="AA175">
        <v>12.56</v>
      </c>
      <c r="AB175">
        <v>12.51</v>
      </c>
      <c r="AC175">
        <v>79.27</v>
      </c>
      <c r="AD175">
        <v>70.16</v>
      </c>
      <c r="AE175">
        <v>74.97</v>
      </c>
      <c r="AF175">
        <v>8.1199999999999992</v>
      </c>
      <c r="AG175">
        <v>6.48</v>
      </c>
      <c r="AH175">
        <v>7.54</v>
      </c>
      <c r="AI175">
        <v>72.58</v>
      </c>
      <c r="AJ175">
        <v>78.12</v>
      </c>
      <c r="AK175">
        <v>75.28</v>
      </c>
      <c r="AL175">
        <v>84.84</v>
      </c>
      <c r="AM175">
        <v>47.28</v>
      </c>
      <c r="AN175">
        <v>66.06</v>
      </c>
      <c r="AO175">
        <v>1062965</v>
      </c>
    </row>
    <row r="176" spans="1:41" x14ac:dyDescent="0.35">
      <c r="A176" t="s">
        <v>175</v>
      </c>
      <c r="B176">
        <v>7.85</v>
      </c>
      <c r="C176">
        <v>7.19</v>
      </c>
      <c r="D176">
        <v>7.62</v>
      </c>
      <c r="E176">
        <v>12.6</v>
      </c>
      <c r="F176">
        <v>12.22</v>
      </c>
      <c r="G176">
        <v>12.31</v>
      </c>
      <c r="H176">
        <v>73.959999999999994</v>
      </c>
      <c r="I176">
        <v>63.96</v>
      </c>
      <c r="J176">
        <v>69.84</v>
      </c>
      <c r="K176">
        <v>6.52</v>
      </c>
      <c r="L176">
        <v>5.56</v>
      </c>
      <c r="M176">
        <v>6.17</v>
      </c>
      <c r="N176">
        <v>72.39</v>
      </c>
      <c r="O176">
        <v>77.84</v>
      </c>
      <c r="P176">
        <v>75.05</v>
      </c>
      <c r="Q176">
        <v>86.16</v>
      </c>
      <c r="R176">
        <v>50.8</v>
      </c>
      <c r="S176">
        <v>68.48</v>
      </c>
      <c r="T176">
        <v>2610316</v>
      </c>
      <c r="V176" t="str">
        <v>Karawang</v>
      </c>
      <c r="W176">
        <v>8.7200000000000006</v>
      </c>
      <c r="X176">
        <v>7.81</v>
      </c>
      <c r="Y176">
        <v>8.31</v>
      </c>
      <c r="Z176">
        <v>12.36</v>
      </c>
      <c r="AA176">
        <v>12.22</v>
      </c>
      <c r="AB176">
        <v>12.22</v>
      </c>
      <c r="AC176">
        <v>77.94</v>
      </c>
      <c r="AD176">
        <v>71.98</v>
      </c>
      <c r="AE176">
        <v>74.59</v>
      </c>
      <c r="AF176">
        <v>7.19</v>
      </c>
      <c r="AG176">
        <v>9.56</v>
      </c>
      <c r="AH176">
        <v>7.99</v>
      </c>
      <c r="AI176">
        <v>72.819999999999993</v>
      </c>
      <c r="AJ176">
        <v>78.47</v>
      </c>
      <c r="AK176">
        <v>75.569999999999993</v>
      </c>
      <c r="AL176">
        <v>86.05</v>
      </c>
      <c r="AM176">
        <v>43.99</v>
      </c>
      <c r="AN176">
        <v>65.02</v>
      </c>
      <c r="AO176">
        <v>2581245</v>
      </c>
    </row>
    <row r="177" spans="1:41" x14ac:dyDescent="0.35">
      <c r="A177" t="s">
        <v>176</v>
      </c>
      <c r="B177">
        <v>9.66</v>
      </c>
      <c r="C177">
        <v>9.16</v>
      </c>
      <c r="D177">
        <v>9.4</v>
      </c>
      <c r="E177">
        <v>12.59</v>
      </c>
      <c r="F177">
        <v>13.13</v>
      </c>
      <c r="G177">
        <v>12.99</v>
      </c>
      <c r="H177">
        <v>78.14</v>
      </c>
      <c r="I177">
        <v>74.44</v>
      </c>
      <c r="J177">
        <v>75.58</v>
      </c>
      <c r="K177">
        <v>6.72</v>
      </c>
      <c r="L177">
        <v>6.6</v>
      </c>
      <c r="M177">
        <v>6.68</v>
      </c>
      <c r="N177">
        <v>72.92</v>
      </c>
      <c r="O177">
        <v>78.61</v>
      </c>
      <c r="P177">
        <v>75.7</v>
      </c>
      <c r="Q177">
        <v>83.07</v>
      </c>
      <c r="R177">
        <v>50.44</v>
      </c>
      <c r="S177">
        <v>66.760000000000005</v>
      </c>
      <c r="T177">
        <v>3783213</v>
      </c>
      <c r="V177" t="str">
        <v>Bekasi</v>
      </c>
      <c r="W177">
        <v>10.35</v>
      </c>
      <c r="X177">
        <v>9.6</v>
      </c>
      <c r="Y177">
        <v>10.07</v>
      </c>
      <c r="Z177">
        <v>13.14</v>
      </c>
      <c r="AA177">
        <v>13.43</v>
      </c>
      <c r="AB177">
        <v>13.22</v>
      </c>
      <c r="AC177">
        <v>82.08</v>
      </c>
      <c r="AD177">
        <v>74.209999999999994</v>
      </c>
      <c r="AE177">
        <v>77.8</v>
      </c>
      <c r="AF177">
        <v>7.84</v>
      </c>
      <c r="AG177">
        <v>10.67</v>
      </c>
      <c r="AH177">
        <v>8.7799999999999994</v>
      </c>
      <c r="AI177">
        <v>73.8</v>
      </c>
      <c r="AJ177">
        <v>78.63</v>
      </c>
      <c r="AK177">
        <v>75.709999999999994</v>
      </c>
      <c r="AL177">
        <v>85.4</v>
      </c>
      <c r="AM177">
        <v>42.93</v>
      </c>
      <c r="AN177">
        <v>64.17</v>
      </c>
      <c r="AO177">
        <v>3303023</v>
      </c>
    </row>
    <row r="178" spans="1:41" x14ac:dyDescent="0.35">
      <c r="A178" t="s">
        <v>177</v>
      </c>
      <c r="B178">
        <v>8.1999999999999993</v>
      </c>
      <c r="C178">
        <v>7.51</v>
      </c>
      <c r="D178">
        <v>7.86</v>
      </c>
      <c r="E178">
        <v>12.63</v>
      </c>
      <c r="F178">
        <v>12.41</v>
      </c>
      <c r="G178">
        <v>12.43</v>
      </c>
      <c r="H178">
        <v>74.75</v>
      </c>
      <c r="I178">
        <v>63.25</v>
      </c>
      <c r="J178">
        <v>70.67</v>
      </c>
      <c r="K178">
        <v>6.03</v>
      </c>
      <c r="L178">
        <v>7.43</v>
      </c>
      <c r="M178">
        <v>6.54</v>
      </c>
      <c r="N178">
        <v>72.459999999999994</v>
      </c>
      <c r="O178">
        <v>77.95</v>
      </c>
      <c r="P178">
        <v>75.14</v>
      </c>
      <c r="Q178">
        <v>84.78</v>
      </c>
      <c r="R178">
        <v>51.07</v>
      </c>
      <c r="S178">
        <v>67.930000000000007</v>
      </c>
      <c r="T178">
        <v>2748699</v>
      </c>
      <c r="V178" t="str">
        <v>Bandung Barat</v>
      </c>
      <c r="W178">
        <v>8.77</v>
      </c>
      <c r="X178">
        <v>7.97</v>
      </c>
      <c r="Y178">
        <v>8.34</v>
      </c>
      <c r="Z178">
        <v>12.29</v>
      </c>
      <c r="AA178">
        <v>12.22</v>
      </c>
      <c r="AB178">
        <v>12.26</v>
      </c>
      <c r="AC178">
        <v>76.3</v>
      </c>
      <c r="AD178">
        <v>62.55</v>
      </c>
      <c r="AE178">
        <v>71.650000000000006</v>
      </c>
      <c r="AF178">
        <v>6.46</v>
      </c>
      <c r="AG178">
        <v>6.82</v>
      </c>
      <c r="AH178">
        <v>6.6</v>
      </c>
      <c r="AI178">
        <v>72.709999999999994</v>
      </c>
      <c r="AJ178">
        <v>78.31</v>
      </c>
      <c r="AK178">
        <v>75.44</v>
      </c>
      <c r="AL178">
        <v>86.74</v>
      </c>
      <c r="AM178">
        <v>53.84</v>
      </c>
      <c r="AN178">
        <v>70.290000000000006</v>
      </c>
      <c r="AO178">
        <v>1907824</v>
      </c>
    </row>
    <row r="179" spans="1:41" x14ac:dyDescent="0.35">
      <c r="A179" t="s">
        <v>178</v>
      </c>
      <c r="B179">
        <v>8.1199999999999992</v>
      </c>
      <c r="C179">
        <v>7.85</v>
      </c>
      <c r="D179">
        <v>7.98</v>
      </c>
      <c r="E179">
        <v>13.02</v>
      </c>
      <c r="F179">
        <v>12.92</v>
      </c>
      <c r="G179">
        <v>12.92</v>
      </c>
      <c r="H179">
        <v>75.14</v>
      </c>
      <c r="I179">
        <v>66.05</v>
      </c>
      <c r="J179">
        <v>70.760000000000005</v>
      </c>
      <c r="K179">
        <v>3.29</v>
      </c>
      <c r="L179">
        <v>4.29</v>
      </c>
      <c r="M179">
        <v>3.69</v>
      </c>
      <c r="N179">
        <v>71.900000000000006</v>
      </c>
      <c r="O179">
        <v>76.97</v>
      </c>
      <c r="P179">
        <v>74.37</v>
      </c>
      <c r="Q179">
        <v>83.08</v>
      </c>
      <c r="R179">
        <v>55.13</v>
      </c>
      <c r="S179">
        <v>69.11</v>
      </c>
      <c r="T179">
        <v>1933814</v>
      </c>
      <c r="V179" t="str">
        <v>Pangandaran</v>
      </c>
      <c r="W179">
        <v>8.42</v>
      </c>
      <c r="X179">
        <v>7.89</v>
      </c>
      <c r="Y179">
        <v>8.11</v>
      </c>
      <c r="Z179">
        <v>12.46</v>
      </c>
      <c r="AA179">
        <v>12.32</v>
      </c>
      <c r="AB179">
        <v>12.41</v>
      </c>
      <c r="AC179">
        <v>75.489999999999995</v>
      </c>
      <c r="AD179">
        <v>69.010000000000005</v>
      </c>
      <c r="AE179">
        <v>71.66</v>
      </c>
      <c r="AF179">
        <v>2.73</v>
      </c>
      <c r="AG179">
        <v>0.85</v>
      </c>
      <c r="AH179">
        <v>1.91</v>
      </c>
      <c r="AI179">
        <v>72.72</v>
      </c>
      <c r="AJ179">
        <v>78.319999999999993</v>
      </c>
      <c r="AK179">
        <v>75.45</v>
      </c>
      <c r="AL179">
        <v>90.46</v>
      </c>
      <c r="AM179">
        <v>67.98</v>
      </c>
      <c r="AN179">
        <v>79.22</v>
      </c>
      <c r="AO179">
        <v>436494</v>
      </c>
    </row>
    <row r="180" spans="1:41" x14ac:dyDescent="0.35">
      <c r="A180" t="s">
        <v>179</v>
      </c>
      <c r="B180">
        <v>8.33</v>
      </c>
      <c r="C180">
        <v>8.17</v>
      </c>
      <c r="D180">
        <v>8.23</v>
      </c>
      <c r="E180">
        <v>14.7</v>
      </c>
      <c r="F180">
        <v>14.31</v>
      </c>
      <c r="G180">
        <v>14.31</v>
      </c>
      <c r="H180">
        <v>78.98</v>
      </c>
      <c r="I180">
        <v>70.38</v>
      </c>
      <c r="J180">
        <v>74.33</v>
      </c>
      <c r="K180">
        <v>3.84</v>
      </c>
      <c r="L180">
        <v>4.47</v>
      </c>
      <c r="M180">
        <v>4.08</v>
      </c>
      <c r="N180">
        <v>72.91</v>
      </c>
      <c r="O180">
        <v>78.599999999999994</v>
      </c>
      <c r="P180">
        <v>75.69</v>
      </c>
      <c r="Q180">
        <v>83.31</v>
      </c>
      <c r="R180">
        <v>49.24</v>
      </c>
      <c r="S180">
        <v>66.28</v>
      </c>
      <c r="T180">
        <v>1266331</v>
      </c>
      <c r="V180" t="str">
        <v>Kota Bogor</v>
      </c>
      <c r="W180">
        <v>11.09</v>
      </c>
      <c r="X180">
        <v>10.37</v>
      </c>
      <c r="Y180">
        <v>10.72</v>
      </c>
      <c r="Z180">
        <v>13.43</v>
      </c>
      <c r="AA180">
        <v>13.97</v>
      </c>
      <c r="AB180">
        <v>13.69</v>
      </c>
      <c r="AC180">
        <v>83.68</v>
      </c>
      <c r="AD180">
        <v>77.63</v>
      </c>
      <c r="AE180">
        <v>79.75</v>
      </c>
      <c r="AF180">
        <v>9.7100000000000009</v>
      </c>
      <c r="AG180">
        <v>5.07</v>
      </c>
      <c r="AH180">
        <v>7.95</v>
      </c>
      <c r="AI180">
        <v>73.38</v>
      </c>
      <c r="AJ180">
        <v>79.27</v>
      </c>
      <c r="AK180">
        <v>76.25</v>
      </c>
      <c r="AL180">
        <v>80.41</v>
      </c>
      <c r="AM180">
        <v>49.7</v>
      </c>
      <c r="AN180">
        <v>65.06</v>
      </c>
      <c r="AO180">
        <v>1083776</v>
      </c>
    </row>
    <row r="181" spans="1:41" x14ac:dyDescent="0.35">
      <c r="A181" t="s">
        <v>180</v>
      </c>
      <c r="B181">
        <v>8.18</v>
      </c>
      <c r="C181">
        <v>7.65</v>
      </c>
      <c r="D181">
        <v>7.91</v>
      </c>
      <c r="E181">
        <v>13.08</v>
      </c>
      <c r="F181">
        <v>12.52</v>
      </c>
      <c r="G181">
        <v>12.52</v>
      </c>
      <c r="H181">
        <v>77.25</v>
      </c>
      <c r="I181">
        <v>68.52</v>
      </c>
      <c r="J181">
        <v>72.31</v>
      </c>
      <c r="K181">
        <v>8.0299999999999994</v>
      </c>
      <c r="L181">
        <v>6.84</v>
      </c>
      <c r="M181">
        <v>7.59</v>
      </c>
      <c r="N181">
        <v>73.650000000000006</v>
      </c>
      <c r="O181">
        <v>78.44</v>
      </c>
      <c r="P181">
        <v>75.64</v>
      </c>
      <c r="Q181">
        <v>86.65</v>
      </c>
      <c r="R181">
        <v>51.73</v>
      </c>
      <c r="S181">
        <v>69.19</v>
      </c>
      <c r="T181">
        <v>1225493</v>
      </c>
      <c r="V181" t="str">
        <v>Kota Sukabumi</v>
      </c>
      <c r="W181">
        <v>10.72</v>
      </c>
      <c r="X181">
        <v>10.11</v>
      </c>
      <c r="Y181">
        <v>10.39</v>
      </c>
      <c r="Z181">
        <v>14.45</v>
      </c>
      <c r="AA181">
        <v>13.61</v>
      </c>
      <c r="AB181">
        <v>13.63</v>
      </c>
      <c r="AC181">
        <v>82.6</v>
      </c>
      <c r="AD181">
        <v>77.11</v>
      </c>
      <c r="AE181">
        <v>78.23</v>
      </c>
      <c r="AF181">
        <v>8.26</v>
      </c>
      <c r="AG181">
        <v>8.06</v>
      </c>
      <c r="AH181">
        <v>8.19</v>
      </c>
      <c r="AI181">
        <v>72.72</v>
      </c>
      <c r="AJ181">
        <v>78.319999999999993</v>
      </c>
      <c r="AK181">
        <v>75.45</v>
      </c>
      <c r="AL181">
        <v>81.84</v>
      </c>
      <c r="AM181">
        <v>49.7</v>
      </c>
      <c r="AN181">
        <v>65.77</v>
      </c>
      <c r="AO181">
        <v>370681</v>
      </c>
    </row>
    <row r="182" spans="1:41" x14ac:dyDescent="0.35">
      <c r="A182" t="s">
        <v>181</v>
      </c>
      <c r="B182">
        <v>8.34</v>
      </c>
      <c r="C182">
        <v>7.41</v>
      </c>
      <c r="D182">
        <v>7.88</v>
      </c>
      <c r="E182">
        <v>12.43</v>
      </c>
      <c r="F182">
        <v>13.02</v>
      </c>
      <c r="G182">
        <v>12.67</v>
      </c>
      <c r="H182">
        <v>77.37</v>
      </c>
      <c r="I182">
        <v>66.47</v>
      </c>
      <c r="J182">
        <v>73.27</v>
      </c>
      <c r="K182">
        <v>7.6</v>
      </c>
      <c r="L182">
        <v>4.5999999999999996</v>
      </c>
      <c r="M182">
        <v>6.42</v>
      </c>
      <c r="N182">
        <v>72.67</v>
      </c>
      <c r="O182">
        <v>78.239999999999995</v>
      </c>
      <c r="P182">
        <v>75.39</v>
      </c>
      <c r="Q182">
        <v>83.44</v>
      </c>
      <c r="R182">
        <v>54.9</v>
      </c>
      <c r="S182">
        <v>69.17</v>
      </c>
      <c r="T182">
        <v>2413814</v>
      </c>
      <c r="V182" t="str">
        <v>Kota Bandung</v>
      </c>
      <c r="W182">
        <v>11.61</v>
      </c>
      <c r="X182">
        <v>11.12</v>
      </c>
      <c r="Y182">
        <v>11.41</v>
      </c>
      <c r="Z182">
        <v>14.26</v>
      </c>
      <c r="AA182">
        <v>14.51</v>
      </c>
      <c r="AB182">
        <v>14.27</v>
      </c>
      <c r="AC182">
        <v>87.81</v>
      </c>
      <c r="AD182">
        <v>84.21</v>
      </c>
      <c r="AE182">
        <v>84.66</v>
      </c>
      <c r="AF182">
        <v>8.02</v>
      </c>
      <c r="AG182">
        <v>5.92</v>
      </c>
      <c r="AH182">
        <v>7.22</v>
      </c>
      <c r="AI182">
        <v>74.39</v>
      </c>
      <c r="AJ182">
        <v>79.33</v>
      </c>
      <c r="AK182">
        <v>76.3</v>
      </c>
      <c r="AL182">
        <v>84.43</v>
      </c>
      <c r="AM182">
        <v>51.9</v>
      </c>
      <c r="AN182">
        <v>68.17</v>
      </c>
      <c r="AO182">
        <v>2548784</v>
      </c>
    </row>
    <row r="183" spans="1:41" x14ac:dyDescent="0.35">
      <c r="A183" t="s">
        <v>182</v>
      </c>
      <c r="B183">
        <v>8.1199999999999992</v>
      </c>
      <c r="C183">
        <v>7.51</v>
      </c>
      <c r="D183">
        <v>7.81</v>
      </c>
      <c r="E183">
        <v>12.5</v>
      </c>
      <c r="F183">
        <v>12.5</v>
      </c>
      <c r="G183">
        <v>12.5</v>
      </c>
      <c r="H183">
        <v>76.209999999999994</v>
      </c>
      <c r="I183">
        <v>67.459999999999994</v>
      </c>
      <c r="J183">
        <v>72.37</v>
      </c>
      <c r="K183">
        <v>3.96</v>
      </c>
      <c r="L183">
        <v>3.13</v>
      </c>
      <c r="M183">
        <v>3.62</v>
      </c>
      <c r="N183">
        <v>72.61</v>
      </c>
      <c r="O183">
        <v>78.16</v>
      </c>
      <c r="P183">
        <v>75.319999999999993</v>
      </c>
      <c r="Q183">
        <v>85.96</v>
      </c>
      <c r="R183">
        <v>59.23</v>
      </c>
      <c r="S183">
        <v>72.599999999999994</v>
      </c>
      <c r="T183">
        <v>1363755</v>
      </c>
      <c r="V183" t="str">
        <v>Kota Cirebon</v>
      </c>
      <c r="W183">
        <v>10.84</v>
      </c>
      <c r="X183">
        <v>10.4</v>
      </c>
      <c r="Y183">
        <v>10.54</v>
      </c>
      <c r="Z183">
        <v>13.12</v>
      </c>
      <c r="AA183">
        <v>13.77</v>
      </c>
      <c r="AB183">
        <v>13.45</v>
      </c>
      <c r="AC183">
        <v>81.459999999999994</v>
      </c>
      <c r="AD183">
        <v>78.95</v>
      </c>
      <c r="AE183">
        <v>78.989999999999995</v>
      </c>
      <c r="AF183">
        <v>6.84</v>
      </c>
      <c r="AG183">
        <v>5.81</v>
      </c>
      <c r="AH183">
        <v>6.41</v>
      </c>
      <c r="AI183">
        <v>73.14</v>
      </c>
      <c r="AJ183">
        <v>78.930000000000007</v>
      </c>
      <c r="AK183">
        <v>75.97</v>
      </c>
      <c r="AL183">
        <v>81.05</v>
      </c>
      <c r="AM183">
        <v>57.05</v>
      </c>
      <c r="AN183">
        <v>69.05</v>
      </c>
      <c r="AO183">
        <v>347537</v>
      </c>
    </row>
    <row r="184" spans="1:41" x14ac:dyDescent="0.35">
      <c r="A184" t="s">
        <v>183</v>
      </c>
      <c r="B184">
        <v>9.08</v>
      </c>
      <c r="C184">
        <v>8.76</v>
      </c>
      <c r="D184">
        <v>8.92</v>
      </c>
      <c r="E184">
        <v>13.21</v>
      </c>
      <c r="F184">
        <v>13.69</v>
      </c>
      <c r="G184">
        <v>13.21</v>
      </c>
      <c r="H184">
        <v>78.47</v>
      </c>
      <c r="I184">
        <v>75.48</v>
      </c>
      <c r="J184">
        <v>75.5</v>
      </c>
      <c r="K184">
        <v>6.43</v>
      </c>
      <c r="L184">
        <v>5.42</v>
      </c>
      <c r="M184">
        <v>6.08</v>
      </c>
      <c r="N184">
        <v>72.92</v>
      </c>
      <c r="O184">
        <v>78.62</v>
      </c>
      <c r="P184">
        <v>75.7</v>
      </c>
      <c r="Q184">
        <v>84.93</v>
      </c>
      <c r="R184">
        <v>45.72</v>
      </c>
      <c r="S184">
        <v>65.33</v>
      </c>
      <c r="T184">
        <v>1195531</v>
      </c>
      <c r="V184" t="str">
        <v>Kota Bekasi</v>
      </c>
      <c r="W184">
        <v>12.52</v>
      </c>
      <c r="X184">
        <v>12.11</v>
      </c>
      <c r="Y184">
        <v>12.11</v>
      </c>
      <c r="Z184">
        <v>14.36</v>
      </c>
      <c r="AA184">
        <v>14.15</v>
      </c>
      <c r="AB184">
        <v>14.15</v>
      </c>
      <c r="AC184">
        <v>88.59</v>
      </c>
      <c r="AD184">
        <v>83.8</v>
      </c>
      <c r="AE184">
        <v>84.43</v>
      </c>
      <c r="AF184">
        <v>7.45</v>
      </c>
      <c r="AG184">
        <v>7.13</v>
      </c>
      <c r="AH184">
        <v>7.33</v>
      </c>
      <c r="AI184">
        <v>74.7</v>
      </c>
      <c r="AJ184">
        <v>79.63</v>
      </c>
      <c r="AK184">
        <v>76.61</v>
      </c>
      <c r="AL184">
        <v>79.52</v>
      </c>
      <c r="AM184">
        <v>48.73</v>
      </c>
      <c r="AN184">
        <v>64.13</v>
      </c>
      <c r="AO184">
        <v>2648272</v>
      </c>
    </row>
    <row r="185" spans="1:41" x14ac:dyDescent="0.35">
      <c r="A185" t="s">
        <v>184</v>
      </c>
      <c r="B185">
        <v>7.52</v>
      </c>
      <c r="C185">
        <v>6.58</v>
      </c>
      <c r="D185">
        <v>7.06</v>
      </c>
      <c r="E185">
        <v>12.3</v>
      </c>
      <c r="F185">
        <v>12.61</v>
      </c>
      <c r="G185">
        <v>12.58</v>
      </c>
      <c r="H185">
        <v>75.400000000000006</v>
      </c>
      <c r="I185">
        <v>67.97</v>
      </c>
      <c r="J185">
        <v>71.58</v>
      </c>
      <c r="K185">
        <v>6.28</v>
      </c>
      <c r="L185">
        <v>6.84</v>
      </c>
      <c r="M185">
        <v>6.47</v>
      </c>
      <c r="N185">
        <v>72.48</v>
      </c>
      <c r="O185">
        <v>77.98</v>
      </c>
      <c r="P185">
        <v>75.16</v>
      </c>
      <c r="Q185">
        <v>85.09</v>
      </c>
      <c r="R185">
        <v>45.14</v>
      </c>
      <c r="S185">
        <v>65.12</v>
      </c>
      <c r="T185">
        <v>1932522</v>
      </c>
      <c r="V185" t="str">
        <v>Kota Depok</v>
      </c>
      <c r="W185">
        <v>12.2</v>
      </c>
      <c r="X185">
        <v>11.47</v>
      </c>
      <c r="Y185">
        <v>11.83</v>
      </c>
      <c r="Z185">
        <v>14.21</v>
      </c>
      <c r="AA185">
        <v>14.36</v>
      </c>
      <c r="AB185">
        <v>14.21</v>
      </c>
      <c r="AC185">
        <v>88.09</v>
      </c>
      <c r="AD185">
        <v>83.17</v>
      </c>
      <c r="AE185">
        <v>84.04</v>
      </c>
      <c r="AF185">
        <v>7.3</v>
      </c>
      <c r="AG185">
        <v>5.17</v>
      </c>
      <c r="AH185">
        <v>6.52</v>
      </c>
      <c r="AI185">
        <v>74.27</v>
      </c>
      <c r="AJ185">
        <v>79.33</v>
      </c>
      <c r="AK185">
        <v>76.3</v>
      </c>
      <c r="AL185">
        <v>78.63</v>
      </c>
      <c r="AM185">
        <v>45.36</v>
      </c>
      <c r="AN185">
        <v>62</v>
      </c>
      <c r="AO185">
        <v>2167961</v>
      </c>
    </row>
    <row r="186" spans="1:41" x14ac:dyDescent="0.35">
      <c r="A186" t="s">
        <v>185</v>
      </c>
      <c r="B186">
        <v>8.1300000000000008</v>
      </c>
      <c r="C186">
        <v>7.3</v>
      </c>
      <c r="D186">
        <v>7.68</v>
      </c>
      <c r="E186">
        <v>12.37</v>
      </c>
      <c r="F186">
        <v>12.48</v>
      </c>
      <c r="G186">
        <v>12.38</v>
      </c>
      <c r="H186">
        <v>76.459999999999994</v>
      </c>
      <c r="I186">
        <v>70.45</v>
      </c>
      <c r="J186">
        <v>73</v>
      </c>
      <c r="K186">
        <v>8</v>
      </c>
      <c r="L186">
        <v>4.87</v>
      </c>
      <c r="M186">
        <v>6.8</v>
      </c>
      <c r="N186">
        <v>72.680000000000007</v>
      </c>
      <c r="O186">
        <v>78.27</v>
      </c>
      <c r="P186">
        <v>75.41</v>
      </c>
      <c r="Q186">
        <v>85.59</v>
      </c>
      <c r="R186">
        <v>52.44</v>
      </c>
      <c r="S186">
        <v>69.02</v>
      </c>
      <c r="T186">
        <v>1675519</v>
      </c>
      <c r="V186" t="str">
        <v>Kota Cimahi</v>
      </c>
      <c r="W186">
        <v>11.79</v>
      </c>
      <c r="X186">
        <v>11.23</v>
      </c>
      <c r="Y186">
        <v>11.53</v>
      </c>
      <c r="Z186">
        <v>14.28</v>
      </c>
      <c r="AA186">
        <v>13.86</v>
      </c>
      <c r="AB186">
        <v>13.86</v>
      </c>
      <c r="AC186">
        <v>84.84</v>
      </c>
      <c r="AD186">
        <v>79.069999999999993</v>
      </c>
      <c r="AE186">
        <v>80.849999999999994</v>
      </c>
      <c r="AF186">
        <v>9.14</v>
      </c>
      <c r="AG186">
        <v>8.14</v>
      </c>
      <c r="AH186">
        <v>8.75</v>
      </c>
      <c r="AI186">
        <v>73.989999999999995</v>
      </c>
      <c r="AJ186">
        <v>78.98</v>
      </c>
      <c r="AK186">
        <v>76</v>
      </c>
      <c r="AL186">
        <v>81.87</v>
      </c>
      <c r="AM186">
        <v>52.13</v>
      </c>
      <c r="AN186">
        <v>67</v>
      </c>
      <c r="AO186">
        <v>606375</v>
      </c>
    </row>
    <row r="187" spans="1:41" x14ac:dyDescent="0.35">
      <c r="A187" t="s">
        <v>186</v>
      </c>
      <c r="B187">
        <v>8.82</v>
      </c>
      <c r="C187">
        <v>7.96</v>
      </c>
      <c r="D187">
        <v>8.3699999999999992</v>
      </c>
      <c r="E187">
        <v>12.5</v>
      </c>
      <c r="F187">
        <v>12.56</v>
      </c>
      <c r="G187">
        <v>12.51</v>
      </c>
      <c r="H187">
        <v>79.27</v>
      </c>
      <c r="I187">
        <v>70.16</v>
      </c>
      <c r="J187">
        <v>74.97</v>
      </c>
      <c r="K187">
        <v>8.1199999999999992</v>
      </c>
      <c r="L187">
        <v>6.48</v>
      </c>
      <c r="M187">
        <v>7.54</v>
      </c>
      <c r="N187">
        <v>72.58</v>
      </c>
      <c r="O187">
        <v>78.12</v>
      </c>
      <c r="P187">
        <v>75.28</v>
      </c>
      <c r="Q187">
        <v>84.84</v>
      </c>
      <c r="R187">
        <v>47.28</v>
      </c>
      <c r="S187">
        <v>66.06</v>
      </c>
      <c r="T187">
        <v>1062965</v>
      </c>
      <c r="V187" t="str">
        <v>Kota Tasikmalaya</v>
      </c>
      <c r="W187">
        <v>9.7899999999999991</v>
      </c>
      <c r="X187">
        <v>9.41</v>
      </c>
      <c r="Y187">
        <v>9.64</v>
      </c>
      <c r="Z187">
        <v>13.44</v>
      </c>
      <c r="AA187">
        <v>13.83</v>
      </c>
      <c r="AB187">
        <v>13.51</v>
      </c>
      <c r="AC187">
        <v>79.25</v>
      </c>
      <c r="AD187">
        <v>74.03</v>
      </c>
      <c r="AE187">
        <v>76.59</v>
      </c>
      <c r="AF187">
        <v>6.98</v>
      </c>
      <c r="AG187">
        <v>5.55</v>
      </c>
      <c r="AH187">
        <v>6.43</v>
      </c>
      <c r="AI187">
        <v>72.89</v>
      </c>
      <c r="AJ187">
        <v>78.569999999999993</v>
      </c>
      <c r="AK187">
        <v>75.66</v>
      </c>
      <c r="AL187">
        <v>81.180000000000007</v>
      </c>
      <c r="AM187">
        <v>51.18</v>
      </c>
      <c r="AN187">
        <v>66.180000000000007</v>
      </c>
      <c r="AO187">
        <v>759370</v>
      </c>
    </row>
    <row r="188" spans="1:41" x14ac:dyDescent="0.35">
      <c r="A188" t="s">
        <v>187</v>
      </c>
      <c r="B188">
        <v>8.7200000000000006</v>
      </c>
      <c r="C188">
        <v>7.81</v>
      </c>
      <c r="D188">
        <v>8.31</v>
      </c>
      <c r="E188">
        <v>12.36</v>
      </c>
      <c r="F188">
        <v>12.22</v>
      </c>
      <c r="G188">
        <v>12.22</v>
      </c>
      <c r="H188">
        <v>77.94</v>
      </c>
      <c r="I188">
        <v>71.98</v>
      </c>
      <c r="J188">
        <v>74.59</v>
      </c>
      <c r="K188">
        <v>7.19</v>
      </c>
      <c r="L188">
        <v>9.56</v>
      </c>
      <c r="M188">
        <v>7.99</v>
      </c>
      <c r="N188">
        <v>72.819999999999993</v>
      </c>
      <c r="O188">
        <v>78.47</v>
      </c>
      <c r="P188">
        <v>75.569999999999993</v>
      </c>
      <c r="Q188">
        <v>86.05</v>
      </c>
      <c r="R188">
        <v>43.99</v>
      </c>
      <c r="S188">
        <v>65.02</v>
      </c>
      <c r="T188">
        <v>2581245</v>
      </c>
      <c r="V188" t="str">
        <v>Kota Banjar</v>
      </c>
      <c r="W188">
        <v>9.26</v>
      </c>
      <c r="X188">
        <v>8.59</v>
      </c>
      <c r="Y188">
        <v>8.84</v>
      </c>
      <c r="Z188">
        <v>13.61</v>
      </c>
      <c r="AA188">
        <v>13.28</v>
      </c>
      <c r="AB188">
        <v>13.29</v>
      </c>
      <c r="AC188">
        <v>80.03</v>
      </c>
      <c r="AD188">
        <v>71.650000000000006</v>
      </c>
      <c r="AE188">
        <v>75.540000000000006</v>
      </c>
      <c r="AF188">
        <v>5.67</v>
      </c>
      <c r="AG188">
        <v>4.6100000000000003</v>
      </c>
      <c r="AH188">
        <v>5.26</v>
      </c>
      <c r="AI188">
        <v>72.64</v>
      </c>
      <c r="AJ188">
        <v>78.2</v>
      </c>
      <c r="AK188">
        <v>75.349999999999994</v>
      </c>
      <c r="AL188">
        <v>85.74</v>
      </c>
      <c r="AM188">
        <v>54.04</v>
      </c>
      <c r="AN188">
        <v>69.89</v>
      </c>
      <c r="AO188">
        <v>211964</v>
      </c>
    </row>
    <row r="189" spans="1:41" x14ac:dyDescent="0.35">
      <c r="A189" t="s">
        <v>188</v>
      </c>
      <c r="B189">
        <v>10.35</v>
      </c>
      <c r="C189">
        <v>9.6</v>
      </c>
      <c r="D189">
        <v>10.07</v>
      </c>
      <c r="E189">
        <v>13.14</v>
      </c>
      <c r="F189">
        <v>13.43</v>
      </c>
      <c r="G189">
        <v>13.22</v>
      </c>
      <c r="H189">
        <v>82.08</v>
      </c>
      <c r="I189">
        <v>74.209999999999994</v>
      </c>
      <c r="J189">
        <v>77.8</v>
      </c>
      <c r="K189">
        <v>7.84</v>
      </c>
      <c r="L189">
        <v>10.67</v>
      </c>
      <c r="M189">
        <v>8.7799999999999994</v>
      </c>
      <c r="N189">
        <v>73.8</v>
      </c>
      <c r="O189">
        <v>78.63</v>
      </c>
      <c r="P189">
        <v>75.709999999999994</v>
      </c>
      <c r="Q189">
        <v>85.4</v>
      </c>
      <c r="R189">
        <v>42.93</v>
      </c>
      <c r="S189">
        <v>64.17</v>
      </c>
      <c r="T189">
        <v>3303023</v>
      </c>
      <c r="V189" t="str">
        <v>Cilacap</v>
      </c>
      <c r="W189">
        <v>7.98</v>
      </c>
      <c r="X189">
        <v>7.27</v>
      </c>
      <c r="Y189">
        <v>7.65</v>
      </c>
      <c r="Z189">
        <v>13.12</v>
      </c>
      <c r="AA189">
        <v>12.7</v>
      </c>
      <c r="AB189">
        <v>12.7</v>
      </c>
      <c r="AC189">
        <v>78.25</v>
      </c>
      <c r="AD189">
        <v>69.03</v>
      </c>
      <c r="AE189">
        <v>73.45</v>
      </c>
      <c r="AF189">
        <v>6.41</v>
      </c>
      <c r="AG189">
        <v>9.07</v>
      </c>
      <c r="AH189">
        <v>7.4</v>
      </c>
      <c r="AI189">
        <v>73.44</v>
      </c>
      <c r="AJ189">
        <v>78.14</v>
      </c>
      <c r="AK189">
        <v>75.3</v>
      </c>
      <c r="AL189">
        <v>83.27</v>
      </c>
      <c r="AM189">
        <v>50.02</v>
      </c>
      <c r="AN189">
        <v>66.650000000000006</v>
      </c>
      <c r="AO189">
        <v>2046392</v>
      </c>
    </row>
    <row r="190" spans="1:41" x14ac:dyDescent="0.35">
      <c r="A190" t="s">
        <v>189</v>
      </c>
      <c r="B190">
        <v>8.77</v>
      </c>
      <c r="C190">
        <v>7.97</v>
      </c>
      <c r="D190">
        <v>8.34</v>
      </c>
      <c r="E190">
        <v>12.29</v>
      </c>
      <c r="F190">
        <v>12.22</v>
      </c>
      <c r="G190">
        <v>12.26</v>
      </c>
      <c r="H190">
        <v>76.3</v>
      </c>
      <c r="I190">
        <v>62.55</v>
      </c>
      <c r="J190">
        <v>71.650000000000006</v>
      </c>
      <c r="K190">
        <v>6.46</v>
      </c>
      <c r="L190">
        <v>6.82</v>
      </c>
      <c r="M190">
        <v>6.6</v>
      </c>
      <c r="N190">
        <v>72.709999999999994</v>
      </c>
      <c r="O190">
        <v>78.31</v>
      </c>
      <c r="P190">
        <v>75.44</v>
      </c>
      <c r="Q190">
        <v>86.74</v>
      </c>
      <c r="R190">
        <v>53.84</v>
      </c>
      <c r="S190">
        <v>70.290000000000006</v>
      </c>
      <c r="T190">
        <v>1907824</v>
      </c>
      <c r="V190" t="str">
        <v>Banyumas</v>
      </c>
      <c r="W190">
        <v>8.39</v>
      </c>
      <c r="X190">
        <v>7.83</v>
      </c>
      <c r="Y190">
        <v>8.1</v>
      </c>
      <c r="Z190">
        <v>13.46</v>
      </c>
      <c r="AA190">
        <v>13.64</v>
      </c>
      <c r="AB190">
        <v>13.53</v>
      </c>
      <c r="AC190">
        <v>79.34</v>
      </c>
      <c r="AD190">
        <v>71.41</v>
      </c>
      <c r="AE190">
        <v>75.44</v>
      </c>
      <c r="AF190">
        <v>6.04</v>
      </c>
      <c r="AG190">
        <v>6.58</v>
      </c>
      <c r="AH190">
        <v>6.26</v>
      </c>
      <c r="AI190">
        <v>72.75</v>
      </c>
      <c r="AJ190">
        <v>77.459999999999994</v>
      </c>
      <c r="AK190">
        <v>74.790000000000006</v>
      </c>
      <c r="AL190">
        <v>82.95</v>
      </c>
      <c r="AM190">
        <v>56.79</v>
      </c>
      <c r="AN190">
        <v>69.87</v>
      </c>
      <c r="AO190">
        <v>1865270</v>
      </c>
    </row>
    <row r="191" spans="1:41" x14ac:dyDescent="0.35">
      <c r="A191" t="s">
        <v>190</v>
      </c>
      <c r="B191">
        <v>8.42</v>
      </c>
      <c r="C191">
        <v>7.89</v>
      </c>
      <c r="D191">
        <v>8.11</v>
      </c>
      <c r="E191">
        <v>12.46</v>
      </c>
      <c r="F191">
        <v>12.32</v>
      </c>
      <c r="G191">
        <v>12.41</v>
      </c>
      <c r="H191">
        <v>75.489999999999995</v>
      </c>
      <c r="I191">
        <v>69.010000000000005</v>
      </c>
      <c r="J191">
        <v>71.66</v>
      </c>
      <c r="K191">
        <v>2.73</v>
      </c>
      <c r="L191">
        <v>0.85</v>
      </c>
      <c r="M191">
        <v>1.91</v>
      </c>
      <c r="N191">
        <v>72.72</v>
      </c>
      <c r="O191">
        <v>78.319999999999993</v>
      </c>
      <c r="P191">
        <v>75.45</v>
      </c>
      <c r="Q191">
        <v>90.46</v>
      </c>
      <c r="R191">
        <v>67.98</v>
      </c>
      <c r="S191">
        <v>79.22</v>
      </c>
      <c r="T191">
        <v>436494</v>
      </c>
      <c r="V191" t="str">
        <v>Purbalingga</v>
      </c>
      <c r="W191">
        <v>7.6</v>
      </c>
      <c r="X191">
        <v>7.24</v>
      </c>
      <c r="Y191">
        <v>7.37</v>
      </c>
      <c r="Z191">
        <v>12.26</v>
      </c>
      <c r="AA191">
        <v>12.1</v>
      </c>
      <c r="AB191">
        <v>12.11</v>
      </c>
      <c r="AC191">
        <v>75.11</v>
      </c>
      <c r="AD191">
        <v>70.86</v>
      </c>
      <c r="AE191">
        <v>71.709999999999994</v>
      </c>
      <c r="AF191">
        <v>5.2</v>
      </c>
      <c r="AG191">
        <v>4.3099999999999996</v>
      </c>
      <c r="AH191">
        <v>4.83</v>
      </c>
      <c r="AI191">
        <v>72.569999999999993</v>
      </c>
      <c r="AJ191">
        <v>77.069999999999993</v>
      </c>
      <c r="AK191">
        <v>74.48</v>
      </c>
      <c r="AL191">
        <v>87.27</v>
      </c>
      <c r="AM191">
        <v>63.23</v>
      </c>
      <c r="AN191">
        <v>75.25</v>
      </c>
      <c r="AO191">
        <v>1047755</v>
      </c>
    </row>
    <row r="192" spans="1:41" x14ac:dyDescent="0.35">
      <c r="A192" t="s">
        <v>191</v>
      </c>
      <c r="B192">
        <v>11.09</v>
      </c>
      <c r="C192">
        <v>10.37</v>
      </c>
      <c r="D192">
        <v>10.72</v>
      </c>
      <c r="E192">
        <v>13.43</v>
      </c>
      <c r="F192">
        <v>13.97</v>
      </c>
      <c r="G192">
        <v>13.69</v>
      </c>
      <c r="H192">
        <v>83.68</v>
      </c>
      <c r="I192">
        <v>77.63</v>
      </c>
      <c r="J192">
        <v>79.75</v>
      </c>
      <c r="K192">
        <v>9.7100000000000009</v>
      </c>
      <c r="L192">
        <v>5.07</v>
      </c>
      <c r="M192">
        <v>7.95</v>
      </c>
      <c r="N192">
        <v>73.38</v>
      </c>
      <c r="O192">
        <v>79.27</v>
      </c>
      <c r="P192">
        <v>76.25</v>
      </c>
      <c r="Q192">
        <v>80.41</v>
      </c>
      <c r="R192">
        <v>49.7</v>
      </c>
      <c r="S192">
        <v>65.06</v>
      </c>
      <c r="T192">
        <v>1083776</v>
      </c>
      <c r="V192" t="str">
        <v>Banjarnegara</v>
      </c>
      <c r="W192">
        <v>7.24</v>
      </c>
      <c r="X192">
        <v>6.96</v>
      </c>
      <c r="Y192">
        <v>7.1</v>
      </c>
      <c r="Z192">
        <v>12.03</v>
      </c>
      <c r="AA192">
        <v>12.04</v>
      </c>
      <c r="AB192">
        <v>12.04</v>
      </c>
      <c r="AC192">
        <v>72.540000000000006</v>
      </c>
      <c r="AD192">
        <v>69.02</v>
      </c>
      <c r="AE192">
        <v>70.61</v>
      </c>
      <c r="AF192">
        <v>3.89</v>
      </c>
      <c r="AG192">
        <v>7.56</v>
      </c>
      <c r="AH192">
        <v>5.39</v>
      </c>
      <c r="AI192">
        <v>73.19</v>
      </c>
      <c r="AJ192">
        <v>76.819999999999993</v>
      </c>
      <c r="AK192">
        <v>74.86</v>
      </c>
      <c r="AL192">
        <v>86.44</v>
      </c>
      <c r="AM192">
        <v>61.1</v>
      </c>
      <c r="AN192">
        <v>73.77</v>
      </c>
      <c r="AO192">
        <v>1067606</v>
      </c>
    </row>
    <row r="193" spans="1:41" x14ac:dyDescent="0.35">
      <c r="A193" t="s">
        <v>192</v>
      </c>
      <c r="B193">
        <v>10.72</v>
      </c>
      <c r="C193">
        <v>10.11</v>
      </c>
      <c r="D193">
        <v>10.39</v>
      </c>
      <c r="E193">
        <v>14.45</v>
      </c>
      <c r="F193">
        <v>13.61</v>
      </c>
      <c r="G193">
        <v>13.63</v>
      </c>
      <c r="H193">
        <v>82.6</v>
      </c>
      <c r="I193">
        <v>77.11</v>
      </c>
      <c r="J193">
        <v>78.23</v>
      </c>
      <c r="K193">
        <v>8.26</v>
      </c>
      <c r="L193">
        <v>8.06</v>
      </c>
      <c r="M193">
        <v>8.19</v>
      </c>
      <c r="N193">
        <v>72.72</v>
      </c>
      <c r="O193">
        <v>78.319999999999993</v>
      </c>
      <c r="P193">
        <v>75.45</v>
      </c>
      <c r="Q193">
        <v>81.84</v>
      </c>
      <c r="R193">
        <v>49.7</v>
      </c>
      <c r="S193">
        <v>65.77</v>
      </c>
      <c r="T193">
        <v>370681</v>
      </c>
      <c r="V193" t="str">
        <v>Kebumen</v>
      </c>
      <c r="W193">
        <v>8.25</v>
      </c>
      <c r="X193">
        <v>7.55</v>
      </c>
      <c r="Y193">
        <v>7.89</v>
      </c>
      <c r="Z193">
        <v>13.42</v>
      </c>
      <c r="AA193">
        <v>13.59</v>
      </c>
      <c r="AB193">
        <v>13.42</v>
      </c>
      <c r="AC193">
        <v>76.62</v>
      </c>
      <c r="AD193">
        <v>71.72</v>
      </c>
      <c r="AE193">
        <v>73.17</v>
      </c>
      <c r="AF193">
        <v>4.97</v>
      </c>
      <c r="AG193">
        <v>4.93</v>
      </c>
      <c r="AH193">
        <v>4.95</v>
      </c>
      <c r="AI193">
        <v>73.66</v>
      </c>
      <c r="AJ193">
        <v>77.55</v>
      </c>
      <c r="AK193">
        <v>75.56</v>
      </c>
      <c r="AL193">
        <v>85.74</v>
      </c>
      <c r="AM193">
        <v>66.41</v>
      </c>
      <c r="AN193">
        <v>76.08</v>
      </c>
      <c r="AO193">
        <v>1431777</v>
      </c>
    </row>
    <row r="194" spans="1:41" x14ac:dyDescent="0.35">
      <c r="A194" t="s">
        <v>193</v>
      </c>
      <c r="B194">
        <v>11.61</v>
      </c>
      <c r="C194">
        <v>11.12</v>
      </c>
      <c r="D194">
        <v>11.41</v>
      </c>
      <c r="E194">
        <v>14.26</v>
      </c>
      <c r="F194">
        <v>14.51</v>
      </c>
      <c r="G194">
        <v>14.27</v>
      </c>
      <c r="H194">
        <v>87.81</v>
      </c>
      <c r="I194">
        <v>84.21</v>
      </c>
      <c r="J194">
        <v>84.66</v>
      </c>
      <c r="K194">
        <v>8.02</v>
      </c>
      <c r="L194">
        <v>5.92</v>
      </c>
      <c r="M194">
        <v>7.22</v>
      </c>
      <c r="N194">
        <v>74.39</v>
      </c>
      <c r="O194">
        <v>79.33</v>
      </c>
      <c r="P194">
        <v>76.3</v>
      </c>
      <c r="Q194">
        <v>84.43</v>
      </c>
      <c r="R194">
        <v>51.9</v>
      </c>
      <c r="S194">
        <v>68.17</v>
      </c>
      <c r="T194">
        <v>2548784</v>
      </c>
      <c r="V194" t="str">
        <v>Purworejo</v>
      </c>
      <c r="W194">
        <v>9.31</v>
      </c>
      <c r="X194">
        <v>8.36</v>
      </c>
      <c r="Y194">
        <v>8.74</v>
      </c>
      <c r="Z194">
        <v>13.7</v>
      </c>
      <c r="AA194">
        <v>13.58</v>
      </c>
      <c r="AB194">
        <v>13.58</v>
      </c>
      <c r="AC194">
        <v>78.23</v>
      </c>
      <c r="AD194">
        <v>74.77</v>
      </c>
      <c r="AE194">
        <v>75.930000000000007</v>
      </c>
      <c r="AF194">
        <v>3.92</v>
      </c>
      <c r="AG194">
        <v>3.47</v>
      </c>
      <c r="AH194">
        <v>3.72</v>
      </c>
      <c r="AI194">
        <v>74.08</v>
      </c>
      <c r="AJ194">
        <v>78.03</v>
      </c>
      <c r="AK194">
        <v>76.06</v>
      </c>
      <c r="AL194">
        <v>85.83</v>
      </c>
      <c r="AM194">
        <v>64.2</v>
      </c>
      <c r="AN194">
        <v>75.02</v>
      </c>
      <c r="AO194">
        <v>801670</v>
      </c>
    </row>
    <row r="195" spans="1:41" x14ac:dyDescent="0.35">
      <c r="A195" t="s">
        <v>194</v>
      </c>
      <c r="B195">
        <v>10.84</v>
      </c>
      <c r="C195">
        <v>10.4</v>
      </c>
      <c r="D195">
        <v>10.54</v>
      </c>
      <c r="E195">
        <v>13.12</v>
      </c>
      <c r="F195">
        <v>13.77</v>
      </c>
      <c r="G195">
        <v>13.45</v>
      </c>
      <c r="H195">
        <v>81.459999999999994</v>
      </c>
      <c r="I195">
        <v>78.95</v>
      </c>
      <c r="J195">
        <v>78.989999999999995</v>
      </c>
      <c r="K195">
        <v>6.84</v>
      </c>
      <c r="L195">
        <v>5.81</v>
      </c>
      <c r="M195">
        <v>6.41</v>
      </c>
      <c r="N195">
        <v>73.14</v>
      </c>
      <c r="O195">
        <v>78.930000000000007</v>
      </c>
      <c r="P195">
        <v>75.97</v>
      </c>
      <c r="Q195">
        <v>81.05</v>
      </c>
      <c r="R195">
        <v>57.05</v>
      </c>
      <c r="S195">
        <v>69.05</v>
      </c>
      <c r="T195">
        <v>347537</v>
      </c>
      <c r="V195" t="str">
        <v>Wonosobo</v>
      </c>
      <c r="W195">
        <v>7.16</v>
      </c>
      <c r="X195">
        <v>6.79</v>
      </c>
      <c r="Y195">
        <v>6.91</v>
      </c>
      <c r="Z195">
        <v>12.07</v>
      </c>
      <c r="AA195">
        <v>12.03</v>
      </c>
      <c r="AB195">
        <v>12.05</v>
      </c>
      <c r="AC195">
        <v>74.94</v>
      </c>
      <c r="AD195">
        <v>69.86</v>
      </c>
      <c r="AE195">
        <v>71.5</v>
      </c>
      <c r="AF195">
        <v>4.5199999999999996</v>
      </c>
      <c r="AG195">
        <v>3.23</v>
      </c>
      <c r="AH195">
        <v>3.99</v>
      </c>
      <c r="AI195">
        <v>72.61</v>
      </c>
      <c r="AJ195">
        <v>76.61</v>
      </c>
      <c r="AK195">
        <v>74.56</v>
      </c>
      <c r="AL195">
        <v>87.84</v>
      </c>
      <c r="AM195">
        <v>63.25</v>
      </c>
      <c r="AN195">
        <v>75.55</v>
      </c>
      <c r="AO195">
        <v>931142</v>
      </c>
    </row>
    <row r="196" spans="1:41" x14ac:dyDescent="0.35">
      <c r="A196" t="s">
        <v>195</v>
      </c>
      <c r="B196">
        <v>12.52</v>
      </c>
      <c r="C196">
        <v>12.11</v>
      </c>
      <c r="D196">
        <v>12.11</v>
      </c>
      <c r="E196">
        <v>14.36</v>
      </c>
      <c r="F196">
        <v>14.15</v>
      </c>
      <c r="G196">
        <v>14.15</v>
      </c>
      <c r="H196">
        <v>88.59</v>
      </c>
      <c r="I196">
        <v>83.8</v>
      </c>
      <c r="J196">
        <v>84.43</v>
      </c>
      <c r="K196">
        <v>7.45</v>
      </c>
      <c r="L196">
        <v>7.13</v>
      </c>
      <c r="M196">
        <v>7.33</v>
      </c>
      <c r="N196">
        <v>74.7</v>
      </c>
      <c r="O196">
        <v>79.63</v>
      </c>
      <c r="P196">
        <v>76.61</v>
      </c>
      <c r="Q196">
        <v>79.52</v>
      </c>
      <c r="R196">
        <v>48.73</v>
      </c>
      <c r="S196">
        <v>64.13</v>
      </c>
      <c r="T196">
        <v>2648272</v>
      </c>
      <c r="V196" t="str">
        <v>Magelang</v>
      </c>
      <c r="W196">
        <v>8.3699999999999992</v>
      </c>
      <c r="X196">
        <v>7.76</v>
      </c>
      <c r="Y196">
        <v>8.0399999999999991</v>
      </c>
      <c r="Z196">
        <v>12.83</v>
      </c>
      <c r="AA196">
        <v>13.08</v>
      </c>
      <c r="AB196">
        <v>12.83</v>
      </c>
      <c r="AC196">
        <v>77.16</v>
      </c>
      <c r="AD196">
        <v>72</v>
      </c>
      <c r="AE196">
        <v>73.09</v>
      </c>
      <c r="AF196">
        <v>3.09</v>
      </c>
      <c r="AG196">
        <v>4.0599999999999996</v>
      </c>
      <c r="AH196">
        <v>3.52</v>
      </c>
      <c r="AI196">
        <v>73.13</v>
      </c>
      <c r="AJ196">
        <v>77.64</v>
      </c>
      <c r="AK196">
        <v>74.930000000000007</v>
      </c>
      <c r="AL196">
        <v>86.15</v>
      </c>
      <c r="AM196">
        <v>70.08</v>
      </c>
      <c r="AN196">
        <v>78.12</v>
      </c>
      <c r="AO196">
        <v>1351952</v>
      </c>
    </row>
    <row r="197" spans="1:41" x14ac:dyDescent="0.35">
      <c r="A197" t="s">
        <v>196</v>
      </c>
      <c r="B197">
        <v>12.2</v>
      </c>
      <c r="C197">
        <v>11.47</v>
      </c>
      <c r="D197">
        <v>11.83</v>
      </c>
      <c r="E197">
        <v>14.21</v>
      </c>
      <c r="F197">
        <v>14.36</v>
      </c>
      <c r="G197">
        <v>14.21</v>
      </c>
      <c r="H197">
        <v>88.09</v>
      </c>
      <c r="I197">
        <v>83.17</v>
      </c>
      <c r="J197">
        <v>84.04</v>
      </c>
      <c r="K197">
        <v>7.3</v>
      </c>
      <c r="L197">
        <v>5.17</v>
      </c>
      <c r="M197">
        <v>6.52</v>
      </c>
      <c r="N197">
        <v>74.27</v>
      </c>
      <c r="O197">
        <v>79.33</v>
      </c>
      <c r="P197">
        <v>76.3</v>
      </c>
      <c r="Q197">
        <v>78.63</v>
      </c>
      <c r="R197">
        <v>45.36</v>
      </c>
      <c r="S197">
        <v>62</v>
      </c>
      <c r="T197">
        <v>2167961</v>
      </c>
      <c r="V197" t="str">
        <v>Boyolali</v>
      </c>
      <c r="W197">
        <v>9.0299999999999994</v>
      </c>
      <c r="X197">
        <v>7.88</v>
      </c>
      <c r="Y197">
        <v>8.41</v>
      </c>
      <c r="Z197">
        <v>12.65</v>
      </c>
      <c r="AA197">
        <v>13.62</v>
      </c>
      <c r="AB197">
        <v>12.9</v>
      </c>
      <c r="AC197">
        <v>80.510000000000005</v>
      </c>
      <c r="AD197">
        <v>76.400000000000006</v>
      </c>
      <c r="AE197">
        <v>76.95</v>
      </c>
      <c r="AF197">
        <v>2.2000000000000002</v>
      </c>
      <c r="AG197">
        <v>3.98</v>
      </c>
      <c r="AH197">
        <v>2.97</v>
      </c>
      <c r="AI197">
        <v>74.81</v>
      </c>
      <c r="AJ197">
        <v>78.7</v>
      </c>
      <c r="AK197">
        <v>76.760000000000005</v>
      </c>
      <c r="AL197">
        <v>87.96</v>
      </c>
      <c r="AM197">
        <v>66.37</v>
      </c>
      <c r="AN197">
        <v>77.17</v>
      </c>
      <c r="AO197">
        <v>1109332</v>
      </c>
    </row>
    <row r="198" spans="1:41" x14ac:dyDescent="0.35">
      <c r="A198" t="s">
        <v>197</v>
      </c>
      <c r="B198">
        <v>11.79</v>
      </c>
      <c r="C198">
        <v>11.23</v>
      </c>
      <c r="D198">
        <v>11.53</v>
      </c>
      <c r="E198">
        <v>14.28</v>
      </c>
      <c r="F198">
        <v>13.86</v>
      </c>
      <c r="G198">
        <v>13.86</v>
      </c>
      <c r="H198">
        <v>84.84</v>
      </c>
      <c r="I198">
        <v>79.069999999999993</v>
      </c>
      <c r="J198">
        <v>80.849999999999994</v>
      </c>
      <c r="K198">
        <v>9.14</v>
      </c>
      <c r="L198">
        <v>8.14</v>
      </c>
      <c r="M198">
        <v>8.75</v>
      </c>
      <c r="N198">
        <v>73.989999999999995</v>
      </c>
      <c r="O198">
        <v>78.98</v>
      </c>
      <c r="P198">
        <v>76</v>
      </c>
      <c r="Q198">
        <v>81.87</v>
      </c>
      <c r="R198">
        <v>52.13</v>
      </c>
      <c r="S198">
        <v>67</v>
      </c>
      <c r="T198">
        <v>606375</v>
      </c>
      <c r="V198" t="str">
        <v>Klaten</v>
      </c>
      <c r="W198">
        <v>9.92</v>
      </c>
      <c r="X198">
        <v>8.85</v>
      </c>
      <c r="Y198">
        <v>9.3000000000000007</v>
      </c>
      <c r="Z198">
        <v>13.42</v>
      </c>
      <c r="AA198">
        <v>13.66</v>
      </c>
      <c r="AB198">
        <v>13.44</v>
      </c>
      <c r="AC198">
        <v>80.650000000000006</v>
      </c>
      <c r="AD198">
        <v>77.709999999999994</v>
      </c>
      <c r="AE198">
        <v>78.680000000000007</v>
      </c>
      <c r="AF198">
        <v>3.86</v>
      </c>
      <c r="AG198">
        <v>3.9</v>
      </c>
      <c r="AH198">
        <v>3.88</v>
      </c>
      <c r="AI198">
        <v>75.66</v>
      </c>
      <c r="AJ198">
        <v>79.8</v>
      </c>
      <c r="AK198">
        <v>77.69</v>
      </c>
      <c r="AL198">
        <v>84.06</v>
      </c>
      <c r="AM198">
        <v>67.430000000000007</v>
      </c>
      <c r="AN198">
        <v>75.75</v>
      </c>
      <c r="AO198">
        <v>1300940</v>
      </c>
    </row>
    <row r="199" spans="1:41" x14ac:dyDescent="0.35">
      <c r="A199" t="s">
        <v>198</v>
      </c>
      <c r="B199">
        <v>9.7899999999999991</v>
      </c>
      <c r="C199">
        <v>9.41</v>
      </c>
      <c r="D199">
        <v>9.64</v>
      </c>
      <c r="E199">
        <v>13.44</v>
      </c>
      <c r="F199">
        <v>13.83</v>
      </c>
      <c r="G199">
        <v>13.51</v>
      </c>
      <c r="H199">
        <v>79.25</v>
      </c>
      <c r="I199">
        <v>74.03</v>
      </c>
      <c r="J199">
        <v>76.59</v>
      </c>
      <c r="K199">
        <v>6.98</v>
      </c>
      <c r="L199">
        <v>5.55</v>
      </c>
      <c r="M199">
        <v>6.43</v>
      </c>
      <c r="N199">
        <v>72.89</v>
      </c>
      <c r="O199">
        <v>78.569999999999993</v>
      </c>
      <c r="P199">
        <v>75.66</v>
      </c>
      <c r="Q199">
        <v>81.180000000000007</v>
      </c>
      <c r="R199">
        <v>51.18</v>
      </c>
      <c r="S199">
        <v>66.180000000000007</v>
      </c>
      <c r="T199">
        <v>759370</v>
      </c>
      <c r="V199" t="str">
        <v>Sukoharjo</v>
      </c>
      <c r="W199">
        <v>10.15</v>
      </c>
      <c r="X199">
        <v>9.8800000000000008</v>
      </c>
      <c r="Y199">
        <v>10.02</v>
      </c>
      <c r="Z199">
        <v>13.88</v>
      </c>
      <c r="AA199">
        <v>14.7</v>
      </c>
      <c r="AB199">
        <v>14.03</v>
      </c>
      <c r="AC199">
        <v>81.17</v>
      </c>
      <c r="AD199">
        <v>79.61</v>
      </c>
      <c r="AE199">
        <v>79.900000000000006</v>
      </c>
      <c r="AF199">
        <v>4.95</v>
      </c>
      <c r="AG199">
        <v>3.5</v>
      </c>
      <c r="AH199">
        <v>4.32</v>
      </c>
      <c r="AI199">
        <v>76.599999999999994</v>
      </c>
      <c r="AJ199">
        <v>80.27</v>
      </c>
      <c r="AK199">
        <v>78.209999999999994</v>
      </c>
      <c r="AL199">
        <v>80.14</v>
      </c>
      <c r="AM199">
        <v>59.99</v>
      </c>
      <c r="AN199">
        <v>70.069999999999993</v>
      </c>
      <c r="AO199">
        <v>950424</v>
      </c>
    </row>
    <row r="200" spans="1:41" x14ac:dyDescent="0.35">
      <c r="A200" t="s">
        <v>199</v>
      </c>
      <c r="B200">
        <v>9.26</v>
      </c>
      <c r="C200">
        <v>8.59</v>
      </c>
      <c r="D200">
        <v>8.84</v>
      </c>
      <c r="E200">
        <v>13.61</v>
      </c>
      <c r="F200">
        <v>13.28</v>
      </c>
      <c r="G200">
        <v>13.29</v>
      </c>
      <c r="H200">
        <v>80.03</v>
      </c>
      <c r="I200">
        <v>71.650000000000006</v>
      </c>
      <c r="J200">
        <v>75.540000000000006</v>
      </c>
      <c r="K200">
        <v>5.67</v>
      </c>
      <c r="L200">
        <v>4.6100000000000003</v>
      </c>
      <c r="M200">
        <v>5.26</v>
      </c>
      <c r="N200">
        <v>72.64</v>
      </c>
      <c r="O200">
        <v>78.2</v>
      </c>
      <c r="P200">
        <v>75.349999999999994</v>
      </c>
      <c r="Q200">
        <v>85.74</v>
      </c>
      <c r="R200">
        <v>54.04</v>
      </c>
      <c r="S200">
        <v>69.89</v>
      </c>
      <c r="T200">
        <v>211964</v>
      </c>
      <c r="V200" t="str">
        <v>Wonogiri</v>
      </c>
      <c r="W200">
        <v>8.3699999999999992</v>
      </c>
      <c r="X200">
        <v>7.46</v>
      </c>
      <c r="Y200">
        <v>7.85</v>
      </c>
      <c r="Z200">
        <v>12.64</v>
      </c>
      <c r="AA200">
        <v>12.78</v>
      </c>
      <c r="AB200">
        <v>12.76</v>
      </c>
      <c r="AC200">
        <v>77.25</v>
      </c>
      <c r="AD200">
        <v>71.5</v>
      </c>
      <c r="AE200">
        <v>73.42</v>
      </c>
      <c r="AF200">
        <v>2.39</v>
      </c>
      <c r="AG200">
        <v>1.88</v>
      </c>
      <c r="AH200">
        <v>2.16</v>
      </c>
      <c r="AI200">
        <v>75.2</v>
      </c>
      <c r="AJ200">
        <v>79.25</v>
      </c>
      <c r="AK200">
        <v>77.3</v>
      </c>
      <c r="AL200">
        <v>88.03</v>
      </c>
      <c r="AM200">
        <v>69.430000000000007</v>
      </c>
      <c r="AN200">
        <v>78.73</v>
      </c>
      <c r="AO200">
        <v>1057045</v>
      </c>
    </row>
    <row r="201" spans="1:41" x14ac:dyDescent="0.35">
      <c r="A201" t="s">
        <v>201</v>
      </c>
      <c r="B201">
        <v>8.4700000000000006</v>
      </c>
      <c r="C201">
        <v>7.84</v>
      </c>
      <c r="D201">
        <v>8.15</v>
      </c>
      <c r="E201">
        <v>12.96</v>
      </c>
      <c r="F201">
        <v>13.15</v>
      </c>
      <c r="G201">
        <v>13.05</v>
      </c>
      <c r="H201">
        <v>78.319999999999993</v>
      </c>
      <c r="I201">
        <v>73.41</v>
      </c>
      <c r="J201">
        <v>74.77</v>
      </c>
      <c r="K201">
        <v>4.82</v>
      </c>
      <c r="L201">
        <v>4.43</v>
      </c>
      <c r="M201">
        <v>4.66</v>
      </c>
      <c r="N201">
        <v>73.36</v>
      </c>
      <c r="O201">
        <v>78.069999999999993</v>
      </c>
      <c r="P201">
        <v>75.239999999999995</v>
      </c>
      <c r="Q201">
        <v>85.36</v>
      </c>
      <c r="R201">
        <v>63.37</v>
      </c>
      <c r="S201">
        <v>74.37</v>
      </c>
      <c r="T201">
        <v>38233933</v>
      </c>
      <c r="V201" t="str">
        <v>Karanganyar</v>
      </c>
      <c r="W201">
        <v>9.74</v>
      </c>
      <c r="X201">
        <v>8.75</v>
      </c>
      <c r="Y201">
        <v>9.27</v>
      </c>
      <c r="Z201">
        <v>13.43</v>
      </c>
      <c r="AA201">
        <v>13.82</v>
      </c>
      <c r="AB201">
        <v>13.74</v>
      </c>
      <c r="AC201">
        <v>79.7</v>
      </c>
      <c r="AD201">
        <v>77.430000000000007</v>
      </c>
      <c r="AE201">
        <v>78.67</v>
      </c>
      <c r="AF201">
        <v>4.2</v>
      </c>
      <c r="AG201">
        <v>2.0699999999999998</v>
      </c>
      <c r="AH201">
        <v>3.26</v>
      </c>
      <c r="AI201">
        <v>76.3</v>
      </c>
      <c r="AJ201">
        <v>80.22</v>
      </c>
      <c r="AK201">
        <v>78.209999999999994</v>
      </c>
      <c r="AL201">
        <v>84.76</v>
      </c>
      <c r="AM201">
        <v>65.06</v>
      </c>
      <c r="AN201">
        <v>74.91</v>
      </c>
      <c r="AO201">
        <v>968484</v>
      </c>
    </row>
    <row r="202" spans="1:41" x14ac:dyDescent="0.35">
      <c r="A202" t="s">
        <v>202</v>
      </c>
      <c r="B202">
        <v>7.98</v>
      </c>
      <c r="C202">
        <v>7.27</v>
      </c>
      <c r="D202">
        <v>7.65</v>
      </c>
      <c r="E202">
        <v>13.12</v>
      </c>
      <c r="F202">
        <v>12.7</v>
      </c>
      <c r="G202">
        <v>12.7</v>
      </c>
      <c r="H202">
        <v>78.25</v>
      </c>
      <c r="I202">
        <v>69.03</v>
      </c>
      <c r="J202">
        <v>73.45</v>
      </c>
      <c r="K202">
        <v>6.41</v>
      </c>
      <c r="L202">
        <v>9.07</v>
      </c>
      <c r="M202">
        <v>7.4</v>
      </c>
      <c r="N202">
        <v>73.44</v>
      </c>
      <c r="O202">
        <v>78.14</v>
      </c>
      <c r="P202">
        <v>75.3</v>
      </c>
      <c r="Q202">
        <v>83.27</v>
      </c>
      <c r="R202">
        <v>50.02</v>
      </c>
      <c r="S202">
        <v>66.650000000000006</v>
      </c>
      <c r="T202">
        <v>2046392</v>
      </c>
      <c r="V202" t="str">
        <v>Sragen</v>
      </c>
      <c r="W202">
        <v>8.5</v>
      </c>
      <c r="X202">
        <v>7.4</v>
      </c>
      <c r="Y202">
        <v>7.89</v>
      </c>
      <c r="Z202">
        <v>12.92</v>
      </c>
      <c r="AA202">
        <v>13.28</v>
      </c>
      <c r="AB202">
        <v>13.21</v>
      </c>
      <c r="AC202">
        <v>79.91</v>
      </c>
      <c r="AD202">
        <v>74.430000000000007</v>
      </c>
      <c r="AE202">
        <v>76.38</v>
      </c>
      <c r="AF202">
        <v>2.87</v>
      </c>
      <c r="AG202">
        <v>4.29</v>
      </c>
      <c r="AH202">
        <v>3.49</v>
      </c>
      <c r="AI202">
        <v>74.55</v>
      </c>
      <c r="AJ202">
        <v>78.430000000000007</v>
      </c>
      <c r="AK202">
        <v>76.48</v>
      </c>
      <c r="AL202">
        <v>84.95</v>
      </c>
      <c r="AM202">
        <v>65.03</v>
      </c>
      <c r="AN202">
        <v>74.989999999999995</v>
      </c>
      <c r="AO202">
        <v>1011824</v>
      </c>
    </row>
    <row r="203" spans="1:41" x14ac:dyDescent="0.35">
      <c r="A203" t="s">
        <v>203</v>
      </c>
      <c r="B203">
        <v>8.39</v>
      </c>
      <c r="C203">
        <v>7.83</v>
      </c>
      <c r="D203">
        <v>8.1</v>
      </c>
      <c r="E203">
        <v>13.46</v>
      </c>
      <c r="F203">
        <v>13.64</v>
      </c>
      <c r="G203">
        <v>13.53</v>
      </c>
      <c r="H203">
        <v>79.34</v>
      </c>
      <c r="I203">
        <v>71.41</v>
      </c>
      <c r="J203">
        <v>75.44</v>
      </c>
      <c r="K203">
        <v>6.04</v>
      </c>
      <c r="L203">
        <v>6.58</v>
      </c>
      <c r="M203">
        <v>6.26</v>
      </c>
      <c r="N203">
        <v>72.75</v>
      </c>
      <c r="O203">
        <v>77.459999999999994</v>
      </c>
      <c r="P203">
        <v>74.790000000000006</v>
      </c>
      <c r="Q203">
        <v>82.95</v>
      </c>
      <c r="R203">
        <v>56.79</v>
      </c>
      <c r="S203">
        <v>69.87</v>
      </c>
      <c r="T203">
        <v>1865270</v>
      </c>
      <c r="V203" t="str">
        <v>Grobogan</v>
      </c>
      <c r="W203">
        <v>7.9</v>
      </c>
      <c r="X203">
        <v>7.03</v>
      </c>
      <c r="Y203">
        <v>7.51</v>
      </c>
      <c r="Z203">
        <v>13.91</v>
      </c>
      <c r="AA203">
        <v>12.58</v>
      </c>
      <c r="AB203">
        <v>12.58</v>
      </c>
      <c r="AC203">
        <v>78.97</v>
      </c>
      <c r="AD203">
        <v>68.709999999999994</v>
      </c>
      <c r="AE203">
        <v>72.94</v>
      </c>
      <c r="AF203">
        <v>2.92</v>
      </c>
      <c r="AG203">
        <v>3.36</v>
      </c>
      <c r="AH203">
        <v>3.12</v>
      </c>
      <c r="AI203">
        <v>73.7</v>
      </c>
      <c r="AJ203">
        <v>77.510000000000005</v>
      </c>
      <c r="AK203">
        <v>75.569999999999993</v>
      </c>
      <c r="AL203">
        <v>87.53</v>
      </c>
      <c r="AM203">
        <v>67.69</v>
      </c>
      <c r="AN203">
        <v>77.61</v>
      </c>
      <c r="AO203">
        <v>1519382</v>
      </c>
    </row>
    <row r="204" spans="1:41" x14ac:dyDescent="0.35">
      <c r="A204" t="s">
        <v>204</v>
      </c>
      <c r="B204">
        <v>7.6</v>
      </c>
      <c r="C204">
        <v>7.24</v>
      </c>
      <c r="D204">
        <v>7.37</v>
      </c>
      <c r="E204">
        <v>12.26</v>
      </c>
      <c r="F204">
        <v>12.1</v>
      </c>
      <c r="G204">
        <v>12.11</v>
      </c>
      <c r="H204">
        <v>75.11</v>
      </c>
      <c r="I204">
        <v>70.86</v>
      </c>
      <c r="J204">
        <v>71.709999999999994</v>
      </c>
      <c r="K204">
        <v>5.2</v>
      </c>
      <c r="L204">
        <v>4.3099999999999996</v>
      </c>
      <c r="M204">
        <v>4.83</v>
      </c>
      <c r="N204">
        <v>72.569999999999993</v>
      </c>
      <c r="O204">
        <v>77.069999999999993</v>
      </c>
      <c r="P204">
        <v>74.48</v>
      </c>
      <c r="Q204">
        <v>87.27</v>
      </c>
      <c r="R204">
        <v>63.23</v>
      </c>
      <c r="S204">
        <v>75.25</v>
      </c>
      <c r="T204">
        <v>1047755</v>
      </c>
      <c r="V204" t="str">
        <v>Blora</v>
      </c>
      <c r="W204">
        <v>7.86</v>
      </c>
      <c r="X204">
        <v>7.2</v>
      </c>
      <c r="Y204">
        <v>7.45</v>
      </c>
      <c r="Z204">
        <v>12.99</v>
      </c>
      <c r="AA204">
        <v>12.83</v>
      </c>
      <c r="AB204">
        <v>12.83</v>
      </c>
      <c r="AC204">
        <v>77</v>
      </c>
      <c r="AD204">
        <v>66.59</v>
      </c>
      <c r="AE204">
        <v>72.349999999999994</v>
      </c>
      <c r="AF204">
        <v>4.08</v>
      </c>
      <c r="AG204">
        <v>3.01</v>
      </c>
      <c r="AH204">
        <v>3.61</v>
      </c>
      <c r="AI204">
        <v>73.36</v>
      </c>
      <c r="AJ204">
        <v>77.209999999999994</v>
      </c>
      <c r="AK204">
        <v>75.23</v>
      </c>
      <c r="AL204">
        <v>87.52</v>
      </c>
      <c r="AM204">
        <v>67.849999999999994</v>
      </c>
      <c r="AN204">
        <v>77.69</v>
      </c>
      <c r="AO204">
        <v>914172</v>
      </c>
    </row>
    <row r="205" spans="1:41" x14ac:dyDescent="0.35">
      <c r="A205" t="s">
        <v>205</v>
      </c>
      <c r="B205">
        <v>7.24</v>
      </c>
      <c r="C205">
        <v>6.96</v>
      </c>
      <c r="D205">
        <v>7.1</v>
      </c>
      <c r="E205">
        <v>12.03</v>
      </c>
      <c r="F205">
        <v>12.04</v>
      </c>
      <c r="G205">
        <v>12.04</v>
      </c>
      <c r="H205">
        <v>72.540000000000006</v>
      </c>
      <c r="I205">
        <v>69.02</v>
      </c>
      <c r="J205">
        <v>70.61</v>
      </c>
      <c r="K205">
        <v>3.89</v>
      </c>
      <c r="L205">
        <v>7.56</v>
      </c>
      <c r="M205">
        <v>5.39</v>
      </c>
      <c r="N205">
        <v>73.19</v>
      </c>
      <c r="O205">
        <v>76.819999999999993</v>
      </c>
      <c r="P205">
        <v>74.86</v>
      </c>
      <c r="Q205">
        <v>86.44</v>
      </c>
      <c r="R205">
        <v>61.1</v>
      </c>
      <c r="S205">
        <v>73.77</v>
      </c>
      <c r="T205">
        <v>1067606</v>
      </c>
      <c r="V205" t="str">
        <v>Rembang</v>
      </c>
      <c r="W205">
        <v>8.4</v>
      </c>
      <c r="X205">
        <v>7.41</v>
      </c>
      <c r="Y205">
        <v>7.89</v>
      </c>
      <c r="Z205">
        <v>12.33</v>
      </c>
      <c r="AA205">
        <v>12.63</v>
      </c>
      <c r="AB205">
        <v>12.5</v>
      </c>
      <c r="AC205">
        <v>77.790000000000006</v>
      </c>
      <c r="AD205">
        <v>69.05</v>
      </c>
      <c r="AE205">
        <v>73.400000000000006</v>
      </c>
      <c r="AF205">
        <v>2.69</v>
      </c>
      <c r="AG205">
        <v>3.18</v>
      </c>
      <c r="AH205">
        <v>2.9</v>
      </c>
      <c r="AI205">
        <v>73.400000000000006</v>
      </c>
      <c r="AJ205">
        <v>78.14</v>
      </c>
      <c r="AK205">
        <v>75.290000000000006</v>
      </c>
      <c r="AL205">
        <v>87.76</v>
      </c>
      <c r="AM205">
        <v>64.17</v>
      </c>
      <c r="AN205">
        <v>75.97</v>
      </c>
      <c r="AO205">
        <v>670095</v>
      </c>
    </row>
    <row r="206" spans="1:41" x14ac:dyDescent="0.35">
      <c r="A206" t="s">
        <v>206</v>
      </c>
      <c r="B206">
        <v>8.25</v>
      </c>
      <c r="C206">
        <v>7.55</v>
      </c>
      <c r="D206">
        <v>7.89</v>
      </c>
      <c r="E206">
        <v>13.42</v>
      </c>
      <c r="F206">
        <v>13.59</v>
      </c>
      <c r="G206">
        <v>13.42</v>
      </c>
      <c r="H206">
        <v>76.62</v>
      </c>
      <c r="I206">
        <v>71.72</v>
      </c>
      <c r="J206">
        <v>73.17</v>
      </c>
      <c r="K206">
        <v>4.97</v>
      </c>
      <c r="L206">
        <v>4.93</v>
      </c>
      <c r="M206">
        <v>4.95</v>
      </c>
      <c r="N206">
        <v>73.66</v>
      </c>
      <c r="O206">
        <v>77.55</v>
      </c>
      <c r="P206">
        <v>75.56</v>
      </c>
      <c r="Q206">
        <v>85.74</v>
      </c>
      <c r="R206">
        <v>66.41</v>
      </c>
      <c r="S206">
        <v>76.08</v>
      </c>
      <c r="T206">
        <v>1431777</v>
      </c>
      <c r="V206" t="str">
        <v>Pati</v>
      </c>
      <c r="W206">
        <v>8.68</v>
      </c>
      <c r="X206">
        <v>7.78</v>
      </c>
      <c r="Y206">
        <v>8.09</v>
      </c>
      <c r="Z206">
        <v>13.11</v>
      </c>
      <c r="AA206">
        <v>13.08</v>
      </c>
      <c r="AB206">
        <v>13.08</v>
      </c>
      <c r="AC206">
        <v>79.25</v>
      </c>
      <c r="AD206">
        <v>73.45</v>
      </c>
      <c r="AE206">
        <v>74.98</v>
      </c>
      <c r="AF206">
        <v>4.76</v>
      </c>
      <c r="AG206">
        <v>2.39</v>
      </c>
      <c r="AH206">
        <v>3.71</v>
      </c>
      <c r="AI206">
        <v>74.94</v>
      </c>
      <c r="AJ206">
        <v>78.709999999999994</v>
      </c>
      <c r="AK206">
        <v>76.83</v>
      </c>
      <c r="AL206">
        <v>86.65</v>
      </c>
      <c r="AM206">
        <v>67.66</v>
      </c>
      <c r="AN206">
        <v>77.16</v>
      </c>
      <c r="AO206">
        <v>1381912</v>
      </c>
    </row>
    <row r="207" spans="1:41" x14ac:dyDescent="0.35">
      <c r="A207" t="s">
        <v>207</v>
      </c>
      <c r="B207">
        <v>9.31</v>
      </c>
      <c r="C207">
        <v>8.36</v>
      </c>
      <c r="D207">
        <v>8.74</v>
      </c>
      <c r="E207">
        <v>13.7</v>
      </c>
      <c r="F207">
        <v>13.58</v>
      </c>
      <c r="G207">
        <v>13.58</v>
      </c>
      <c r="H207">
        <v>78.23</v>
      </c>
      <c r="I207">
        <v>74.77</v>
      </c>
      <c r="J207">
        <v>75.930000000000007</v>
      </c>
      <c r="K207">
        <v>3.92</v>
      </c>
      <c r="L207">
        <v>3.47</v>
      </c>
      <c r="M207">
        <v>3.72</v>
      </c>
      <c r="N207">
        <v>74.08</v>
      </c>
      <c r="O207">
        <v>78.03</v>
      </c>
      <c r="P207">
        <v>76.06</v>
      </c>
      <c r="Q207">
        <v>85.83</v>
      </c>
      <c r="R207">
        <v>64.2</v>
      </c>
      <c r="S207">
        <v>75.02</v>
      </c>
      <c r="T207">
        <v>801670</v>
      </c>
      <c r="V207" t="str">
        <v>Kudus</v>
      </c>
      <c r="W207">
        <v>9.6999999999999993</v>
      </c>
      <c r="X207">
        <v>9.17</v>
      </c>
      <c r="Y207">
        <v>9.51</v>
      </c>
      <c r="Z207">
        <v>13.25</v>
      </c>
      <c r="AA207">
        <v>13.83</v>
      </c>
      <c r="AB207">
        <v>13.49</v>
      </c>
      <c r="AC207">
        <v>81.180000000000007</v>
      </c>
      <c r="AD207">
        <v>76.819999999999993</v>
      </c>
      <c r="AE207">
        <v>77.94</v>
      </c>
      <c r="AF207">
        <v>4.4000000000000004</v>
      </c>
      <c r="AG207">
        <v>1.78</v>
      </c>
      <c r="AH207">
        <v>3.23</v>
      </c>
      <c r="AI207">
        <v>75.459999999999994</v>
      </c>
      <c r="AJ207">
        <v>79.069999999999993</v>
      </c>
      <c r="AK207">
        <v>77.209999999999994</v>
      </c>
      <c r="AL207">
        <v>84.84</v>
      </c>
      <c r="AM207">
        <v>66.78</v>
      </c>
      <c r="AN207">
        <v>75.81</v>
      </c>
      <c r="AO207">
        <v>891721</v>
      </c>
    </row>
    <row r="208" spans="1:41" x14ac:dyDescent="0.35">
      <c r="A208" t="s">
        <v>208</v>
      </c>
      <c r="B208">
        <v>7.16</v>
      </c>
      <c r="C208">
        <v>6.79</v>
      </c>
      <c r="D208">
        <v>6.91</v>
      </c>
      <c r="E208">
        <v>12.07</v>
      </c>
      <c r="F208">
        <v>12.03</v>
      </c>
      <c r="G208">
        <v>12.05</v>
      </c>
      <c r="H208">
        <v>74.94</v>
      </c>
      <c r="I208">
        <v>69.86</v>
      </c>
      <c r="J208">
        <v>71.5</v>
      </c>
      <c r="K208">
        <v>4.5199999999999996</v>
      </c>
      <c r="L208">
        <v>3.23</v>
      </c>
      <c r="M208">
        <v>3.99</v>
      </c>
      <c r="N208">
        <v>72.61</v>
      </c>
      <c r="O208">
        <v>76.61</v>
      </c>
      <c r="P208">
        <v>74.56</v>
      </c>
      <c r="Q208">
        <v>87.84</v>
      </c>
      <c r="R208">
        <v>63.25</v>
      </c>
      <c r="S208">
        <v>75.55</v>
      </c>
      <c r="T208">
        <v>931142</v>
      </c>
      <c r="V208" t="str">
        <v>Jepara</v>
      </c>
      <c r="W208">
        <v>8.6999999999999993</v>
      </c>
      <c r="X208">
        <v>7.88</v>
      </c>
      <c r="Y208">
        <v>8.2799999999999994</v>
      </c>
      <c r="Z208">
        <v>12.78</v>
      </c>
      <c r="AA208">
        <v>13.27</v>
      </c>
      <c r="AB208">
        <v>12.87</v>
      </c>
      <c r="AC208">
        <v>78.709999999999994</v>
      </c>
      <c r="AD208">
        <v>72.34</v>
      </c>
      <c r="AE208">
        <v>74.900000000000006</v>
      </c>
      <c r="AF208">
        <v>3.22</v>
      </c>
      <c r="AG208">
        <v>3.41</v>
      </c>
      <c r="AH208">
        <v>3.3</v>
      </c>
      <c r="AI208">
        <v>74.61</v>
      </c>
      <c r="AJ208">
        <v>78.42</v>
      </c>
      <c r="AK208">
        <v>76.489999999999995</v>
      </c>
      <c r="AL208">
        <v>83.5</v>
      </c>
      <c r="AM208">
        <v>63.47</v>
      </c>
      <c r="AN208">
        <v>73.489999999999995</v>
      </c>
      <c r="AO208">
        <v>1244314</v>
      </c>
    </row>
    <row r="209" spans="1:41" x14ac:dyDescent="0.35">
      <c r="A209" t="s">
        <v>209</v>
      </c>
      <c r="B209">
        <v>8.3699999999999992</v>
      </c>
      <c r="C209">
        <v>7.76</v>
      </c>
      <c r="D209">
        <v>8.0399999999999991</v>
      </c>
      <c r="E209">
        <v>12.83</v>
      </c>
      <c r="F209">
        <v>13.08</v>
      </c>
      <c r="G209">
        <v>12.83</v>
      </c>
      <c r="H209">
        <v>77.16</v>
      </c>
      <c r="I209">
        <v>72</v>
      </c>
      <c r="J209">
        <v>73.09</v>
      </c>
      <c r="K209">
        <v>3.09</v>
      </c>
      <c r="L209">
        <v>4.0599999999999996</v>
      </c>
      <c r="M209">
        <v>3.52</v>
      </c>
      <c r="N209">
        <v>73.13</v>
      </c>
      <c r="O209">
        <v>77.64</v>
      </c>
      <c r="P209">
        <v>74.930000000000007</v>
      </c>
      <c r="Q209">
        <v>86.15</v>
      </c>
      <c r="R209">
        <v>70.08</v>
      </c>
      <c r="S209">
        <v>78.12</v>
      </c>
      <c r="T209">
        <v>1351952</v>
      </c>
      <c r="V209" t="str">
        <v>Demak</v>
      </c>
      <c r="W209">
        <v>8.83</v>
      </c>
      <c r="X209">
        <v>7.89</v>
      </c>
      <c r="Y209">
        <v>8.2899999999999991</v>
      </c>
      <c r="Z209">
        <v>13.35</v>
      </c>
      <c r="AA209">
        <v>13.58</v>
      </c>
      <c r="AB209">
        <v>13.37</v>
      </c>
      <c r="AC209">
        <v>79.61</v>
      </c>
      <c r="AD209">
        <v>72.819999999999993</v>
      </c>
      <c r="AE209">
        <v>75.08</v>
      </c>
      <c r="AF209">
        <v>4.25</v>
      </c>
      <c r="AG209">
        <v>5.04</v>
      </c>
      <c r="AH209">
        <v>4.58</v>
      </c>
      <c r="AI209">
        <v>74.16</v>
      </c>
      <c r="AJ209">
        <v>77.97</v>
      </c>
      <c r="AK209">
        <v>76.08</v>
      </c>
      <c r="AL209">
        <v>85.59</v>
      </c>
      <c r="AM209">
        <v>60.41</v>
      </c>
      <c r="AN209">
        <v>73</v>
      </c>
      <c r="AO209">
        <v>1265053</v>
      </c>
    </row>
    <row r="210" spans="1:41" x14ac:dyDescent="0.35">
      <c r="A210" t="s">
        <v>210</v>
      </c>
      <c r="B210">
        <v>9.0299999999999994</v>
      </c>
      <c r="C210">
        <v>7.88</v>
      </c>
      <c r="D210">
        <v>8.41</v>
      </c>
      <c r="E210">
        <v>12.65</v>
      </c>
      <c r="F210">
        <v>13.62</v>
      </c>
      <c r="G210">
        <v>12.9</v>
      </c>
      <c r="H210">
        <v>80.510000000000005</v>
      </c>
      <c r="I210">
        <v>76.400000000000006</v>
      </c>
      <c r="J210">
        <v>76.95</v>
      </c>
      <c r="K210">
        <v>2.2000000000000002</v>
      </c>
      <c r="L210">
        <v>3.98</v>
      </c>
      <c r="M210">
        <v>2.97</v>
      </c>
      <c r="N210">
        <v>74.81</v>
      </c>
      <c r="O210">
        <v>78.7</v>
      </c>
      <c r="P210">
        <v>76.760000000000005</v>
      </c>
      <c r="Q210">
        <v>87.96</v>
      </c>
      <c r="R210">
        <v>66.37</v>
      </c>
      <c r="S210">
        <v>77.17</v>
      </c>
      <c r="T210">
        <v>1109332</v>
      </c>
      <c r="V210" t="str">
        <v>Semarang</v>
      </c>
      <c r="W210">
        <v>8.59</v>
      </c>
      <c r="X210">
        <v>7.95</v>
      </c>
      <c r="Y210">
        <v>8.17</v>
      </c>
      <c r="Z210">
        <v>13.38</v>
      </c>
      <c r="AA210">
        <v>13.07</v>
      </c>
      <c r="AB210">
        <v>13.23</v>
      </c>
      <c r="AC210">
        <v>78.19</v>
      </c>
      <c r="AD210">
        <v>75.41</v>
      </c>
      <c r="AE210">
        <v>76.400000000000006</v>
      </c>
      <c r="AF210">
        <v>3.83</v>
      </c>
      <c r="AG210">
        <v>3.37</v>
      </c>
      <c r="AH210">
        <v>3.63</v>
      </c>
      <c r="AI210">
        <v>74.52</v>
      </c>
      <c r="AJ210">
        <v>78.34</v>
      </c>
      <c r="AK210">
        <v>76.45</v>
      </c>
      <c r="AL210">
        <v>88.76</v>
      </c>
      <c r="AM210">
        <v>71.16</v>
      </c>
      <c r="AN210">
        <v>79.959999999999994</v>
      </c>
      <c r="AO210">
        <v>1098572</v>
      </c>
    </row>
    <row r="211" spans="1:41" x14ac:dyDescent="0.35">
      <c r="A211" t="s">
        <v>211</v>
      </c>
      <c r="B211">
        <v>9.92</v>
      </c>
      <c r="C211">
        <v>8.85</v>
      </c>
      <c r="D211">
        <v>9.3000000000000007</v>
      </c>
      <c r="E211">
        <v>13.42</v>
      </c>
      <c r="F211">
        <v>13.66</v>
      </c>
      <c r="G211">
        <v>13.44</v>
      </c>
      <c r="H211">
        <v>80.650000000000006</v>
      </c>
      <c r="I211">
        <v>77.709999999999994</v>
      </c>
      <c r="J211">
        <v>78.680000000000007</v>
      </c>
      <c r="K211">
        <v>3.86</v>
      </c>
      <c r="L211">
        <v>3.9</v>
      </c>
      <c r="M211">
        <v>3.88</v>
      </c>
      <c r="N211">
        <v>75.66</v>
      </c>
      <c r="O211">
        <v>79.8</v>
      </c>
      <c r="P211">
        <v>77.69</v>
      </c>
      <c r="Q211">
        <v>84.06</v>
      </c>
      <c r="R211">
        <v>67.430000000000007</v>
      </c>
      <c r="S211">
        <v>75.75</v>
      </c>
      <c r="T211">
        <v>1300940</v>
      </c>
      <c r="V211" t="str">
        <v>Temanggung</v>
      </c>
      <c r="W211">
        <v>7.76</v>
      </c>
      <c r="X211">
        <v>7.48</v>
      </c>
      <c r="Y211">
        <v>7.61</v>
      </c>
      <c r="Z211">
        <v>12.55</v>
      </c>
      <c r="AA211">
        <v>12.87</v>
      </c>
      <c r="AB211">
        <v>12.63</v>
      </c>
      <c r="AC211">
        <v>74.61</v>
      </c>
      <c r="AD211">
        <v>71.63</v>
      </c>
      <c r="AE211">
        <v>72.52</v>
      </c>
      <c r="AF211">
        <v>2.15</v>
      </c>
      <c r="AG211">
        <v>2.52</v>
      </c>
      <c r="AH211">
        <v>2.31</v>
      </c>
      <c r="AI211">
        <v>74.430000000000007</v>
      </c>
      <c r="AJ211">
        <v>78.05</v>
      </c>
      <c r="AK211">
        <v>76.16</v>
      </c>
      <c r="AL211">
        <v>86.36</v>
      </c>
      <c r="AM211">
        <v>69.2</v>
      </c>
      <c r="AN211">
        <v>77.78</v>
      </c>
      <c r="AO211">
        <v>821118</v>
      </c>
    </row>
    <row r="212" spans="1:41" x14ac:dyDescent="0.35">
      <c r="A212" t="s">
        <v>212</v>
      </c>
      <c r="B212">
        <v>10.15</v>
      </c>
      <c r="C212">
        <v>9.8800000000000008</v>
      </c>
      <c r="D212">
        <v>10.02</v>
      </c>
      <c r="E212">
        <v>13.88</v>
      </c>
      <c r="F212">
        <v>14.7</v>
      </c>
      <c r="G212">
        <v>14.03</v>
      </c>
      <c r="H212">
        <v>81.17</v>
      </c>
      <c r="I212">
        <v>79.61</v>
      </c>
      <c r="J212">
        <v>79.900000000000006</v>
      </c>
      <c r="K212">
        <v>4.95</v>
      </c>
      <c r="L212">
        <v>3.5</v>
      </c>
      <c r="M212">
        <v>4.32</v>
      </c>
      <c r="N212">
        <v>76.599999999999994</v>
      </c>
      <c r="O212">
        <v>80.27</v>
      </c>
      <c r="P212">
        <v>78.209999999999994</v>
      </c>
      <c r="Q212">
        <v>80.14</v>
      </c>
      <c r="R212">
        <v>59.99</v>
      </c>
      <c r="S212">
        <v>70.069999999999993</v>
      </c>
      <c r="T212">
        <v>950424</v>
      </c>
      <c r="V212" t="str">
        <v>Kendal</v>
      </c>
      <c r="W212">
        <v>8.42</v>
      </c>
      <c r="X212">
        <v>7.52</v>
      </c>
      <c r="Y212">
        <v>7.97</v>
      </c>
      <c r="Z212">
        <v>13</v>
      </c>
      <c r="AA212">
        <v>13.41</v>
      </c>
      <c r="AB212">
        <v>13.01</v>
      </c>
      <c r="AC212">
        <v>78.209999999999994</v>
      </c>
      <c r="AD212">
        <v>73.75</v>
      </c>
      <c r="AE212">
        <v>75.069999999999993</v>
      </c>
      <c r="AF212">
        <v>4.26</v>
      </c>
      <c r="AG212">
        <v>5.07</v>
      </c>
      <c r="AH212">
        <v>4.5999999999999996</v>
      </c>
      <c r="AI212">
        <v>73.2</v>
      </c>
      <c r="AJ212">
        <v>76.900000000000006</v>
      </c>
      <c r="AK212">
        <v>74.959999999999994</v>
      </c>
      <c r="AL212">
        <v>88.03</v>
      </c>
      <c r="AM212">
        <v>64.8</v>
      </c>
      <c r="AN212">
        <v>76.42</v>
      </c>
      <c r="AO212">
        <v>1076483</v>
      </c>
    </row>
    <row r="213" spans="1:41" x14ac:dyDescent="0.35">
      <c r="A213" t="s">
        <v>213</v>
      </c>
      <c r="B213">
        <v>8.3699999999999992</v>
      </c>
      <c r="C213">
        <v>7.46</v>
      </c>
      <c r="D213">
        <v>7.85</v>
      </c>
      <c r="E213">
        <v>12.64</v>
      </c>
      <c r="F213">
        <v>12.78</v>
      </c>
      <c r="G213">
        <v>12.76</v>
      </c>
      <c r="H213">
        <v>77.25</v>
      </c>
      <c r="I213">
        <v>71.5</v>
      </c>
      <c r="J213">
        <v>73.42</v>
      </c>
      <c r="K213">
        <v>2.39</v>
      </c>
      <c r="L213">
        <v>1.88</v>
      </c>
      <c r="M213">
        <v>2.16</v>
      </c>
      <c r="N213">
        <v>75.2</v>
      </c>
      <c r="O213">
        <v>79.25</v>
      </c>
      <c r="P213">
        <v>77.3</v>
      </c>
      <c r="Q213">
        <v>88.03</v>
      </c>
      <c r="R213">
        <v>69.430000000000007</v>
      </c>
      <c r="S213">
        <v>78.73</v>
      </c>
      <c r="T213">
        <v>1057045</v>
      </c>
      <c r="V213" t="str">
        <v>Batang</v>
      </c>
      <c r="W213">
        <v>7.58</v>
      </c>
      <c r="X213">
        <v>7.07</v>
      </c>
      <c r="Y213">
        <v>7.35</v>
      </c>
      <c r="Z213">
        <v>12.01</v>
      </c>
      <c r="AA213">
        <v>12.46</v>
      </c>
      <c r="AB213">
        <v>12.18</v>
      </c>
      <c r="AC213">
        <v>74.92</v>
      </c>
      <c r="AD213">
        <v>69.84</v>
      </c>
      <c r="AE213">
        <v>71.7</v>
      </c>
      <c r="AF213">
        <v>3.48</v>
      </c>
      <c r="AG213">
        <v>7.25</v>
      </c>
      <c r="AH213">
        <v>5.07</v>
      </c>
      <c r="AI213">
        <v>73.48</v>
      </c>
      <c r="AJ213">
        <v>77.25</v>
      </c>
      <c r="AK213">
        <v>75.349999999999994</v>
      </c>
      <c r="AL213">
        <v>89.61</v>
      </c>
      <c r="AM213">
        <v>65.95</v>
      </c>
      <c r="AN213">
        <v>77.78</v>
      </c>
      <c r="AO213">
        <v>847175</v>
      </c>
    </row>
    <row r="214" spans="1:41" x14ac:dyDescent="0.35">
      <c r="A214" t="s">
        <v>214</v>
      </c>
      <c r="B214">
        <v>9.74</v>
      </c>
      <c r="C214">
        <v>8.75</v>
      </c>
      <c r="D214">
        <v>9.27</v>
      </c>
      <c r="E214">
        <v>13.43</v>
      </c>
      <c r="F214">
        <v>13.82</v>
      </c>
      <c r="G214">
        <v>13.74</v>
      </c>
      <c r="H214">
        <v>79.7</v>
      </c>
      <c r="I214">
        <v>77.430000000000007</v>
      </c>
      <c r="J214">
        <v>78.67</v>
      </c>
      <c r="K214">
        <v>4.2</v>
      </c>
      <c r="L214">
        <v>2.0699999999999998</v>
      </c>
      <c r="M214">
        <v>3.26</v>
      </c>
      <c r="N214">
        <v>76.3</v>
      </c>
      <c r="O214">
        <v>80.22</v>
      </c>
      <c r="P214">
        <v>78.209999999999994</v>
      </c>
      <c r="Q214">
        <v>84.76</v>
      </c>
      <c r="R214">
        <v>65.06</v>
      </c>
      <c r="S214">
        <v>74.91</v>
      </c>
      <c r="T214">
        <v>968484</v>
      </c>
      <c r="V214" t="str">
        <v>Pekalongan</v>
      </c>
      <c r="W214">
        <v>7.85</v>
      </c>
      <c r="X214">
        <v>7.26</v>
      </c>
      <c r="Y214">
        <v>7.5</v>
      </c>
      <c r="Z214">
        <v>12.28</v>
      </c>
      <c r="AA214">
        <v>13.2</v>
      </c>
      <c r="AB214">
        <v>12.63</v>
      </c>
      <c r="AC214">
        <v>76.099999999999994</v>
      </c>
      <c r="AD214">
        <v>70.930000000000007</v>
      </c>
      <c r="AE214">
        <v>72.709999999999994</v>
      </c>
      <c r="AF214">
        <v>3.31</v>
      </c>
      <c r="AG214">
        <v>3.14</v>
      </c>
      <c r="AH214">
        <v>3.24</v>
      </c>
      <c r="AI214">
        <v>72.62</v>
      </c>
      <c r="AJ214">
        <v>76.48</v>
      </c>
      <c r="AK214">
        <v>74.59</v>
      </c>
      <c r="AL214">
        <v>86.1</v>
      </c>
      <c r="AM214">
        <v>68.2</v>
      </c>
      <c r="AN214">
        <v>77.150000000000006</v>
      </c>
      <c r="AO214">
        <v>1030342</v>
      </c>
    </row>
    <row r="215" spans="1:41" x14ac:dyDescent="0.35">
      <c r="A215" t="s">
        <v>215</v>
      </c>
      <c r="B215">
        <v>8.5</v>
      </c>
      <c r="C215">
        <v>7.4</v>
      </c>
      <c r="D215">
        <v>7.89</v>
      </c>
      <c r="E215">
        <v>12.92</v>
      </c>
      <c r="F215">
        <v>13.28</v>
      </c>
      <c r="G215">
        <v>13.21</v>
      </c>
      <c r="H215">
        <v>79.91</v>
      </c>
      <c r="I215">
        <v>74.430000000000007</v>
      </c>
      <c r="J215">
        <v>76.38</v>
      </c>
      <c r="K215">
        <v>2.87</v>
      </c>
      <c r="L215">
        <v>4.29</v>
      </c>
      <c r="M215">
        <v>3.49</v>
      </c>
      <c r="N215">
        <v>74.55</v>
      </c>
      <c r="O215">
        <v>78.430000000000007</v>
      </c>
      <c r="P215">
        <v>76.48</v>
      </c>
      <c r="Q215">
        <v>84.95</v>
      </c>
      <c r="R215">
        <v>65.03</v>
      </c>
      <c r="S215">
        <v>74.989999999999995</v>
      </c>
      <c r="T215">
        <v>1011824</v>
      </c>
      <c r="V215" t="str">
        <v>Pemalang</v>
      </c>
      <c r="W215">
        <v>7.16</v>
      </c>
      <c r="X215">
        <v>6.31</v>
      </c>
      <c r="Y215">
        <v>6.69</v>
      </c>
      <c r="Z215">
        <v>12.25</v>
      </c>
      <c r="AA215">
        <v>12.03</v>
      </c>
      <c r="AB215">
        <v>12.03</v>
      </c>
      <c r="AC215">
        <v>74.180000000000007</v>
      </c>
      <c r="AD215">
        <v>65.06</v>
      </c>
      <c r="AE215">
        <v>69.47</v>
      </c>
      <c r="AF215">
        <v>8.08</v>
      </c>
      <c r="AG215">
        <v>4.4000000000000004</v>
      </c>
      <c r="AH215">
        <v>6.61</v>
      </c>
      <c r="AI215">
        <v>72.62</v>
      </c>
      <c r="AJ215">
        <v>76.53</v>
      </c>
      <c r="AK215">
        <v>74.55</v>
      </c>
      <c r="AL215">
        <v>85.79</v>
      </c>
      <c r="AM215">
        <v>57.88</v>
      </c>
      <c r="AN215">
        <v>71.84</v>
      </c>
      <c r="AO215">
        <v>1559306</v>
      </c>
    </row>
    <row r="216" spans="1:41" x14ac:dyDescent="0.35">
      <c r="A216" t="s">
        <v>216</v>
      </c>
      <c r="B216">
        <v>7.9</v>
      </c>
      <c r="C216">
        <v>7.03</v>
      </c>
      <c r="D216">
        <v>7.51</v>
      </c>
      <c r="E216">
        <v>13.91</v>
      </c>
      <c r="F216">
        <v>12.58</v>
      </c>
      <c r="G216">
        <v>12.58</v>
      </c>
      <c r="H216">
        <v>78.97</v>
      </c>
      <c r="I216">
        <v>68.709999999999994</v>
      </c>
      <c r="J216">
        <v>72.94</v>
      </c>
      <c r="K216">
        <v>2.92</v>
      </c>
      <c r="L216">
        <v>3.36</v>
      </c>
      <c r="M216">
        <v>3.12</v>
      </c>
      <c r="N216">
        <v>73.7</v>
      </c>
      <c r="O216">
        <v>77.510000000000005</v>
      </c>
      <c r="P216">
        <v>75.569999999999993</v>
      </c>
      <c r="Q216">
        <v>87.53</v>
      </c>
      <c r="R216">
        <v>67.69</v>
      </c>
      <c r="S216">
        <v>77.61</v>
      </c>
      <c r="T216">
        <v>1519382</v>
      </c>
      <c r="V216" t="str">
        <v>Tegal</v>
      </c>
      <c r="W216">
        <v>7.84</v>
      </c>
      <c r="X216">
        <v>6.91</v>
      </c>
      <c r="Y216">
        <v>7.37</v>
      </c>
      <c r="Z216">
        <v>13.29</v>
      </c>
      <c r="AA216">
        <v>12.9</v>
      </c>
      <c r="AB216">
        <v>12.97</v>
      </c>
      <c r="AC216">
        <v>77.31</v>
      </c>
      <c r="AD216">
        <v>68.94</v>
      </c>
      <c r="AE216">
        <v>72.36</v>
      </c>
      <c r="AF216">
        <v>8.3699999999999992</v>
      </c>
      <c r="AG216">
        <v>6.55</v>
      </c>
      <c r="AH216">
        <v>7.61</v>
      </c>
      <c r="AI216">
        <v>72.67</v>
      </c>
      <c r="AJ216">
        <v>76.61</v>
      </c>
      <c r="AK216">
        <v>74.62</v>
      </c>
      <c r="AL216">
        <v>83.37</v>
      </c>
      <c r="AM216">
        <v>60.44</v>
      </c>
      <c r="AN216">
        <v>71.91</v>
      </c>
      <c r="AO216">
        <v>1694235</v>
      </c>
    </row>
    <row r="217" spans="1:41" x14ac:dyDescent="0.35">
      <c r="A217" t="s">
        <v>217</v>
      </c>
      <c r="B217">
        <v>7.86</v>
      </c>
      <c r="C217">
        <v>7.2</v>
      </c>
      <c r="D217">
        <v>7.45</v>
      </c>
      <c r="E217">
        <v>12.99</v>
      </c>
      <c r="F217">
        <v>12.83</v>
      </c>
      <c r="G217">
        <v>12.83</v>
      </c>
      <c r="H217">
        <v>77</v>
      </c>
      <c r="I217">
        <v>66.59</v>
      </c>
      <c r="J217">
        <v>72.349999999999994</v>
      </c>
      <c r="K217">
        <v>4.08</v>
      </c>
      <c r="L217">
        <v>3.01</v>
      </c>
      <c r="M217">
        <v>3.61</v>
      </c>
      <c r="N217">
        <v>73.36</v>
      </c>
      <c r="O217">
        <v>77.209999999999994</v>
      </c>
      <c r="P217">
        <v>75.23</v>
      </c>
      <c r="Q217">
        <v>87.52</v>
      </c>
      <c r="R217">
        <v>67.849999999999994</v>
      </c>
      <c r="S217">
        <v>77.69</v>
      </c>
      <c r="T217">
        <v>914172</v>
      </c>
      <c r="V217" t="str">
        <v>Brebes</v>
      </c>
      <c r="W217">
        <v>6.94</v>
      </c>
      <c r="X217">
        <v>6.16</v>
      </c>
      <c r="Y217">
        <v>6.61</v>
      </c>
      <c r="Z217">
        <v>12.79</v>
      </c>
      <c r="AA217">
        <v>12.58</v>
      </c>
      <c r="AB217">
        <v>12.66</v>
      </c>
      <c r="AC217">
        <v>75.62</v>
      </c>
      <c r="AD217">
        <v>66.52</v>
      </c>
      <c r="AE217">
        <v>71.180000000000007</v>
      </c>
      <c r="AF217">
        <v>10.01</v>
      </c>
      <c r="AG217">
        <v>5.12</v>
      </c>
      <c r="AH217">
        <v>8.07</v>
      </c>
      <c r="AI217">
        <v>72.680000000000007</v>
      </c>
      <c r="AJ217">
        <v>76.45</v>
      </c>
      <c r="AK217">
        <v>74.400000000000006</v>
      </c>
      <c r="AL217">
        <v>85.95</v>
      </c>
      <c r="AM217">
        <v>57.54</v>
      </c>
      <c r="AN217">
        <v>71.75</v>
      </c>
      <c r="AO217">
        <v>2087331</v>
      </c>
    </row>
    <row r="218" spans="1:41" x14ac:dyDescent="0.35">
      <c r="A218" t="s">
        <v>218</v>
      </c>
      <c r="B218">
        <v>8.4</v>
      </c>
      <c r="C218">
        <v>7.41</v>
      </c>
      <c r="D218">
        <v>7.89</v>
      </c>
      <c r="E218">
        <v>12.33</v>
      </c>
      <c r="F218">
        <v>12.63</v>
      </c>
      <c r="G218">
        <v>12.5</v>
      </c>
      <c r="H218">
        <v>77.790000000000006</v>
      </c>
      <c r="I218">
        <v>69.05</v>
      </c>
      <c r="J218">
        <v>73.400000000000006</v>
      </c>
      <c r="K218">
        <v>2.69</v>
      </c>
      <c r="L218">
        <v>3.18</v>
      </c>
      <c r="M218">
        <v>2.9</v>
      </c>
      <c r="N218">
        <v>73.400000000000006</v>
      </c>
      <c r="O218">
        <v>78.14</v>
      </c>
      <c r="P218">
        <v>75.290000000000006</v>
      </c>
      <c r="Q218">
        <v>87.76</v>
      </c>
      <c r="R218">
        <v>64.17</v>
      </c>
      <c r="S218">
        <v>75.97</v>
      </c>
      <c r="T218">
        <v>670095</v>
      </c>
      <c r="V218" t="str">
        <v>Kota Magelang</v>
      </c>
      <c r="W218">
        <v>11.73</v>
      </c>
      <c r="X218">
        <v>11.3</v>
      </c>
      <c r="Y218">
        <v>11.44</v>
      </c>
      <c r="Z218">
        <v>14.71</v>
      </c>
      <c r="AA218">
        <v>14.91</v>
      </c>
      <c r="AB218">
        <v>14.84</v>
      </c>
      <c r="AC218">
        <v>84.53</v>
      </c>
      <c r="AD218">
        <v>82.07</v>
      </c>
      <c r="AE218">
        <v>82.92</v>
      </c>
      <c r="AF218">
        <v>4.5999999999999996</v>
      </c>
      <c r="AG218">
        <v>3.94</v>
      </c>
      <c r="AH218">
        <v>4.3099999999999996</v>
      </c>
      <c r="AI218">
        <v>75.849999999999994</v>
      </c>
      <c r="AJ218">
        <v>79.88</v>
      </c>
      <c r="AK218">
        <v>78.03</v>
      </c>
      <c r="AL218">
        <v>76.099999999999994</v>
      </c>
      <c r="AM218">
        <v>59.5</v>
      </c>
      <c r="AN218">
        <v>67.8</v>
      </c>
      <c r="AO218">
        <v>122674</v>
      </c>
    </row>
    <row r="219" spans="1:41" x14ac:dyDescent="0.35">
      <c r="A219" t="s">
        <v>219</v>
      </c>
      <c r="B219">
        <v>8.68</v>
      </c>
      <c r="C219">
        <v>7.78</v>
      </c>
      <c r="D219">
        <v>8.09</v>
      </c>
      <c r="E219">
        <v>13.11</v>
      </c>
      <c r="F219">
        <v>13.08</v>
      </c>
      <c r="G219">
        <v>13.08</v>
      </c>
      <c r="H219">
        <v>79.25</v>
      </c>
      <c r="I219">
        <v>73.45</v>
      </c>
      <c r="J219">
        <v>74.98</v>
      </c>
      <c r="K219">
        <v>4.76</v>
      </c>
      <c r="L219">
        <v>2.39</v>
      </c>
      <c r="M219">
        <v>3.71</v>
      </c>
      <c r="N219">
        <v>74.94</v>
      </c>
      <c r="O219">
        <v>78.709999999999994</v>
      </c>
      <c r="P219">
        <v>76.83</v>
      </c>
      <c r="Q219">
        <v>86.65</v>
      </c>
      <c r="R219">
        <v>67.66</v>
      </c>
      <c r="S219">
        <v>77.16</v>
      </c>
      <c r="T219">
        <v>1381912</v>
      </c>
      <c r="V219" t="str">
        <v>Kota Surakarta</v>
      </c>
      <c r="W219">
        <v>11.67</v>
      </c>
      <c r="X219">
        <v>11.09</v>
      </c>
      <c r="Y219">
        <v>11.26</v>
      </c>
      <c r="Z219">
        <v>14.87</v>
      </c>
      <c r="AA219">
        <v>15.24</v>
      </c>
      <c r="AB219">
        <v>15.08</v>
      </c>
      <c r="AC219">
        <v>85.76</v>
      </c>
      <c r="AD219">
        <v>83.63</v>
      </c>
      <c r="AE219">
        <v>84.92</v>
      </c>
      <c r="AF219">
        <v>5.34</v>
      </c>
      <c r="AG219">
        <v>3.48</v>
      </c>
      <c r="AH219">
        <v>4.5</v>
      </c>
      <c r="AI219">
        <v>76.290000000000006</v>
      </c>
      <c r="AJ219">
        <v>80.05</v>
      </c>
      <c r="AK219">
        <v>78.180000000000007</v>
      </c>
      <c r="AL219">
        <v>79.94</v>
      </c>
      <c r="AM219">
        <v>61.86</v>
      </c>
      <c r="AN219">
        <v>70.900000000000006</v>
      </c>
      <c r="AO219">
        <v>529079</v>
      </c>
    </row>
    <row r="220" spans="1:41" x14ac:dyDescent="0.35">
      <c r="A220" t="s">
        <v>220</v>
      </c>
      <c r="B220">
        <v>9.6999999999999993</v>
      </c>
      <c r="C220">
        <v>9.17</v>
      </c>
      <c r="D220">
        <v>9.51</v>
      </c>
      <c r="E220">
        <v>13.25</v>
      </c>
      <c r="F220">
        <v>13.83</v>
      </c>
      <c r="G220">
        <v>13.49</v>
      </c>
      <c r="H220">
        <v>81.180000000000007</v>
      </c>
      <c r="I220">
        <v>76.819999999999993</v>
      </c>
      <c r="J220">
        <v>77.94</v>
      </c>
      <c r="K220">
        <v>4.4000000000000004</v>
      </c>
      <c r="L220">
        <v>1.78</v>
      </c>
      <c r="M220">
        <v>3.23</v>
      </c>
      <c r="N220">
        <v>75.459999999999994</v>
      </c>
      <c r="O220">
        <v>79.069999999999993</v>
      </c>
      <c r="P220">
        <v>77.209999999999994</v>
      </c>
      <c r="Q220">
        <v>84.84</v>
      </c>
      <c r="R220">
        <v>66.78</v>
      </c>
      <c r="S220">
        <v>75.81</v>
      </c>
      <c r="T220">
        <v>891721</v>
      </c>
      <c r="V220" t="str">
        <v>Kota Salatiga</v>
      </c>
      <c r="W220">
        <v>11.89</v>
      </c>
      <c r="X220">
        <v>11.23</v>
      </c>
      <c r="Y220">
        <v>11.49</v>
      </c>
      <c r="Z220">
        <v>15.47</v>
      </c>
      <c r="AA220">
        <v>15.53</v>
      </c>
      <c r="AB220">
        <v>15.47</v>
      </c>
      <c r="AC220">
        <v>89.16</v>
      </c>
      <c r="AD220">
        <v>85.33</v>
      </c>
      <c r="AE220">
        <v>86.23</v>
      </c>
      <c r="AF220">
        <v>3.58</v>
      </c>
      <c r="AG220">
        <v>3.79</v>
      </c>
      <c r="AH220">
        <v>3.67</v>
      </c>
      <c r="AI220">
        <v>76.66</v>
      </c>
      <c r="AJ220">
        <v>80.680000000000007</v>
      </c>
      <c r="AK220">
        <v>78.75</v>
      </c>
      <c r="AL220">
        <v>79.930000000000007</v>
      </c>
      <c r="AM220">
        <v>62.3</v>
      </c>
      <c r="AN220">
        <v>71.12</v>
      </c>
      <c r="AO220">
        <v>203554</v>
      </c>
    </row>
    <row r="221" spans="1:41" x14ac:dyDescent="0.35">
      <c r="A221" t="s">
        <v>221</v>
      </c>
      <c r="B221">
        <v>8.6999999999999993</v>
      </c>
      <c r="C221">
        <v>7.88</v>
      </c>
      <c r="D221">
        <v>8.2799999999999994</v>
      </c>
      <c r="E221">
        <v>12.78</v>
      </c>
      <c r="F221">
        <v>13.27</v>
      </c>
      <c r="G221">
        <v>12.87</v>
      </c>
      <c r="H221">
        <v>78.709999999999994</v>
      </c>
      <c r="I221">
        <v>72.34</v>
      </c>
      <c r="J221">
        <v>74.900000000000006</v>
      </c>
      <c r="K221">
        <v>3.22</v>
      </c>
      <c r="L221">
        <v>3.41</v>
      </c>
      <c r="M221">
        <v>3.3</v>
      </c>
      <c r="N221">
        <v>74.61</v>
      </c>
      <c r="O221">
        <v>78.42</v>
      </c>
      <c r="P221">
        <v>76.489999999999995</v>
      </c>
      <c r="Q221">
        <v>83.5</v>
      </c>
      <c r="R221">
        <v>63.47</v>
      </c>
      <c r="S221">
        <v>73.489999999999995</v>
      </c>
      <c r="T221">
        <v>1244314</v>
      </c>
      <c r="V221" t="str">
        <v>Kota Semarang</v>
      </c>
      <c r="W221">
        <v>11.56</v>
      </c>
      <c r="X221">
        <v>10.82</v>
      </c>
      <c r="Y221">
        <v>11.11</v>
      </c>
      <c r="Z221">
        <v>15.79</v>
      </c>
      <c r="AA221">
        <v>15.57</v>
      </c>
      <c r="AB221">
        <v>15.58</v>
      </c>
      <c r="AC221">
        <v>87.57</v>
      </c>
      <c r="AD221">
        <v>84.4</v>
      </c>
      <c r="AE221">
        <v>85.8</v>
      </c>
      <c r="AF221">
        <v>5.26</v>
      </c>
      <c r="AG221">
        <v>6.14</v>
      </c>
      <c r="AH221">
        <v>5.65</v>
      </c>
      <c r="AI221">
        <v>76.650000000000006</v>
      </c>
      <c r="AJ221">
        <v>80.66</v>
      </c>
      <c r="AK221">
        <v>78.72</v>
      </c>
      <c r="AL221">
        <v>81.61</v>
      </c>
      <c r="AM221">
        <v>63.95</v>
      </c>
      <c r="AN221">
        <v>72.78</v>
      </c>
      <c r="AO221">
        <v>1722421</v>
      </c>
    </row>
    <row r="222" spans="1:41" x14ac:dyDescent="0.35">
      <c r="A222" t="s">
        <v>222</v>
      </c>
      <c r="B222">
        <v>8.83</v>
      </c>
      <c r="C222">
        <v>7.89</v>
      </c>
      <c r="D222">
        <v>8.2899999999999991</v>
      </c>
      <c r="E222">
        <v>13.35</v>
      </c>
      <c r="F222">
        <v>13.58</v>
      </c>
      <c r="G222">
        <v>13.37</v>
      </c>
      <c r="H222">
        <v>79.61</v>
      </c>
      <c r="I222">
        <v>72.819999999999993</v>
      </c>
      <c r="J222">
        <v>75.08</v>
      </c>
      <c r="K222">
        <v>4.25</v>
      </c>
      <c r="L222">
        <v>5.04</v>
      </c>
      <c r="M222">
        <v>4.58</v>
      </c>
      <c r="N222">
        <v>74.16</v>
      </c>
      <c r="O222">
        <v>77.97</v>
      </c>
      <c r="P222">
        <v>76.08</v>
      </c>
      <c r="Q222">
        <v>85.59</v>
      </c>
      <c r="R222">
        <v>60.41</v>
      </c>
      <c r="S222">
        <v>73</v>
      </c>
      <c r="T222">
        <v>1265053</v>
      </c>
      <c r="V222" t="str">
        <v>Kota Pekalongan</v>
      </c>
      <c r="W222">
        <v>9.56</v>
      </c>
      <c r="X222">
        <v>9.23</v>
      </c>
      <c r="Y222">
        <v>9.35</v>
      </c>
      <c r="Z222">
        <v>12.78</v>
      </c>
      <c r="AA222">
        <v>13.22</v>
      </c>
      <c r="AB222">
        <v>12.98</v>
      </c>
      <c r="AC222">
        <v>80.52</v>
      </c>
      <c r="AD222">
        <v>77.02</v>
      </c>
      <c r="AE222">
        <v>77.760000000000005</v>
      </c>
      <c r="AF222">
        <v>3.87</v>
      </c>
      <c r="AG222">
        <v>6.1</v>
      </c>
      <c r="AH222">
        <v>4.83</v>
      </c>
      <c r="AI222">
        <v>73.260000000000005</v>
      </c>
      <c r="AJ222">
        <v>77</v>
      </c>
      <c r="AK222">
        <v>75.099999999999994</v>
      </c>
      <c r="AL222">
        <v>85.19</v>
      </c>
      <c r="AM222">
        <v>65.38</v>
      </c>
      <c r="AN222">
        <v>75.290000000000006</v>
      </c>
      <c r="AO222">
        <v>324564</v>
      </c>
    </row>
    <row r="223" spans="1:41" x14ac:dyDescent="0.35">
      <c r="A223" t="s">
        <v>223</v>
      </c>
      <c r="B223">
        <v>8.59</v>
      </c>
      <c r="C223">
        <v>7.95</v>
      </c>
      <c r="D223">
        <v>8.17</v>
      </c>
      <c r="E223">
        <v>13.38</v>
      </c>
      <c r="F223">
        <v>13.07</v>
      </c>
      <c r="G223">
        <v>13.23</v>
      </c>
      <c r="H223">
        <v>78.19</v>
      </c>
      <c r="I223">
        <v>75.41</v>
      </c>
      <c r="J223">
        <v>76.400000000000006</v>
      </c>
      <c r="K223">
        <v>3.83</v>
      </c>
      <c r="L223">
        <v>3.37</v>
      </c>
      <c r="M223">
        <v>3.63</v>
      </c>
      <c r="N223">
        <v>74.52</v>
      </c>
      <c r="O223">
        <v>78.34</v>
      </c>
      <c r="P223">
        <v>76.45</v>
      </c>
      <c r="Q223">
        <v>88.76</v>
      </c>
      <c r="R223">
        <v>71.16</v>
      </c>
      <c r="S223">
        <v>79.959999999999994</v>
      </c>
      <c r="T223">
        <v>1098572</v>
      </c>
      <c r="V223" t="str">
        <v>Kota Tegal</v>
      </c>
      <c r="W223">
        <v>9.58</v>
      </c>
      <c r="X223">
        <v>9.09</v>
      </c>
      <c r="Y223">
        <v>9.2899999999999991</v>
      </c>
      <c r="Z223">
        <v>13.2</v>
      </c>
      <c r="AA223">
        <v>13.42</v>
      </c>
      <c r="AB223">
        <v>13.26</v>
      </c>
      <c r="AC223">
        <v>81.58</v>
      </c>
      <c r="AD223">
        <v>76.72</v>
      </c>
      <c r="AE223">
        <v>77.95</v>
      </c>
      <c r="AF223">
        <v>8.1</v>
      </c>
      <c r="AG223">
        <v>2.69</v>
      </c>
      <c r="AH223">
        <v>5.82</v>
      </c>
      <c r="AI223">
        <v>73.430000000000007</v>
      </c>
      <c r="AJ223">
        <v>77.239999999999995</v>
      </c>
      <c r="AK223">
        <v>75.3</v>
      </c>
      <c r="AL223">
        <v>79.48</v>
      </c>
      <c r="AM223">
        <v>58.06</v>
      </c>
      <c r="AN223">
        <v>68.77</v>
      </c>
      <c r="AO223">
        <v>288817</v>
      </c>
    </row>
    <row r="224" spans="1:41" x14ac:dyDescent="0.35">
      <c r="A224" t="s">
        <v>224</v>
      </c>
      <c r="B224">
        <v>7.76</v>
      </c>
      <c r="C224">
        <v>7.48</v>
      </c>
      <c r="D224">
        <v>7.61</v>
      </c>
      <c r="E224">
        <v>12.55</v>
      </c>
      <c r="F224">
        <v>12.87</v>
      </c>
      <c r="G224">
        <v>12.63</v>
      </c>
      <c r="H224">
        <v>74.61</v>
      </c>
      <c r="I224">
        <v>71.63</v>
      </c>
      <c r="J224">
        <v>72.52</v>
      </c>
      <c r="K224">
        <v>2.15</v>
      </c>
      <c r="L224">
        <v>2.52</v>
      </c>
      <c r="M224">
        <v>2.31</v>
      </c>
      <c r="N224">
        <v>74.430000000000007</v>
      </c>
      <c r="O224">
        <v>78.05</v>
      </c>
      <c r="P224">
        <v>76.16</v>
      </c>
      <c r="Q224">
        <v>86.36</v>
      </c>
      <c r="R224">
        <v>69.2</v>
      </c>
      <c r="S224">
        <v>77.78</v>
      </c>
      <c r="T224">
        <v>821118</v>
      </c>
      <c r="V224" t="str">
        <v>Kulon Progo</v>
      </c>
      <c r="W224">
        <v>9.5299999999999994</v>
      </c>
      <c r="X224">
        <v>9.15</v>
      </c>
      <c r="Y224">
        <v>9.33</v>
      </c>
      <c r="Z224">
        <v>14.55</v>
      </c>
      <c r="AA224">
        <v>15.44</v>
      </c>
      <c r="AB224">
        <v>14.55</v>
      </c>
      <c r="AC224">
        <v>80.25</v>
      </c>
      <c r="AD224">
        <v>76.97</v>
      </c>
      <c r="AE224">
        <v>76.97</v>
      </c>
      <c r="AF224">
        <v>2.23</v>
      </c>
      <c r="AG224">
        <v>2.0299999999999998</v>
      </c>
      <c r="AH224">
        <v>2.14</v>
      </c>
      <c r="AI224">
        <v>73.94</v>
      </c>
      <c r="AJ224">
        <v>78.62</v>
      </c>
      <c r="AK224">
        <v>75.709999999999994</v>
      </c>
      <c r="AL224">
        <v>85.35</v>
      </c>
      <c r="AM224">
        <v>71.81</v>
      </c>
      <c r="AN224">
        <v>78.58</v>
      </c>
      <c r="AO224">
        <v>447462</v>
      </c>
    </row>
    <row r="225" spans="1:41" x14ac:dyDescent="0.35">
      <c r="A225" t="s">
        <v>225</v>
      </c>
      <c r="B225">
        <v>8.42</v>
      </c>
      <c r="C225">
        <v>7.52</v>
      </c>
      <c r="D225">
        <v>7.97</v>
      </c>
      <c r="E225">
        <v>13</v>
      </c>
      <c r="F225">
        <v>13.41</v>
      </c>
      <c r="G225">
        <v>13.01</v>
      </c>
      <c r="H225">
        <v>78.209999999999994</v>
      </c>
      <c r="I225">
        <v>73.75</v>
      </c>
      <c r="J225">
        <v>75.069999999999993</v>
      </c>
      <c r="K225">
        <v>4.26</v>
      </c>
      <c r="L225">
        <v>5.07</v>
      </c>
      <c r="M225">
        <v>4.5999999999999996</v>
      </c>
      <c r="N225">
        <v>73.2</v>
      </c>
      <c r="O225">
        <v>76.900000000000006</v>
      </c>
      <c r="P225">
        <v>74.959999999999994</v>
      </c>
      <c r="Q225">
        <v>88.03</v>
      </c>
      <c r="R225">
        <v>64.8</v>
      </c>
      <c r="S225">
        <v>76.42</v>
      </c>
      <c r="T225">
        <v>1076483</v>
      </c>
      <c r="V225" t="str">
        <v>Bantul</v>
      </c>
      <c r="W225">
        <v>10.42</v>
      </c>
      <c r="X225">
        <v>9.9700000000000006</v>
      </c>
      <c r="Y225">
        <v>10.11</v>
      </c>
      <c r="Z225">
        <v>15.93</v>
      </c>
      <c r="AA225">
        <v>15.72</v>
      </c>
      <c r="AB225">
        <v>15.91</v>
      </c>
      <c r="AC225">
        <v>85.24</v>
      </c>
      <c r="AD225">
        <v>82.2</v>
      </c>
      <c r="AE225">
        <v>83.03</v>
      </c>
      <c r="AF225">
        <v>3.78</v>
      </c>
      <c r="AG225">
        <v>3.3</v>
      </c>
      <c r="AH225">
        <v>3.57</v>
      </c>
      <c r="AI225">
        <v>73.31</v>
      </c>
      <c r="AJ225">
        <v>77.84</v>
      </c>
      <c r="AK225">
        <v>75.040000000000006</v>
      </c>
      <c r="AL225">
        <v>84.39</v>
      </c>
      <c r="AM225">
        <v>65.53</v>
      </c>
      <c r="AN225">
        <v>74.959999999999994</v>
      </c>
      <c r="AO225">
        <v>1025750</v>
      </c>
    </row>
    <row r="226" spans="1:41" x14ac:dyDescent="0.35">
      <c r="A226" t="s">
        <v>226</v>
      </c>
      <c r="B226">
        <v>7.58</v>
      </c>
      <c r="C226">
        <v>7.07</v>
      </c>
      <c r="D226">
        <v>7.35</v>
      </c>
      <c r="E226">
        <v>12.01</v>
      </c>
      <c r="F226">
        <v>12.46</v>
      </c>
      <c r="G226">
        <v>12.18</v>
      </c>
      <c r="H226">
        <v>74.92</v>
      </c>
      <c r="I226">
        <v>69.84</v>
      </c>
      <c r="J226">
        <v>71.7</v>
      </c>
      <c r="K226">
        <v>3.48</v>
      </c>
      <c r="L226">
        <v>7.25</v>
      </c>
      <c r="M226">
        <v>5.07</v>
      </c>
      <c r="N226">
        <v>73.48</v>
      </c>
      <c r="O226">
        <v>77.25</v>
      </c>
      <c r="P226">
        <v>75.349999999999994</v>
      </c>
      <c r="Q226">
        <v>89.61</v>
      </c>
      <c r="R226">
        <v>65.95</v>
      </c>
      <c r="S226">
        <v>77.78</v>
      </c>
      <c r="T226">
        <v>847175</v>
      </c>
      <c r="V226" t="str">
        <v>Gunung Kidul</v>
      </c>
      <c r="W226">
        <v>8.1999999999999993</v>
      </c>
      <c r="X226">
        <v>7.33</v>
      </c>
      <c r="Y226">
        <v>7.64</v>
      </c>
      <c r="Z226">
        <v>13.48</v>
      </c>
      <c r="AA226">
        <v>13.84</v>
      </c>
      <c r="AB226">
        <v>13.56</v>
      </c>
      <c r="AC226">
        <v>78.83</v>
      </c>
      <c r="AD226">
        <v>68.87</v>
      </c>
      <c r="AE226">
        <v>73.13</v>
      </c>
      <c r="AF226">
        <v>2.84</v>
      </c>
      <c r="AG226">
        <v>1.31</v>
      </c>
      <c r="AH226">
        <v>2.15</v>
      </c>
      <c r="AI226">
        <v>73.39</v>
      </c>
      <c r="AJ226">
        <v>77.92</v>
      </c>
      <c r="AK226">
        <v>75.12</v>
      </c>
      <c r="AL226">
        <v>86.88</v>
      </c>
      <c r="AM226">
        <v>67.489999999999995</v>
      </c>
      <c r="AN226">
        <v>77.19</v>
      </c>
      <c r="AO226">
        <v>753187</v>
      </c>
    </row>
    <row r="227" spans="1:41" x14ac:dyDescent="0.35">
      <c r="A227" t="s">
        <v>227</v>
      </c>
      <c r="B227">
        <v>7.85</v>
      </c>
      <c r="C227">
        <v>7.26</v>
      </c>
      <c r="D227">
        <v>7.5</v>
      </c>
      <c r="E227">
        <v>12.28</v>
      </c>
      <c r="F227">
        <v>13.2</v>
      </c>
      <c r="G227">
        <v>12.63</v>
      </c>
      <c r="H227">
        <v>76.099999999999994</v>
      </c>
      <c r="I227">
        <v>70.930000000000007</v>
      </c>
      <c r="J227">
        <v>72.709999999999994</v>
      </c>
      <c r="K227">
        <v>3.31</v>
      </c>
      <c r="L227">
        <v>3.14</v>
      </c>
      <c r="M227">
        <v>3.24</v>
      </c>
      <c r="N227">
        <v>72.62</v>
      </c>
      <c r="O227">
        <v>76.48</v>
      </c>
      <c r="P227">
        <v>74.59</v>
      </c>
      <c r="Q227">
        <v>86.1</v>
      </c>
      <c r="R227">
        <v>68.2</v>
      </c>
      <c r="S227">
        <v>77.150000000000006</v>
      </c>
      <c r="T227">
        <v>1030342</v>
      </c>
      <c r="V227" t="str">
        <v>Sleman</v>
      </c>
      <c r="W227">
        <v>11.7</v>
      </c>
      <c r="X227">
        <v>11.17</v>
      </c>
      <c r="Y227">
        <v>11.42</v>
      </c>
      <c r="Z227">
        <v>16.809999999999999</v>
      </c>
      <c r="AA227">
        <v>16.79</v>
      </c>
      <c r="AB227">
        <v>16.8</v>
      </c>
      <c r="AC227">
        <v>87.93</v>
      </c>
      <c r="AD227">
        <v>85.44</v>
      </c>
      <c r="AE227">
        <v>86.35</v>
      </c>
      <c r="AF227">
        <v>4.6900000000000004</v>
      </c>
      <c r="AG227">
        <v>3.3</v>
      </c>
      <c r="AH227">
        <v>4.07</v>
      </c>
      <c r="AI227">
        <v>73.95</v>
      </c>
      <c r="AJ227">
        <v>78.75</v>
      </c>
      <c r="AK227">
        <v>75.81</v>
      </c>
      <c r="AL227">
        <v>82.62</v>
      </c>
      <c r="AM227">
        <v>63.64</v>
      </c>
      <c r="AN227">
        <v>73.13</v>
      </c>
      <c r="AO227">
        <v>1179382</v>
      </c>
    </row>
    <row r="228" spans="1:41" x14ac:dyDescent="0.35">
      <c r="A228" t="s">
        <v>228</v>
      </c>
      <c r="B228">
        <v>7.16</v>
      </c>
      <c r="C228">
        <v>6.31</v>
      </c>
      <c r="D228">
        <v>6.69</v>
      </c>
      <c r="E228">
        <v>12.25</v>
      </c>
      <c r="F228">
        <v>12.03</v>
      </c>
      <c r="G228">
        <v>12.03</v>
      </c>
      <c r="H228">
        <v>74.180000000000007</v>
      </c>
      <c r="I228">
        <v>65.06</v>
      </c>
      <c r="J228">
        <v>69.47</v>
      </c>
      <c r="K228">
        <v>8.08</v>
      </c>
      <c r="L228">
        <v>4.4000000000000004</v>
      </c>
      <c r="M228">
        <v>6.61</v>
      </c>
      <c r="N228">
        <v>72.62</v>
      </c>
      <c r="O228">
        <v>76.53</v>
      </c>
      <c r="P228">
        <v>74.55</v>
      </c>
      <c r="Q228">
        <v>85.79</v>
      </c>
      <c r="R228">
        <v>57.88</v>
      </c>
      <c r="S228">
        <v>71.84</v>
      </c>
      <c r="T228">
        <v>1559306</v>
      </c>
      <c r="V228" t="str">
        <v>Kota Yogyakarta</v>
      </c>
      <c r="W228">
        <v>12.26</v>
      </c>
      <c r="X228">
        <v>11.93</v>
      </c>
      <c r="Y228">
        <v>12.13</v>
      </c>
      <c r="Z228">
        <v>17.53</v>
      </c>
      <c r="AA228">
        <v>17.7</v>
      </c>
      <c r="AB228">
        <v>17.670000000000002</v>
      </c>
      <c r="AC228">
        <v>90.08</v>
      </c>
      <c r="AD228">
        <v>89.41</v>
      </c>
      <c r="AE228">
        <v>89.53</v>
      </c>
      <c r="AF228">
        <v>5.98</v>
      </c>
      <c r="AG228">
        <v>5.42</v>
      </c>
      <c r="AH228">
        <v>5.72</v>
      </c>
      <c r="AI228">
        <v>74.22</v>
      </c>
      <c r="AJ228">
        <v>79.03</v>
      </c>
      <c r="AK228">
        <v>76.05</v>
      </c>
      <c r="AL228">
        <v>78.77</v>
      </c>
      <c r="AM228">
        <v>63.85</v>
      </c>
      <c r="AN228">
        <v>71.31</v>
      </c>
      <c r="AO228">
        <v>375768</v>
      </c>
    </row>
    <row r="229" spans="1:41" x14ac:dyDescent="0.35">
      <c r="A229" t="s">
        <v>229</v>
      </c>
      <c r="B229">
        <v>7.84</v>
      </c>
      <c r="C229">
        <v>6.91</v>
      </c>
      <c r="D229">
        <v>7.37</v>
      </c>
      <c r="E229">
        <v>13.29</v>
      </c>
      <c r="F229">
        <v>12.9</v>
      </c>
      <c r="G229">
        <v>12.97</v>
      </c>
      <c r="H229">
        <v>77.31</v>
      </c>
      <c r="I229">
        <v>68.94</v>
      </c>
      <c r="J229">
        <v>72.36</v>
      </c>
      <c r="K229">
        <v>8.3699999999999992</v>
      </c>
      <c r="L229">
        <v>6.55</v>
      </c>
      <c r="M229">
        <v>7.61</v>
      </c>
      <c r="N229">
        <v>72.67</v>
      </c>
      <c r="O229">
        <v>76.61</v>
      </c>
      <c r="P229">
        <v>74.62</v>
      </c>
      <c r="Q229">
        <v>83.37</v>
      </c>
      <c r="R229">
        <v>60.44</v>
      </c>
      <c r="S229">
        <v>71.91</v>
      </c>
      <c r="T229">
        <v>1694235</v>
      </c>
      <c r="V229" t="str">
        <v>Pacitan</v>
      </c>
      <c r="W229">
        <v>8.17</v>
      </c>
      <c r="X229">
        <v>7.7</v>
      </c>
      <c r="Y229">
        <v>7.91</v>
      </c>
      <c r="Z229">
        <v>12.94</v>
      </c>
      <c r="AA229">
        <v>12.65</v>
      </c>
      <c r="AB229">
        <v>12.7</v>
      </c>
      <c r="AC229">
        <v>76.959999999999994</v>
      </c>
      <c r="AD229">
        <v>67.41</v>
      </c>
      <c r="AE229">
        <v>72.260000000000005</v>
      </c>
      <c r="AF229">
        <v>1.41</v>
      </c>
      <c r="AG229">
        <v>1.38</v>
      </c>
      <c r="AH229">
        <v>1.4</v>
      </c>
      <c r="AI229">
        <v>72.33</v>
      </c>
      <c r="AJ229">
        <v>77.760000000000005</v>
      </c>
      <c r="AK229">
        <v>74.98</v>
      </c>
      <c r="AL229">
        <v>88.06</v>
      </c>
      <c r="AM229">
        <v>73.55</v>
      </c>
      <c r="AN229">
        <v>80.81</v>
      </c>
      <c r="AO229">
        <v>589034</v>
      </c>
    </row>
    <row r="230" spans="1:41" x14ac:dyDescent="0.35">
      <c r="A230" t="s">
        <v>230</v>
      </c>
      <c r="B230">
        <v>6.94</v>
      </c>
      <c r="C230">
        <v>6.16</v>
      </c>
      <c r="D230">
        <v>6.61</v>
      </c>
      <c r="E230">
        <v>12.79</v>
      </c>
      <c r="F230">
        <v>12.58</v>
      </c>
      <c r="G230">
        <v>12.66</v>
      </c>
      <c r="H230">
        <v>75.62</v>
      </c>
      <c r="I230">
        <v>66.52</v>
      </c>
      <c r="J230">
        <v>71.180000000000007</v>
      </c>
      <c r="K230">
        <v>10.01</v>
      </c>
      <c r="L230">
        <v>5.12</v>
      </c>
      <c r="M230">
        <v>8.07</v>
      </c>
      <c r="N230">
        <v>72.680000000000007</v>
      </c>
      <c r="O230">
        <v>76.45</v>
      </c>
      <c r="P230">
        <v>74.400000000000006</v>
      </c>
      <c r="Q230">
        <v>85.95</v>
      </c>
      <c r="R230">
        <v>57.54</v>
      </c>
      <c r="S230">
        <v>71.75</v>
      </c>
      <c r="T230">
        <v>2087331</v>
      </c>
      <c r="V230" t="str">
        <v>Ponorogo</v>
      </c>
      <c r="W230">
        <v>8.27</v>
      </c>
      <c r="X230">
        <v>7.57</v>
      </c>
      <c r="Y230">
        <v>7.95</v>
      </c>
      <c r="Z230">
        <v>13.66</v>
      </c>
      <c r="AA230">
        <v>14.01</v>
      </c>
      <c r="AB230">
        <v>13.93</v>
      </c>
      <c r="AC230">
        <v>77.39</v>
      </c>
      <c r="AD230">
        <v>73.84</v>
      </c>
      <c r="AE230">
        <v>74.650000000000006</v>
      </c>
      <c r="AF230">
        <v>3.92</v>
      </c>
      <c r="AG230">
        <v>3.78</v>
      </c>
      <c r="AH230">
        <v>3.85</v>
      </c>
      <c r="AI230">
        <v>72.849999999999994</v>
      </c>
      <c r="AJ230">
        <v>78.510000000000005</v>
      </c>
      <c r="AK230">
        <v>75.61</v>
      </c>
      <c r="AL230">
        <v>86.69</v>
      </c>
      <c r="AM230">
        <v>73.260000000000005</v>
      </c>
      <c r="AN230">
        <v>79.98</v>
      </c>
      <c r="AO230">
        <v>966111</v>
      </c>
    </row>
    <row r="231" spans="1:41" x14ac:dyDescent="0.35">
      <c r="A231" t="s">
        <v>231</v>
      </c>
      <c r="B231">
        <v>11.73</v>
      </c>
      <c r="C231">
        <v>11.3</v>
      </c>
      <c r="D231">
        <v>11.44</v>
      </c>
      <c r="E231">
        <v>14.71</v>
      </c>
      <c r="F231">
        <v>14.91</v>
      </c>
      <c r="G231">
        <v>14.84</v>
      </c>
      <c r="H231">
        <v>84.53</v>
      </c>
      <c r="I231">
        <v>82.07</v>
      </c>
      <c r="J231">
        <v>82.92</v>
      </c>
      <c r="K231">
        <v>4.5999999999999996</v>
      </c>
      <c r="L231">
        <v>3.94</v>
      </c>
      <c r="M231">
        <v>4.3099999999999996</v>
      </c>
      <c r="N231">
        <v>75.849999999999994</v>
      </c>
      <c r="O231">
        <v>79.88</v>
      </c>
      <c r="P231">
        <v>78.03</v>
      </c>
      <c r="Q231">
        <v>76.099999999999994</v>
      </c>
      <c r="R231">
        <v>59.5</v>
      </c>
      <c r="S231">
        <v>67.8</v>
      </c>
      <c r="T231">
        <v>122674</v>
      </c>
      <c r="V231" t="str">
        <v>Trenggalek</v>
      </c>
      <c r="W231">
        <v>8.2799999999999994</v>
      </c>
      <c r="X231">
        <v>7.8</v>
      </c>
      <c r="Y231">
        <v>8.09</v>
      </c>
      <c r="Z231">
        <v>12.59</v>
      </c>
      <c r="AA231">
        <v>12.82</v>
      </c>
      <c r="AB231">
        <v>12.78</v>
      </c>
      <c r="AC231">
        <v>77.78</v>
      </c>
      <c r="AD231">
        <v>72.83</v>
      </c>
      <c r="AE231">
        <v>73.39</v>
      </c>
      <c r="AF231">
        <v>4.25</v>
      </c>
      <c r="AG231">
        <v>3.37</v>
      </c>
      <c r="AH231">
        <v>3.86</v>
      </c>
      <c r="AI231">
        <v>73.83</v>
      </c>
      <c r="AJ231">
        <v>78.53</v>
      </c>
      <c r="AK231">
        <v>75.63</v>
      </c>
      <c r="AL231">
        <v>86.61</v>
      </c>
      <c r="AM231">
        <v>68.78</v>
      </c>
      <c r="AN231">
        <v>77.7</v>
      </c>
      <c r="AO231">
        <v>747614</v>
      </c>
    </row>
    <row r="232" spans="1:41" x14ac:dyDescent="0.35">
      <c r="A232" t="s">
        <v>232</v>
      </c>
      <c r="B232">
        <v>11.67</v>
      </c>
      <c r="C232">
        <v>11.09</v>
      </c>
      <c r="D232">
        <v>11.26</v>
      </c>
      <c r="E232">
        <v>14.87</v>
      </c>
      <c r="F232">
        <v>15.24</v>
      </c>
      <c r="G232">
        <v>15.08</v>
      </c>
      <c r="H232">
        <v>85.76</v>
      </c>
      <c r="I232">
        <v>83.63</v>
      </c>
      <c r="J232">
        <v>84.92</v>
      </c>
      <c r="K232">
        <v>5.34</v>
      </c>
      <c r="L232">
        <v>3.48</v>
      </c>
      <c r="M232">
        <v>4.5</v>
      </c>
      <c r="N232">
        <v>76.290000000000006</v>
      </c>
      <c r="O232">
        <v>80.05</v>
      </c>
      <c r="P232">
        <v>78.180000000000007</v>
      </c>
      <c r="Q232">
        <v>79.94</v>
      </c>
      <c r="R232">
        <v>61.86</v>
      </c>
      <c r="S232">
        <v>70.900000000000006</v>
      </c>
      <c r="T232">
        <v>529079</v>
      </c>
      <c r="V232" t="str">
        <v>Tulungagung</v>
      </c>
      <c r="W232">
        <v>8.9600000000000009</v>
      </c>
      <c r="X232">
        <v>8.4600000000000009</v>
      </c>
      <c r="Y232">
        <v>8.69</v>
      </c>
      <c r="Z232">
        <v>13.5</v>
      </c>
      <c r="AA232">
        <v>13.87</v>
      </c>
      <c r="AB232">
        <v>13.5</v>
      </c>
      <c r="AC232">
        <v>78.87</v>
      </c>
      <c r="AD232">
        <v>75.59</v>
      </c>
      <c r="AE232">
        <v>75.88</v>
      </c>
      <c r="AF232">
        <v>3.68</v>
      </c>
      <c r="AG232">
        <v>4.5</v>
      </c>
      <c r="AH232">
        <v>4.03</v>
      </c>
      <c r="AI232">
        <v>73.86</v>
      </c>
      <c r="AJ232">
        <v>78.39</v>
      </c>
      <c r="AK232">
        <v>75.510000000000005</v>
      </c>
      <c r="AL232">
        <v>86.54</v>
      </c>
      <c r="AM232">
        <v>63.02</v>
      </c>
      <c r="AN232">
        <v>74.78</v>
      </c>
      <c r="AO232">
        <v>1119588</v>
      </c>
    </row>
    <row r="233" spans="1:41" x14ac:dyDescent="0.35">
      <c r="A233" t="s">
        <v>233</v>
      </c>
      <c r="B233">
        <v>11.89</v>
      </c>
      <c r="C233">
        <v>11.23</v>
      </c>
      <c r="D233">
        <v>11.49</v>
      </c>
      <c r="E233">
        <v>15.47</v>
      </c>
      <c r="F233">
        <v>15.53</v>
      </c>
      <c r="G233">
        <v>15.47</v>
      </c>
      <c r="H233">
        <v>89.16</v>
      </c>
      <c r="I233">
        <v>85.33</v>
      </c>
      <c r="J233">
        <v>86.23</v>
      </c>
      <c r="K233">
        <v>3.58</v>
      </c>
      <c r="L233">
        <v>3.79</v>
      </c>
      <c r="M233">
        <v>3.67</v>
      </c>
      <c r="N233">
        <v>76.66</v>
      </c>
      <c r="O233">
        <v>80.680000000000007</v>
      </c>
      <c r="P233">
        <v>78.75</v>
      </c>
      <c r="Q233">
        <v>79.930000000000007</v>
      </c>
      <c r="R233">
        <v>62.3</v>
      </c>
      <c r="S233">
        <v>71.12</v>
      </c>
      <c r="T233">
        <v>203554</v>
      </c>
      <c r="V233" t="str">
        <v>Blitar</v>
      </c>
      <c r="W233">
        <v>8.15</v>
      </c>
      <c r="X233">
        <v>7.9</v>
      </c>
      <c r="Y233">
        <v>8.01</v>
      </c>
      <c r="Z233">
        <v>12.39</v>
      </c>
      <c r="AA233">
        <v>13.33</v>
      </c>
      <c r="AB233">
        <v>12.83</v>
      </c>
      <c r="AC233">
        <v>78.03</v>
      </c>
      <c r="AD233">
        <v>73.62</v>
      </c>
      <c r="AE233">
        <v>74.430000000000007</v>
      </c>
      <c r="AF233">
        <v>3.61</v>
      </c>
      <c r="AG233">
        <v>5.64</v>
      </c>
      <c r="AH233">
        <v>4.49</v>
      </c>
      <c r="AI233">
        <v>73.92</v>
      </c>
      <c r="AJ233">
        <v>78.53</v>
      </c>
      <c r="AK233">
        <v>75.63</v>
      </c>
      <c r="AL233">
        <v>86.12</v>
      </c>
      <c r="AM233">
        <v>65.5</v>
      </c>
      <c r="AN233">
        <v>75.81</v>
      </c>
      <c r="AO233">
        <v>1273451</v>
      </c>
    </row>
    <row r="234" spans="1:41" x14ac:dyDescent="0.35">
      <c r="A234" t="s">
        <v>234</v>
      </c>
      <c r="B234">
        <v>11.56</v>
      </c>
      <c r="C234">
        <v>10.82</v>
      </c>
      <c r="D234">
        <v>11.11</v>
      </c>
      <c r="E234">
        <v>15.79</v>
      </c>
      <c r="F234">
        <v>15.57</v>
      </c>
      <c r="G234">
        <v>15.58</v>
      </c>
      <c r="H234">
        <v>87.57</v>
      </c>
      <c r="I234">
        <v>84.4</v>
      </c>
      <c r="J234">
        <v>85.8</v>
      </c>
      <c r="K234">
        <v>5.26</v>
      </c>
      <c r="L234">
        <v>6.14</v>
      </c>
      <c r="M234">
        <v>5.65</v>
      </c>
      <c r="N234">
        <v>76.650000000000006</v>
      </c>
      <c r="O234">
        <v>80.66</v>
      </c>
      <c r="P234">
        <v>78.72</v>
      </c>
      <c r="Q234">
        <v>81.61</v>
      </c>
      <c r="R234">
        <v>63.95</v>
      </c>
      <c r="S234">
        <v>72.78</v>
      </c>
      <c r="T234">
        <v>1722421</v>
      </c>
      <c r="V234" t="str">
        <v>Kediri</v>
      </c>
      <c r="W234">
        <v>8.8000000000000007</v>
      </c>
      <c r="X234">
        <v>7.97</v>
      </c>
      <c r="Y234">
        <v>8.3800000000000008</v>
      </c>
      <c r="Z234">
        <v>13.55</v>
      </c>
      <c r="AA234">
        <v>13.89</v>
      </c>
      <c r="AB234">
        <v>13.77</v>
      </c>
      <c r="AC234">
        <v>79.73</v>
      </c>
      <c r="AD234">
        <v>75.06</v>
      </c>
      <c r="AE234">
        <v>76.09</v>
      </c>
      <c r="AF234">
        <v>5.23</v>
      </c>
      <c r="AG234">
        <v>3.86</v>
      </c>
      <c r="AH234">
        <v>4.71</v>
      </c>
      <c r="AI234">
        <v>72.69</v>
      </c>
      <c r="AJ234">
        <v>78.28</v>
      </c>
      <c r="AK234">
        <v>75.41</v>
      </c>
      <c r="AL234">
        <v>85.58</v>
      </c>
      <c r="AM234">
        <v>53.55</v>
      </c>
      <c r="AN234">
        <v>69.569999999999993</v>
      </c>
      <c r="AO234">
        <v>1702262</v>
      </c>
    </row>
    <row r="235" spans="1:41" x14ac:dyDescent="0.35">
      <c r="A235" t="s">
        <v>235</v>
      </c>
      <c r="B235">
        <v>9.56</v>
      </c>
      <c r="C235">
        <v>9.23</v>
      </c>
      <c r="D235">
        <v>9.35</v>
      </c>
      <c r="E235">
        <v>12.78</v>
      </c>
      <c r="F235">
        <v>13.22</v>
      </c>
      <c r="G235">
        <v>12.98</v>
      </c>
      <c r="H235">
        <v>80.52</v>
      </c>
      <c r="I235">
        <v>77.02</v>
      </c>
      <c r="J235">
        <v>77.760000000000005</v>
      </c>
      <c r="K235">
        <v>3.87</v>
      </c>
      <c r="L235">
        <v>6.1</v>
      </c>
      <c r="M235">
        <v>4.83</v>
      </c>
      <c r="N235">
        <v>73.260000000000005</v>
      </c>
      <c r="O235">
        <v>77</v>
      </c>
      <c r="P235">
        <v>75.099999999999994</v>
      </c>
      <c r="Q235">
        <v>85.19</v>
      </c>
      <c r="R235">
        <v>65.38</v>
      </c>
      <c r="S235">
        <v>75.290000000000006</v>
      </c>
      <c r="T235">
        <v>324564</v>
      </c>
      <c r="V235" t="str">
        <v>Malang</v>
      </c>
      <c r="W235">
        <v>8.3699999999999992</v>
      </c>
      <c r="X235">
        <v>7.62</v>
      </c>
      <c r="Y235">
        <v>7.98</v>
      </c>
      <c r="Z235">
        <v>13.5</v>
      </c>
      <c r="AA235">
        <v>13.66</v>
      </c>
      <c r="AB235">
        <v>13.6</v>
      </c>
      <c r="AC235">
        <v>78.510000000000005</v>
      </c>
      <c r="AD235">
        <v>70.52</v>
      </c>
      <c r="AE235">
        <v>74.45</v>
      </c>
      <c r="AF235">
        <v>5.0599999999999996</v>
      </c>
      <c r="AG235">
        <v>4.93</v>
      </c>
      <c r="AH235">
        <v>5</v>
      </c>
      <c r="AI235">
        <v>72.86</v>
      </c>
      <c r="AJ235">
        <v>78.53</v>
      </c>
      <c r="AK235">
        <v>75.63</v>
      </c>
      <c r="AL235">
        <v>87.96</v>
      </c>
      <c r="AM235">
        <v>59.74</v>
      </c>
      <c r="AN235">
        <v>73.849999999999994</v>
      </c>
      <c r="AO235">
        <v>2755438</v>
      </c>
    </row>
    <row r="236" spans="1:41" x14ac:dyDescent="0.35">
      <c r="A236" t="s">
        <v>236</v>
      </c>
      <c r="B236">
        <v>9.58</v>
      </c>
      <c r="C236">
        <v>9.09</v>
      </c>
      <c r="D236">
        <v>9.2899999999999991</v>
      </c>
      <c r="E236">
        <v>13.2</v>
      </c>
      <c r="F236">
        <v>13.42</v>
      </c>
      <c r="G236">
        <v>13.26</v>
      </c>
      <c r="H236">
        <v>81.58</v>
      </c>
      <c r="I236">
        <v>76.72</v>
      </c>
      <c r="J236">
        <v>77.95</v>
      </c>
      <c r="K236">
        <v>8.1</v>
      </c>
      <c r="L236">
        <v>2.69</v>
      </c>
      <c r="M236">
        <v>5.82</v>
      </c>
      <c r="N236">
        <v>73.430000000000007</v>
      </c>
      <c r="O236">
        <v>77.239999999999995</v>
      </c>
      <c r="P236">
        <v>75.3</v>
      </c>
      <c r="Q236">
        <v>79.48</v>
      </c>
      <c r="R236">
        <v>58.06</v>
      </c>
      <c r="S236">
        <v>68.77</v>
      </c>
      <c r="T236">
        <v>288817</v>
      </c>
      <c r="V236" t="str">
        <v>Lumajang</v>
      </c>
      <c r="W236">
        <v>7.68</v>
      </c>
      <c r="X236">
        <v>6.85</v>
      </c>
      <c r="Y236">
        <v>7.28</v>
      </c>
      <c r="Z236">
        <v>12.54</v>
      </c>
      <c r="AA236">
        <v>12.42</v>
      </c>
      <c r="AB236">
        <v>12.53</v>
      </c>
      <c r="AC236">
        <v>75.569999999999993</v>
      </c>
      <c r="AD236">
        <v>68.239999999999995</v>
      </c>
      <c r="AE236">
        <v>71.02</v>
      </c>
      <c r="AF236">
        <v>2.4900000000000002</v>
      </c>
      <c r="AG236">
        <v>4.01</v>
      </c>
      <c r="AH236">
        <v>3.08</v>
      </c>
      <c r="AI236">
        <v>72.19</v>
      </c>
      <c r="AJ236">
        <v>77.55</v>
      </c>
      <c r="AK236">
        <v>74.8</v>
      </c>
      <c r="AL236">
        <v>87.03</v>
      </c>
      <c r="AM236">
        <v>52.95</v>
      </c>
      <c r="AN236">
        <v>69.989999999999995</v>
      </c>
      <c r="AO236">
        <v>1152264</v>
      </c>
    </row>
    <row r="237" spans="1:41" x14ac:dyDescent="0.35">
      <c r="A237" t="s">
        <v>594</v>
      </c>
      <c r="B237">
        <v>10.49</v>
      </c>
      <c r="C237">
        <v>9.93</v>
      </c>
      <c r="D237">
        <v>10.199999999999999</v>
      </c>
      <c r="E237">
        <v>15.73</v>
      </c>
      <c r="F237">
        <v>15.86</v>
      </c>
      <c r="G237">
        <v>15.78</v>
      </c>
      <c r="H237">
        <v>85.08</v>
      </c>
      <c r="I237">
        <v>81.319999999999993</v>
      </c>
      <c r="J237">
        <v>82.48</v>
      </c>
      <c r="K237">
        <v>3.88</v>
      </c>
      <c r="L237">
        <v>2.94</v>
      </c>
      <c r="M237">
        <v>3.46</v>
      </c>
      <c r="N237">
        <v>73.73</v>
      </c>
      <c r="O237">
        <v>78.540000000000006</v>
      </c>
      <c r="P237">
        <v>75.64</v>
      </c>
      <c r="Q237">
        <v>83.9</v>
      </c>
      <c r="R237">
        <v>65.91</v>
      </c>
      <c r="S237">
        <v>74.91</v>
      </c>
      <c r="T237">
        <v>3781549</v>
      </c>
      <c r="V237" t="str">
        <v>Jember</v>
      </c>
      <c r="W237">
        <v>7.24</v>
      </c>
      <c r="X237">
        <v>6.23</v>
      </c>
      <c r="Y237">
        <v>6.64</v>
      </c>
      <c r="Z237">
        <v>13.68</v>
      </c>
      <c r="AA237">
        <v>13.49</v>
      </c>
      <c r="AB237">
        <v>13.51</v>
      </c>
      <c r="AC237">
        <v>76.72</v>
      </c>
      <c r="AD237">
        <v>66.59</v>
      </c>
      <c r="AE237">
        <v>71.569999999999993</v>
      </c>
      <c r="AF237">
        <v>3.06</v>
      </c>
      <c r="AG237">
        <v>3.08</v>
      </c>
      <c r="AH237">
        <v>3.07</v>
      </c>
      <c r="AI237">
        <v>71.89</v>
      </c>
      <c r="AJ237">
        <v>76.959999999999994</v>
      </c>
      <c r="AK237">
        <v>74.37</v>
      </c>
      <c r="AL237">
        <v>88.61</v>
      </c>
      <c r="AM237">
        <v>63.21</v>
      </c>
      <c r="AN237">
        <v>75.91</v>
      </c>
      <c r="AO237">
        <v>2620135</v>
      </c>
    </row>
    <row r="238" spans="1:41" x14ac:dyDescent="0.35">
      <c r="A238" t="s">
        <v>238</v>
      </c>
      <c r="B238">
        <v>9.5299999999999994</v>
      </c>
      <c r="C238">
        <v>9.15</v>
      </c>
      <c r="D238">
        <v>9.33</v>
      </c>
      <c r="E238">
        <v>14.55</v>
      </c>
      <c r="F238">
        <v>15.44</v>
      </c>
      <c r="G238">
        <v>14.55</v>
      </c>
      <c r="H238">
        <v>80.25</v>
      </c>
      <c r="I238">
        <v>76.97</v>
      </c>
      <c r="J238">
        <v>76.97</v>
      </c>
      <c r="K238">
        <v>2.23</v>
      </c>
      <c r="L238">
        <v>2.0299999999999998</v>
      </c>
      <c r="M238">
        <v>2.14</v>
      </c>
      <c r="N238">
        <v>73.94</v>
      </c>
      <c r="O238">
        <v>78.62</v>
      </c>
      <c r="P238">
        <v>75.709999999999994</v>
      </c>
      <c r="Q238">
        <v>85.35</v>
      </c>
      <c r="R238">
        <v>71.81</v>
      </c>
      <c r="S238">
        <v>78.58</v>
      </c>
      <c r="T238">
        <v>447462</v>
      </c>
      <c r="V238" t="str">
        <v>Banyuwangi</v>
      </c>
      <c r="W238">
        <v>8.4</v>
      </c>
      <c r="X238">
        <v>7.28</v>
      </c>
      <c r="Y238">
        <v>7.84</v>
      </c>
      <c r="Z238">
        <v>13.13</v>
      </c>
      <c r="AA238">
        <v>13.41</v>
      </c>
      <c r="AB238">
        <v>13.32</v>
      </c>
      <c r="AC238">
        <v>79.709999999999994</v>
      </c>
      <c r="AD238">
        <v>70.39</v>
      </c>
      <c r="AE238">
        <v>75.17</v>
      </c>
      <c r="AF238">
        <v>3.54</v>
      </c>
      <c r="AG238">
        <v>4.5</v>
      </c>
      <c r="AH238">
        <v>3.94</v>
      </c>
      <c r="AI238">
        <v>71.94</v>
      </c>
      <c r="AJ238">
        <v>77.05</v>
      </c>
      <c r="AK238">
        <v>74.430000000000007</v>
      </c>
      <c r="AL238">
        <v>86.41</v>
      </c>
      <c r="AM238">
        <v>61.23</v>
      </c>
      <c r="AN238">
        <v>73.819999999999993</v>
      </c>
      <c r="AO238">
        <v>1764540</v>
      </c>
    </row>
    <row r="239" spans="1:41" x14ac:dyDescent="0.35">
      <c r="A239" t="s">
        <v>239</v>
      </c>
      <c r="B239">
        <v>10.42</v>
      </c>
      <c r="C239">
        <v>9.9700000000000006</v>
      </c>
      <c r="D239">
        <v>10.11</v>
      </c>
      <c r="E239">
        <v>15.93</v>
      </c>
      <c r="F239">
        <v>15.72</v>
      </c>
      <c r="G239">
        <v>15.91</v>
      </c>
      <c r="H239">
        <v>85.24</v>
      </c>
      <c r="I239">
        <v>82.2</v>
      </c>
      <c r="J239">
        <v>83.03</v>
      </c>
      <c r="K239">
        <v>3.78</v>
      </c>
      <c r="L239">
        <v>3.3</v>
      </c>
      <c r="M239">
        <v>3.57</v>
      </c>
      <c r="N239">
        <v>73.31</v>
      </c>
      <c r="O239">
        <v>77.84</v>
      </c>
      <c r="P239">
        <v>75.040000000000006</v>
      </c>
      <c r="Q239">
        <v>84.39</v>
      </c>
      <c r="R239">
        <v>65.53</v>
      </c>
      <c r="S239">
        <v>74.959999999999994</v>
      </c>
      <c r="T239">
        <v>1025750</v>
      </c>
      <c r="V239" t="str">
        <v>Bondowoso</v>
      </c>
      <c r="W239">
        <v>7.16</v>
      </c>
      <c r="X239">
        <v>5.9</v>
      </c>
      <c r="Y239">
        <v>6.54</v>
      </c>
      <c r="Z239">
        <v>13.59</v>
      </c>
      <c r="AA239">
        <v>13.34</v>
      </c>
      <c r="AB239">
        <v>13.34</v>
      </c>
      <c r="AC239">
        <v>76.02</v>
      </c>
      <c r="AD239">
        <v>69.61</v>
      </c>
      <c r="AE239">
        <v>71.72</v>
      </c>
      <c r="AF239">
        <v>2.82</v>
      </c>
      <c r="AG239">
        <v>2.21</v>
      </c>
      <c r="AH239">
        <v>2.5499999999999998</v>
      </c>
      <c r="AI239">
        <v>71.31</v>
      </c>
      <c r="AJ239">
        <v>75.739999999999995</v>
      </c>
      <c r="AK239">
        <v>73.47</v>
      </c>
      <c r="AL239">
        <v>89.22</v>
      </c>
      <c r="AM239">
        <v>65.84</v>
      </c>
      <c r="AN239">
        <v>77.53</v>
      </c>
      <c r="AO239">
        <v>796300</v>
      </c>
    </row>
    <row r="240" spans="1:41" x14ac:dyDescent="0.35">
      <c r="A240" t="s">
        <v>240</v>
      </c>
      <c r="B240">
        <v>8.1999999999999993</v>
      </c>
      <c r="C240">
        <v>7.33</v>
      </c>
      <c r="D240">
        <v>7.64</v>
      </c>
      <c r="E240">
        <v>13.48</v>
      </c>
      <c r="F240">
        <v>13.84</v>
      </c>
      <c r="G240">
        <v>13.56</v>
      </c>
      <c r="H240">
        <v>78.83</v>
      </c>
      <c r="I240">
        <v>68.87</v>
      </c>
      <c r="J240">
        <v>73.13</v>
      </c>
      <c r="K240">
        <v>2.84</v>
      </c>
      <c r="L240">
        <v>1.31</v>
      </c>
      <c r="M240">
        <v>2.15</v>
      </c>
      <c r="N240">
        <v>73.39</v>
      </c>
      <c r="O240">
        <v>77.92</v>
      </c>
      <c r="P240">
        <v>75.12</v>
      </c>
      <c r="Q240">
        <v>86.88</v>
      </c>
      <c r="R240">
        <v>67.489999999999995</v>
      </c>
      <c r="S240">
        <v>77.19</v>
      </c>
      <c r="T240">
        <v>753187</v>
      </c>
      <c r="V240" t="str">
        <v>Situbondo</v>
      </c>
      <c r="W240">
        <v>7.73</v>
      </c>
      <c r="X240">
        <v>6.41</v>
      </c>
      <c r="Y240">
        <v>7.03</v>
      </c>
      <c r="Z240">
        <v>13.53</v>
      </c>
      <c r="AA240">
        <v>13.2</v>
      </c>
      <c r="AB240">
        <v>13.21</v>
      </c>
      <c r="AC240">
        <v>77.36</v>
      </c>
      <c r="AD240">
        <v>68.239999999999995</v>
      </c>
      <c r="AE240">
        <v>71.87</v>
      </c>
      <c r="AF240">
        <v>3.44</v>
      </c>
      <c r="AG240">
        <v>2.5</v>
      </c>
      <c r="AH240">
        <v>3.02</v>
      </c>
      <c r="AI240">
        <v>71.36</v>
      </c>
      <c r="AJ240">
        <v>75.83</v>
      </c>
      <c r="AK240">
        <v>73.540000000000006</v>
      </c>
      <c r="AL240">
        <v>89.09</v>
      </c>
      <c r="AM240">
        <v>68.47</v>
      </c>
      <c r="AN240">
        <v>78.78</v>
      </c>
      <c r="AO240">
        <v>704243</v>
      </c>
    </row>
    <row r="241" spans="1:41" x14ac:dyDescent="0.35">
      <c r="A241" t="s">
        <v>241</v>
      </c>
      <c r="B241">
        <v>11.7</v>
      </c>
      <c r="C241">
        <v>11.17</v>
      </c>
      <c r="D241">
        <v>11.42</v>
      </c>
      <c r="E241">
        <v>16.809999999999999</v>
      </c>
      <c r="F241">
        <v>16.79</v>
      </c>
      <c r="G241">
        <v>16.8</v>
      </c>
      <c r="H241">
        <v>87.93</v>
      </c>
      <c r="I241">
        <v>85.44</v>
      </c>
      <c r="J241">
        <v>86.35</v>
      </c>
      <c r="K241">
        <v>4.6900000000000004</v>
      </c>
      <c r="L241">
        <v>3.3</v>
      </c>
      <c r="M241">
        <v>4.07</v>
      </c>
      <c r="N241">
        <v>73.95</v>
      </c>
      <c r="O241">
        <v>78.75</v>
      </c>
      <c r="P241">
        <v>75.81</v>
      </c>
      <c r="Q241">
        <v>82.62</v>
      </c>
      <c r="R241">
        <v>63.64</v>
      </c>
      <c r="S241">
        <v>73.13</v>
      </c>
      <c r="T241">
        <v>1179382</v>
      </c>
      <c r="V241" t="str">
        <v>Probolinggo</v>
      </c>
      <c r="W241">
        <v>7.08</v>
      </c>
      <c r="X241">
        <v>5.84</v>
      </c>
      <c r="Y241">
        <v>6.43</v>
      </c>
      <c r="Z241">
        <v>13.01</v>
      </c>
      <c r="AA241">
        <v>12.65</v>
      </c>
      <c r="AB241">
        <v>12.8</v>
      </c>
      <c r="AC241">
        <v>76.88</v>
      </c>
      <c r="AD241">
        <v>67.02</v>
      </c>
      <c r="AE241">
        <v>71.650000000000006</v>
      </c>
      <c r="AF241">
        <v>2.98</v>
      </c>
      <c r="AG241">
        <v>2.84</v>
      </c>
      <c r="AH241">
        <v>2.92</v>
      </c>
      <c r="AI241">
        <v>71.72</v>
      </c>
      <c r="AJ241">
        <v>76.599999999999994</v>
      </c>
      <c r="AK241">
        <v>74.099999999999994</v>
      </c>
      <c r="AL241">
        <v>88.85</v>
      </c>
      <c r="AM241">
        <v>65.13</v>
      </c>
      <c r="AN241">
        <v>76.989999999999995</v>
      </c>
      <c r="AO241">
        <v>1193272</v>
      </c>
    </row>
    <row r="242" spans="1:41" x14ac:dyDescent="0.35">
      <c r="A242" t="s">
        <v>242</v>
      </c>
      <c r="B242">
        <v>12.26</v>
      </c>
      <c r="C242">
        <v>11.93</v>
      </c>
      <c r="D242">
        <v>12.13</v>
      </c>
      <c r="E242">
        <v>17.53</v>
      </c>
      <c r="F242">
        <v>17.7</v>
      </c>
      <c r="G242">
        <v>17.670000000000002</v>
      </c>
      <c r="H242">
        <v>90.08</v>
      </c>
      <c r="I242">
        <v>89.41</v>
      </c>
      <c r="J242">
        <v>89.53</v>
      </c>
      <c r="K242">
        <v>5.98</v>
      </c>
      <c r="L242">
        <v>5.42</v>
      </c>
      <c r="M242">
        <v>5.72</v>
      </c>
      <c r="N242">
        <v>74.22</v>
      </c>
      <c r="O242">
        <v>79.03</v>
      </c>
      <c r="P242">
        <v>76.05</v>
      </c>
      <c r="Q242">
        <v>78.77</v>
      </c>
      <c r="R242">
        <v>63.85</v>
      </c>
      <c r="S242">
        <v>71.31</v>
      </c>
      <c r="T242">
        <v>375768</v>
      </c>
      <c r="V242" t="str">
        <v>Pasuruan</v>
      </c>
      <c r="W242">
        <v>8.14</v>
      </c>
      <c r="X242">
        <v>6.97</v>
      </c>
      <c r="Y242">
        <v>7.47</v>
      </c>
      <c r="Z242">
        <v>13.01</v>
      </c>
      <c r="AA242">
        <v>12.87</v>
      </c>
      <c r="AB242">
        <v>12.91</v>
      </c>
      <c r="AC242">
        <v>76.790000000000006</v>
      </c>
      <c r="AD242">
        <v>70.69</v>
      </c>
      <c r="AE242">
        <v>73.02</v>
      </c>
      <c r="AF242">
        <v>3.95</v>
      </c>
      <c r="AG242">
        <v>4.59</v>
      </c>
      <c r="AH242">
        <v>4.22</v>
      </c>
      <c r="AI242">
        <v>72.19</v>
      </c>
      <c r="AJ242">
        <v>77.56</v>
      </c>
      <c r="AK242">
        <v>74.81</v>
      </c>
      <c r="AL242">
        <v>86.55</v>
      </c>
      <c r="AM242">
        <v>63.05</v>
      </c>
      <c r="AN242">
        <v>74.8</v>
      </c>
      <c r="AO242">
        <v>1669400</v>
      </c>
    </row>
    <row r="243" spans="1:41" x14ac:dyDescent="0.35">
      <c r="A243" t="s">
        <v>243</v>
      </c>
      <c r="B243">
        <v>8.81</v>
      </c>
      <c r="C243">
        <v>7.99</v>
      </c>
      <c r="D243">
        <v>8.39</v>
      </c>
      <c r="E243">
        <v>13.34</v>
      </c>
      <c r="F243">
        <v>13.66</v>
      </c>
      <c r="G243">
        <v>13.44</v>
      </c>
      <c r="H243">
        <v>79.83</v>
      </c>
      <c r="I243">
        <v>74.47</v>
      </c>
      <c r="J243">
        <v>76.13</v>
      </c>
      <c r="K243">
        <v>3.9</v>
      </c>
      <c r="L243">
        <v>3.86</v>
      </c>
      <c r="M243">
        <v>3.88</v>
      </c>
      <c r="N243">
        <v>72.64</v>
      </c>
      <c r="O243">
        <v>78.209999999999994</v>
      </c>
      <c r="P243">
        <v>75.36</v>
      </c>
      <c r="Q243">
        <v>85.89</v>
      </c>
      <c r="R243">
        <v>62.29</v>
      </c>
      <c r="S243">
        <v>74.09</v>
      </c>
      <c r="T243">
        <v>42089271</v>
      </c>
      <c r="V243" t="str">
        <v>Sidoarjo</v>
      </c>
      <c r="W243">
        <v>11.26</v>
      </c>
      <c r="X243">
        <v>10.8</v>
      </c>
      <c r="Y243">
        <v>10.94</v>
      </c>
      <c r="Z243">
        <v>15.1</v>
      </c>
      <c r="AA243">
        <v>15.36</v>
      </c>
      <c r="AB243">
        <v>15.23</v>
      </c>
      <c r="AC243">
        <v>87.02</v>
      </c>
      <c r="AD243">
        <v>83.07</v>
      </c>
      <c r="AE243">
        <v>83.35</v>
      </c>
      <c r="AF243">
        <v>5.74</v>
      </c>
      <c r="AG243">
        <v>5.76</v>
      </c>
      <c r="AH243">
        <v>5.75</v>
      </c>
      <c r="AI243">
        <v>74.260000000000005</v>
      </c>
      <c r="AJ243">
        <v>79.06</v>
      </c>
      <c r="AK243">
        <v>76.08</v>
      </c>
      <c r="AL243">
        <v>83.56</v>
      </c>
      <c r="AM243">
        <v>55.53</v>
      </c>
      <c r="AN243">
        <v>69.55</v>
      </c>
      <c r="AO243">
        <v>2193692</v>
      </c>
    </row>
    <row r="244" spans="1:41" x14ac:dyDescent="0.35">
      <c r="A244" t="s">
        <v>244</v>
      </c>
      <c r="B244">
        <v>8.17</v>
      </c>
      <c r="C244">
        <v>7.7</v>
      </c>
      <c r="D244">
        <v>7.91</v>
      </c>
      <c r="E244">
        <v>12.94</v>
      </c>
      <c r="F244">
        <v>12.65</v>
      </c>
      <c r="G244">
        <v>12.7</v>
      </c>
      <c r="H244">
        <v>76.959999999999994</v>
      </c>
      <c r="I244">
        <v>67.41</v>
      </c>
      <c r="J244">
        <v>72.260000000000005</v>
      </c>
      <c r="K244">
        <v>1.41</v>
      </c>
      <c r="L244">
        <v>1.38</v>
      </c>
      <c r="M244">
        <v>1.4</v>
      </c>
      <c r="N244">
        <v>72.33</v>
      </c>
      <c r="O244">
        <v>77.760000000000005</v>
      </c>
      <c r="P244">
        <v>74.98</v>
      </c>
      <c r="Q244">
        <v>88.06</v>
      </c>
      <c r="R244">
        <v>73.55</v>
      </c>
      <c r="S244">
        <v>80.81</v>
      </c>
      <c r="T244">
        <v>589034</v>
      </c>
      <c r="V244" t="str">
        <v>Mojokerto</v>
      </c>
      <c r="W244">
        <v>9.7100000000000009</v>
      </c>
      <c r="X244">
        <v>8.66</v>
      </c>
      <c r="Y244">
        <v>9.14</v>
      </c>
      <c r="Z244">
        <v>13.07</v>
      </c>
      <c r="AA244">
        <v>13.23</v>
      </c>
      <c r="AB244">
        <v>13.16</v>
      </c>
      <c r="AC244">
        <v>81.349999999999994</v>
      </c>
      <c r="AD244">
        <v>75.53</v>
      </c>
      <c r="AE244">
        <v>77.459999999999994</v>
      </c>
      <c r="AF244">
        <v>3.59</v>
      </c>
      <c r="AG244">
        <v>3.36</v>
      </c>
      <c r="AH244">
        <v>3.49</v>
      </c>
      <c r="AI244">
        <v>72.58</v>
      </c>
      <c r="AJ244">
        <v>78.12</v>
      </c>
      <c r="AK244">
        <v>75.28</v>
      </c>
      <c r="AL244">
        <v>82.46</v>
      </c>
      <c r="AM244">
        <v>66.03</v>
      </c>
      <c r="AN244">
        <v>74.25</v>
      </c>
      <c r="AO244">
        <v>1162696</v>
      </c>
    </row>
    <row r="245" spans="1:41" x14ac:dyDescent="0.35">
      <c r="A245" t="s">
        <v>245</v>
      </c>
      <c r="B245">
        <v>8.27</v>
      </c>
      <c r="C245">
        <v>7.57</v>
      </c>
      <c r="D245">
        <v>7.95</v>
      </c>
      <c r="E245">
        <v>13.66</v>
      </c>
      <c r="F245">
        <v>14.01</v>
      </c>
      <c r="G245">
        <v>13.93</v>
      </c>
      <c r="H245">
        <v>77.39</v>
      </c>
      <c r="I245">
        <v>73.84</v>
      </c>
      <c r="J245">
        <v>74.650000000000006</v>
      </c>
      <c r="K245">
        <v>3.92</v>
      </c>
      <c r="L245">
        <v>3.78</v>
      </c>
      <c r="M245">
        <v>3.85</v>
      </c>
      <c r="N245">
        <v>72.849999999999994</v>
      </c>
      <c r="O245">
        <v>78.510000000000005</v>
      </c>
      <c r="P245">
        <v>75.61</v>
      </c>
      <c r="Q245">
        <v>86.69</v>
      </c>
      <c r="R245">
        <v>73.260000000000005</v>
      </c>
      <c r="S245">
        <v>79.98</v>
      </c>
      <c r="T245">
        <v>966111</v>
      </c>
      <c r="V245" t="str">
        <v>Jombang</v>
      </c>
      <c r="W245">
        <v>9.31</v>
      </c>
      <c r="X245">
        <v>8.3800000000000008</v>
      </c>
      <c r="Y245">
        <v>8.8800000000000008</v>
      </c>
      <c r="Z245">
        <v>13.44</v>
      </c>
      <c r="AA245">
        <v>13.89</v>
      </c>
      <c r="AB245">
        <v>13.62</v>
      </c>
      <c r="AC245">
        <v>80.31</v>
      </c>
      <c r="AD245">
        <v>73.58</v>
      </c>
      <c r="AE245">
        <v>76.37</v>
      </c>
      <c r="AF245">
        <v>2.66</v>
      </c>
      <c r="AG245">
        <v>4.2</v>
      </c>
      <c r="AH245">
        <v>3.28</v>
      </c>
      <c r="AI245">
        <v>72.319999999999993</v>
      </c>
      <c r="AJ245">
        <v>77.75</v>
      </c>
      <c r="AK245">
        <v>74.97</v>
      </c>
      <c r="AL245">
        <v>86.43</v>
      </c>
      <c r="AM245">
        <v>58.77</v>
      </c>
      <c r="AN245">
        <v>72.599999999999994</v>
      </c>
      <c r="AO245">
        <v>1373793</v>
      </c>
    </row>
    <row r="246" spans="1:41" x14ac:dyDescent="0.35">
      <c r="A246" t="s">
        <v>246</v>
      </c>
      <c r="B246">
        <v>8.2799999999999994</v>
      </c>
      <c r="C246">
        <v>7.8</v>
      </c>
      <c r="D246">
        <v>8.09</v>
      </c>
      <c r="E246">
        <v>12.59</v>
      </c>
      <c r="F246">
        <v>12.82</v>
      </c>
      <c r="G246">
        <v>12.78</v>
      </c>
      <c r="H246">
        <v>77.78</v>
      </c>
      <c r="I246">
        <v>72.83</v>
      </c>
      <c r="J246">
        <v>73.39</v>
      </c>
      <c r="K246">
        <v>4.25</v>
      </c>
      <c r="L246">
        <v>3.37</v>
      </c>
      <c r="M246">
        <v>3.86</v>
      </c>
      <c r="N246">
        <v>73.83</v>
      </c>
      <c r="O246">
        <v>78.53</v>
      </c>
      <c r="P246">
        <v>75.63</v>
      </c>
      <c r="Q246">
        <v>86.61</v>
      </c>
      <c r="R246">
        <v>68.78</v>
      </c>
      <c r="S246">
        <v>77.7</v>
      </c>
      <c r="T246">
        <v>747614</v>
      </c>
      <c r="V246" t="str">
        <v>Nganjuk</v>
      </c>
      <c r="W246">
        <v>8.76</v>
      </c>
      <c r="X246">
        <v>7.86</v>
      </c>
      <c r="Y246">
        <v>8.26</v>
      </c>
      <c r="Z246">
        <v>13.05</v>
      </c>
      <c r="AA246">
        <v>13.85</v>
      </c>
      <c r="AB246">
        <v>13.19</v>
      </c>
      <c r="AC246">
        <v>79.66</v>
      </c>
      <c r="AD246">
        <v>75.739999999999995</v>
      </c>
      <c r="AE246">
        <v>75.89</v>
      </c>
      <c r="AF246">
        <v>3.62</v>
      </c>
      <c r="AG246">
        <v>4.16</v>
      </c>
      <c r="AH246">
        <v>3.84</v>
      </c>
      <c r="AI246">
        <v>72.319999999999993</v>
      </c>
      <c r="AJ246">
        <v>77.739999999999995</v>
      </c>
      <c r="AK246">
        <v>74.959999999999994</v>
      </c>
      <c r="AL246">
        <v>85.95</v>
      </c>
      <c r="AM246">
        <v>60.43</v>
      </c>
      <c r="AN246">
        <v>73.19</v>
      </c>
      <c r="AO246">
        <v>1138604</v>
      </c>
    </row>
    <row r="247" spans="1:41" x14ac:dyDescent="0.35">
      <c r="A247" t="s">
        <v>247</v>
      </c>
      <c r="B247">
        <v>8.9600000000000009</v>
      </c>
      <c r="C247">
        <v>8.4600000000000009</v>
      </c>
      <c r="D247">
        <v>8.69</v>
      </c>
      <c r="E247">
        <v>13.5</v>
      </c>
      <c r="F247">
        <v>13.87</v>
      </c>
      <c r="G247">
        <v>13.5</v>
      </c>
      <c r="H247">
        <v>78.87</v>
      </c>
      <c r="I247">
        <v>75.59</v>
      </c>
      <c r="J247">
        <v>75.88</v>
      </c>
      <c r="K247">
        <v>3.68</v>
      </c>
      <c r="L247">
        <v>4.5</v>
      </c>
      <c r="M247">
        <v>4.03</v>
      </c>
      <c r="N247">
        <v>73.86</v>
      </c>
      <c r="O247">
        <v>78.39</v>
      </c>
      <c r="P247">
        <v>75.510000000000005</v>
      </c>
      <c r="Q247">
        <v>86.54</v>
      </c>
      <c r="R247">
        <v>63.02</v>
      </c>
      <c r="S247">
        <v>74.78</v>
      </c>
      <c r="T247">
        <v>1119588</v>
      </c>
      <c r="V247" t="str">
        <v>Madiun</v>
      </c>
      <c r="W247">
        <v>8.6199999999999992</v>
      </c>
      <c r="X247">
        <v>7.92</v>
      </c>
      <c r="Y247">
        <v>8.2100000000000009</v>
      </c>
      <c r="Z247">
        <v>13.24</v>
      </c>
      <c r="AA247">
        <v>13.76</v>
      </c>
      <c r="AB247">
        <v>13.28</v>
      </c>
      <c r="AC247">
        <v>78.88</v>
      </c>
      <c r="AD247">
        <v>73.849999999999994</v>
      </c>
      <c r="AE247">
        <v>75.47</v>
      </c>
      <c r="AF247">
        <v>2.83</v>
      </c>
      <c r="AG247">
        <v>3.71</v>
      </c>
      <c r="AH247">
        <v>3.22</v>
      </c>
      <c r="AI247">
        <v>72.44</v>
      </c>
      <c r="AJ247">
        <v>77.92</v>
      </c>
      <c r="AK247">
        <v>75.11</v>
      </c>
      <c r="AL247">
        <v>83.72</v>
      </c>
      <c r="AM247">
        <v>64.569999999999993</v>
      </c>
      <c r="AN247">
        <v>74.150000000000006</v>
      </c>
      <c r="AO247">
        <v>760948</v>
      </c>
    </row>
    <row r="248" spans="1:41" x14ac:dyDescent="0.35">
      <c r="A248" t="s">
        <v>248</v>
      </c>
      <c r="B248">
        <v>8.15</v>
      </c>
      <c r="C248">
        <v>7.9</v>
      </c>
      <c r="D248">
        <v>8.01</v>
      </c>
      <c r="E248">
        <v>12.39</v>
      </c>
      <c r="F248">
        <v>13.33</v>
      </c>
      <c r="G248">
        <v>12.83</v>
      </c>
      <c r="H248">
        <v>78.03</v>
      </c>
      <c r="I248">
        <v>73.62</v>
      </c>
      <c r="J248">
        <v>74.430000000000007</v>
      </c>
      <c r="K248">
        <v>3.61</v>
      </c>
      <c r="L248">
        <v>5.64</v>
      </c>
      <c r="M248">
        <v>4.49</v>
      </c>
      <c r="N248">
        <v>73.92</v>
      </c>
      <c r="O248">
        <v>78.53</v>
      </c>
      <c r="P248">
        <v>75.63</v>
      </c>
      <c r="Q248">
        <v>86.12</v>
      </c>
      <c r="R248">
        <v>65.5</v>
      </c>
      <c r="S248">
        <v>75.81</v>
      </c>
      <c r="T248">
        <v>1273451</v>
      </c>
      <c r="V248" t="str">
        <v>Magetan</v>
      </c>
      <c r="W248">
        <v>9.3000000000000007</v>
      </c>
      <c r="X248">
        <v>8.4499999999999993</v>
      </c>
      <c r="Y248">
        <v>8.84</v>
      </c>
      <c r="Z248">
        <v>14.28</v>
      </c>
      <c r="AA248">
        <v>14.09</v>
      </c>
      <c r="AB248">
        <v>14.09</v>
      </c>
      <c r="AC248">
        <v>81.03</v>
      </c>
      <c r="AD248">
        <v>76.989999999999995</v>
      </c>
      <c r="AE248">
        <v>77.58</v>
      </c>
      <c r="AF248">
        <v>2.5</v>
      </c>
      <c r="AG248">
        <v>4.21</v>
      </c>
      <c r="AH248">
        <v>3.26</v>
      </c>
      <c r="AI248">
        <v>72.98</v>
      </c>
      <c r="AJ248">
        <v>78.69</v>
      </c>
      <c r="AK248">
        <v>75.760000000000005</v>
      </c>
      <c r="AL248">
        <v>84.78</v>
      </c>
      <c r="AM248">
        <v>65.11</v>
      </c>
      <c r="AN248">
        <v>74.95</v>
      </c>
      <c r="AO248">
        <v>689209</v>
      </c>
    </row>
    <row r="249" spans="1:41" x14ac:dyDescent="0.35">
      <c r="A249" t="s">
        <v>249</v>
      </c>
      <c r="B249">
        <v>8.8000000000000007</v>
      </c>
      <c r="C249">
        <v>7.97</v>
      </c>
      <c r="D249">
        <v>8.3800000000000008</v>
      </c>
      <c r="E249">
        <v>13.55</v>
      </c>
      <c r="F249">
        <v>13.89</v>
      </c>
      <c r="G249">
        <v>13.77</v>
      </c>
      <c r="H249">
        <v>79.73</v>
      </c>
      <c r="I249">
        <v>75.06</v>
      </c>
      <c r="J249">
        <v>76.09</v>
      </c>
      <c r="K249">
        <v>5.23</v>
      </c>
      <c r="L249">
        <v>3.86</v>
      </c>
      <c r="M249">
        <v>4.71</v>
      </c>
      <c r="N249">
        <v>72.69</v>
      </c>
      <c r="O249">
        <v>78.28</v>
      </c>
      <c r="P249">
        <v>75.41</v>
      </c>
      <c r="Q249">
        <v>85.58</v>
      </c>
      <c r="R249">
        <v>53.55</v>
      </c>
      <c r="S249">
        <v>69.569999999999993</v>
      </c>
      <c r="T249">
        <v>1702262</v>
      </c>
      <c r="V249" t="str">
        <v>Ngawi</v>
      </c>
      <c r="W249">
        <v>8.36</v>
      </c>
      <c r="X249">
        <v>7.57</v>
      </c>
      <c r="Y249">
        <v>7.88</v>
      </c>
      <c r="Z249">
        <v>12.75</v>
      </c>
      <c r="AA249">
        <v>13.73</v>
      </c>
      <c r="AB249">
        <v>12.9</v>
      </c>
      <c r="AC249">
        <v>77.88</v>
      </c>
      <c r="AD249">
        <v>73.489999999999995</v>
      </c>
      <c r="AE249">
        <v>74.430000000000007</v>
      </c>
      <c r="AF249">
        <v>2.61</v>
      </c>
      <c r="AG249">
        <v>1.8</v>
      </c>
      <c r="AH249">
        <v>2.2599999999999998</v>
      </c>
      <c r="AI249">
        <v>72.75</v>
      </c>
      <c r="AJ249">
        <v>78.36</v>
      </c>
      <c r="AK249">
        <v>75.489999999999995</v>
      </c>
      <c r="AL249">
        <v>85.84</v>
      </c>
      <c r="AM249">
        <v>63.74</v>
      </c>
      <c r="AN249">
        <v>74.790000000000006</v>
      </c>
      <c r="AO249">
        <v>887172</v>
      </c>
    </row>
    <row r="250" spans="1:41" x14ac:dyDescent="0.35">
      <c r="A250" t="s">
        <v>250</v>
      </c>
      <c r="B250">
        <v>8.3699999999999992</v>
      </c>
      <c r="C250">
        <v>7.62</v>
      </c>
      <c r="D250">
        <v>7.98</v>
      </c>
      <c r="E250">
        <v>13.5</v>
      </c>
      <c r="F250">
        <v>13.66</v>
      </c>
      <c r="G250">
        <v>13.6</v>
      </c>
      <c r="H250">
        <v>78.510000000000005</v>
      </c>
      <c r="I250">
        <v>70.52</v>
      </c>
      <c r="J250">
        <v>74.45</v>
      </c>
      <c r="K250">
        <v>5.0599999999999996</v>
      </c>
      <c r="L250">
        <v>4.93</v>
      </c>
      <c r="M250">
        <v>5</v>
      </c>
      <c r="N250">
        <v>72.86</v>
      </c>
      <c r="O250">
        <v>78.53</v>
      </c>
      <c r="P250">
        <v>75.63</v>
      </c>
      <c r="Q250">
        <v>87.96</v>
      </c>
      <c r="R250">
        <v>59.74</v>
      </c>
      <c r="S250">
        <v>73.849999999999994</v>
      </c>
      <c r="T250">
        <v>2755438</v>
      </c>
      <c r="V250" t="str">
        <v>Bojonegoro</v>
      </c>
      <c r="W250">
        <v>8.1999999999999993</v>
      </c>
      <c r="X250">
        <v>7.31</v>
      </c>
      <c r="Y250">
        <v>7.78</v>
      </c>
      <c r="Z250">
        <v>12.77</v>
      </c>
      <c r="AA250">
        <v>13.45</v>
      </c>
      <c r="AB250">
        <v>13.27</v>
      </c>
      <c r="AC250">
        <v>77.3</v>
      </c>
      <c r="AD250">
        <v>71.55</v>
      </c>
      <c r="AE250">
        <v>73.739999999999995</v>
      </c>
      <c r="AF250">
        <v>3.84</v>
      </c>
      <c r="AG250">
        <v>3.99</v>
      </c>
      <c r="AH250">
        <v>3.9</v>
      </c>
      <c r="AI250">
        <v>72.52</v>
      </c>
      <c r="AJ250">
        <v>78.03</v>
      </c>
      <c r="AK250">
        <v>75.2</v>
      </c>
      <c r="AL250">
        <v>88.28</v>
      </c>
      <c r="AM250">
        <v>69</v>
      </c>
      <c r="AN250">
        <v>78.64</v>
      </c>
      <c r="AO250">
        <v>1330516</v>
      </c>
    </row>
    <row r="251" spans="1:41" x14ac:dyDescent="0.35">
      <c r="A251" t="s">
        <v>251</v>
      </c>
      <c r="B251">
        <v>7.68</v>
      </c>
      <c r="C251">
        <v>6.85</v>
      </c>
      <c r="D251">
        <v>7.28</v>
      </c>
      <c r="E251">
        <v>12.54</v>
      </c>
      <c r="F251">
        <v>12.42</v>
      </c>
      <c r="G251">
        <v>12.53</v>
      </c>
      <c r="H251">
        <v>75.569999999999993</v>
      </c>
      <c r="I251">
        <v>68.239999999999995</v>
      </c>
      <c r="J251">
        <v>71.02</v>
      </c>
      <c r="K251">
        <v>2.4900000000000002</v>
      </c>
      <c r="L251">
        <v>4.01</v>
      </c>
      <c r="M251">
        <v>3.08</v>
      </c>
      <c r="N251">
        <v>72.19</v>
      </c>
      <c r="O251">
        <v>77.55</v>
      </c>
      <c r="P251">
        <v>74.8</v>
      </c>
      <c r="Q251">
        <v>87.03</v>
      </c>
      <c r="R251">
        <v>52.95</v>
      </c>
      <c r="S251">
        <v>69.989999999999995</v>
      </c>
      <c r="T251">
        <v>1152264</v>
      </c>
      <c r="V251" t="str">
        <v>Tuban</v>
      </c>
      <c r="W251">
        <v>8.02</v>
      </c>
      <c r="X251">
        <v>7.12</v>
      </c>
      <c r="Y251">
        <v>7.54</v>
      </c>
      <c r="Z251">
        <v>12.66</v>
      </c>
      <c r="AA251">
        <v>12.93</v>
      </c>
      <c r="AB251">
        <v>12.77</v>
      </c>
      <c r="AC251">
        <v>77.680000000000007</v>
      </c>
      <c r="AD251">
        <v>69.69</v>
      </c>
      <c r="AE251">
        <v>73.150000000000006</v>
      </c>
      <c r="AF251">
        <v>3.44</v>
      </c>
      <c r="AG251">
        <v>3.44</v>
      </c>
      <c r="AH251">
        <v>3.44</v>
      </c>
      <c r="AI251">
        <v>72.540000000000006</v>
      </c>
      <c r="AJ251">
        <v>78.06</v>
      </c>
      <c r="AK251">
        <v>75.23</v>
      </c>
      <c r="AL251">
        <v>87.22</v>
      </c>
      <c r="AM251">
        <v>58.73</v>
      </c>
      <c r="AN251">
        <v>72.98</v>
      </c>
      <c r="AO251">
        <v>1231374</v>
      </c>
    </row>
    <row r="252" spans="1:41" x14ac:dyDescent="0.35">
      <c r="A252" t="s">
        <v>252</v>
      </c>
      <c r="B252">
        <v>7.24</v>
      </c>
      <c r="C252">
        <v>6.23</v>
      </c>
      <c r="D252">
        <v>6.64</v>
      </c>
      <c r="E252">
        <v>13.68</v>
      </c>
      <c r="F252">
        <v>13.49</v>
      </c>
      <c r="G252">
        <v>13.51</v>
      </c>
      <c r="H252">
        <v>76.72</v>
      </c>
      <c r="I252">
        <v>66.59</v>
      </c>
      <c r="J252">
        <v>71.569999999999993</v>
      </c>
      <c r="K252">
        <v>3.06</v>
      </c>
      <c r="L252">
        <v>3.08</v>
      </c>
      <c r="M252">
        <v>3.07</v>
      </c>
      <c r="N252">
        <v>71.89</v>
      </c>
      <c r="O252">
        <v>76.959999999999994</v>
      </c>
      <c r="P252">
        <v>74.37</v>
      </c>
      <c r="Q252">
        <v>88.61</v>
      </c>
      <c r="R252">
        <v>63.21</v>
      </c>
      <c r="S252">
        <v>75.91</v>
      </c>
      <c r="T252">
        <v>2620135</v>
      </c>
      <c r="V252" t="str">
        <v>Lamongan</v>
      </c>
      <c r="W252">
        <v>9.2799999999999994</v>
      </c>
      <c r="X252">
        <v>8.2799999999999994</v>
      </c>
      <c r="Y252">
        <v>8.73</v>
      </c>
      <c r="Z252">
        <v>13.69</v>
      </c>
      <c r="AA252">
        <v>14.17</v>
      </c>
      <c r="AB252">
        <v>14.04</v>
      </c>
      <c r="AC252">
        <v>80.819999999999993</v>
      </c>
      <c r="AD252">
        <v>73.430000000000007</v>
      </c>
      <c r="AE252">
        <v>76.81</v>
      </c>
      <c r="AF252">
        <v>4.17</v>
      </c>
      <c r="AG252">
        <v>4.4400000000000004</v>
      </c>
      <c r="AH252">
        <v>4.29</v>
      </c>
      <c r="AI252">
        <v>72.680000000000007</v>
      </c>
      <c r="AJ252">
        <v>78.260000000000005</v>
      </c>
      <c r="AK252">
        <v>75.400000000000006</v>
      </c>
      <c r="AL252">
        <v>87.05</v>
      </c>
      <c r="AM252">
        <v>62.65</v>
      </c>
      <c r="AN252">
        <v>74.849999999999994</v>
      </c>
      <c r="AO252">
        <v>1386390</v>
      </c>
    </row>
    <row r="253" spans="1:41" x14ac:dyDescent="0.35">
      <c r="A253" t="s">
        <v>253</v>
      </c>
      <c r="B253">
        <v>8.4</v>
      </c>
      <c r="C253">
        <v>7.28</v>
      </c>
      <c r="D253">
        <v>7.84</v>
      </c>
      <c r="E253">
        <v>13.13</v>
      </c>
      <c r="F253">
        <v>13.41</v>
      </c>
      <c r="G253">
        <v>13.32</v>
      </c>
      <c r="H253">
        <v>79.709999999999994</v>
      </c>
      <c r="I253">
        <v>70.39</v>
      </c>
      <c r="J253">
        <v>75.17</v>
      </c>
      <c r="K253">
        <v>3.54</v>
      </c>
      <c r="L253">
        <v>4.5</v>
      </c>
      <c r="M253">
        <v>3.94</v>
      </c>
      <c r="N253">
        <v>71.94</v>
      </c>
      <c r="O253">
        <v>77.05</v>
      </c>
      <c r="P253">
        <v>74.430000000000007</v>
      </c>
      <c r="Q253">
        <v>86.41</v>
      </c>
      <c r="R253">
        <v>61.23</v>
      </c>
      <c r="S253">
        <v>73.819999999999993</v>
      </c>
      <c r="T253">
        <v>1764540</v>
      </c>
      <c r="V253" t="str">
        <v>Gresik</v>
      </c>
      <c r="W253">
        <v>10.35</v>
      </c>
      <c r="X253">
        <v>9.99</v>
      </c>
      <c r="Y253">
        <v>10.130000000000001</v>
      </c>
      <c r="Z253">
        <v>14.15</v>
      </c>
      <c r="AA253">
        <v>13.99</v>
      </c>
      <c r="AB253">
        <v>13.99</v>
      </c>
      <c r="AC253">
        <v>83.99</v>
      </c>
      <c r="AD253">
        <v>77.28</v>
      </c>
      <c r="AE253">
        <v>79.69</v>
      </c>
      <c r="AF253">
        <v>5.67</v>
      </c>
      <c r="AG253">
        <v>5.15</v>
      </c>
      <c r="AH253">
        <v>5.47</v>
      </c>
      <c r="AI253">
        <v>72.260000000000005</v>
      </c>
      <c r="AJ253">
        <v>77.67</v>
      </c>
      <c r="AK253">
        <v>74.900000000000006</v>
      </c>
      <c r="AL253">
        <v>83.38</v>
      </c>
      <c r="AM253">
        <v>52.54</v>
      </c>
      <c r="AN253">
        <v>67.959999999999994</v>
      </c>
      <c r="AO253">
        <v>1377287</v>
      </c>
    </row>
    <row r="254" spans="1:41" x14ac:dyDescent="0.35">
      <c r="A254" t="s">
        <v>254</v>
      </c>
      <c r="B254">
        <v>7.16</v>
      </c>
      <c r="C254">
        <v>5.9</v>
      </c>
      <c r="D254">
        <v>6.54</v>
      </c>
      <c r="E254">
        <v>13.59</v>
      </c>
      <c r="F254">
        <v>13.34</v>
      </c>
      <c r="G254">
        <v>13.34</v>
      </c>
      <c r="H254">
        <v>76.02</v>
      </c>
      <c r="I254">
        <v>69.61</v>
      </c>
      <c r="J254">
        <v>71.72</v>
      </c>
      <c r="K254">
        <v>2.82</v>
      </c>
      <c r="L254">
        <v>2.21</v>
      </c>
      <c r="M254">
        <v>2.5499999999999998</v>
      </c>
      <c r="N254">
        <v>71.31</v>
      </c>
      <c r="O254">
        <v>75.739999999999995</v>
      </c>
      <c r="P254">
        <v>73.47</v>
      </c>
      <c r="Q254">
        <v>89.22</v>
      </c>
      <c r="R254">
        <v>65.84</v>
      </c>
      <c r="S254">
        <v>77.53</v>
      </c>
      <c r="T254">
        <v>796300</v>
      </c>
      <c r="V254" t="str">
        <v>Bangkalan</v>
      </c>
      <c r="W254">
        <v>6.93</v>
      </c>
      <c r="X254">
        <v>5.55</v>
      </c>
      <c r="Y254">
        <v>6.15</v>
      </c>
      <c r="Z254">
        <v>12.18</v>
      </c>
      <c r="AA254">
        <v>12.06</v>
      </c>
      <c r="AB254">
        <v>12.09</v>
      </c>
      <c r="AC254">
        <v>73.25</v>
      </c>
      <c r="AD254">
        <v>64.77</v>
      </c>
      <c r="AE254">
        <v>68.150000000000006</v>
      </c>
      <c r="AF254">
        <v>5.63</v>
      </c>
      <c r="AG254">
        <v>4.8499999999999996</v>
      </c>
      <c r="AH254">
        <v>5.31</v>
      </c>
      <c r="AI254">
        <v>71.41</v>
      </c>
      <c r="AJ254">
        <v>75.94</v>
      </c>
      <c r="AK254">
        <v>73.62</v>
      </c>
      <c r="AL254">
        <v>82.85</v>
      </c>
      <c r="AM254">
        <v>55.6</v>
      </c>
      <c r="AN254">
        <v>69.23</v>
      </c>
      <c r="AO254">
        <v>1112956</v>
      </c>
    </row>
    <row r="255" spans="1:41" x14ac:dyDescent="0.35">
      <c r="A255" t="s">
        <v>255</v>
      </c>
      <c r="B255">
        <v>7.73</v>
      </c>
      <c r="C255">
        <v>6.41</v>
      </c>
      <c r="D255">
        <v>7.03</v>
      </c>
      <c r="E255">
        <v>13.53</v>
      </c>
      <c r="F255">
        <v>13.2</v>
      </c>
      <c r="G255">
        <v>13.21</v>
      </c>
      <c r="H255">
        <v>77.36</v>
      </c>
      <c r="I255">
        <v>68.239999999999995</v>
      </c>
      <c r="J255">
        <v>71.87</v>
      </c>
      <c r="K255">
        <v>3.44</v>
      </c>
      <c r="L255">
        <v>2.5</v>
      </c>
      <c r="M255">
        <v>3.02</v>
      </c>
      <c r="N255">
        <v>71.36</v>
      </c>
      <c r="O255">
        <v>75.83</v>
      </c>
      <c r="P255">
        <v>73.540000000000006</v>
      </c>
      <c r="Q255">
        <v>89.09</v>
      </c>
      <c r="R255">
        <v>68.47</v>
      </c>
      <c r="S255">
        <v>78.78</v>
      </c>
      <c r="T255">
        <v>704243</v>
      </c>
      <c r="V255" t="str">
        <v>Sampang</v>
      </c>
      <c r="W255">
        <v>5.79</v>
      </c>
      <c r="X255">
        <v>4.67</v>
      </c>
      <c r="Y255">
        <v>5.19</v>
      </c>
      <c r="Z255">
        <v>12.59</v>
      </c>
      <c r="AA255">
        <v>12.39</v>
      </c>
      <c r="AB255">
        <v>12.56</v>
      </c>
      <c r="AC255">
        <v>72.14</v>
      </c>
      <c r="AD255">
        <v>63.04</v>
      </c>
      <c r="AE255">
        <v>67.23</v>
      </c>
      <c r="AF255">
        <v>3.29</v>
      </c>
      <c r="AG255">
        <v>1.36</v>
      </c>
      <c r="AH255">
        <v>2.44</v>
      </c>
      <c r="AI255">
        <v>71.58</v>
      </c>
      <c r="AJ255">
        <v>76.31</v>
      </c>
      <c r="AK255">
        <v>73.89</v>
      </c>
      <c r="AL255">
        <v>88.21</v>
      </c>
      <c r="AM255">
        <v>67.010000000000005</v>
      </c>
      <c r="AN255">
        <v>77.61</v>
      </c>
      <c r="AO255">
        <v>1027538</v>
      </c>
    </row>
    <row r="256" spans="1:41" x14ac:dyDescent="0.35">
      <c r="A256" t="s">
        <v>256</v>
      </c>
      <c r="B256">
        <v>7.08</v>
      </c>
      <c r="C256">
        <v>5.84</v>
      </c>
      <c r="D256">
        <v>6.43</v>
      </c>
      <c r="E256">
        <v>13.01</v>
      </c>
      <c r="F256">
        <v>12.65</v>
      </c>
      <c r="G256">
        <v>12.8</v>
      </c>
      <c r="H256">
        <v>76.88</v>
      </c>
      <c r="I256">
        <v>67.02</v>
      </c>
      <c r="J256">
        <v>71.650000000000006</v>
      </c>
      <c r="K256">
        <v>2.98</v>
      </c>
      <c r="L256">
        <v>2.84</v>
      </c>
      <c r="M256">
        <v>2.92</v>
      </c>
      <c r="N256">
        <v>71.72</v>
      </c>
      <c r="O256">
        <v>76.599999999999994</v>
      </c>
      <c r="P256">
        <v>74.099999999999994</v>
      </c>
      <c r="Q256">
        <v>88.85</v>
      </c>
      <c r="R256">
        <v>65.13</v>
      </c>
      <c r="S256">
        <v>76.989999999999995</v>
      </c>
      <c r="T256">
        <v>1193272</v>
      </c>
      <c r="V256" t="str">
        <v>Pamekasan</v>
      </c>
      <c r="W256">
        <v>8.06</v>
      </c>
      <c r="X256">
        <v>6.6</v>
      </c>
      <c r="Y256">
        <v>7.29</v>
      </c>
      <c r="Z256">
        <v>13.98</v>
      </c>
      <c r="AA256">
        <v>13.72</v>
      </c>
      <c r="AB256">
        <v>13.83</v>
      </c>
      <c r="AC256">
        <v>76.650000000000006</v>
      </c>
      <c r="AD256">
        <v>67.48</v>
      </c>
      <c r="AE256">
        <v>71.64</v>
      </c>
      <c r="AF256">
        <v>1.52</v>
      </c>
      <c r="AG256">
        <v>1.1100000000000001</v>
      </c>
      <c r="AH256">
        <v>1.33</v>
      </c>
      <c r="AI256">
        <v>71.56</v>
      </c>
      <c r="AJ256">
        <v>76.260000000000005</v>
      </c>
      <c r="AK256">
        <v>73.849999999999994</v>
      </c>
      <c r="AL256">
        <v>87.66</v>
      </c>
      <c r="AM256">
        <v>72.44</v>
      </c>
      <c r="AN256">
        <v>80.05</v>
      </c>
      <c r="AO256">
        <v>893327</v>
      </c>
    </row>
    <row r="257" spans="1:41" x14ac:dyDescent="0.35">
      <c r="A257" t="s">
        <v>257</v>
      </c>
      <c r="B257">
        <v>8.14</v>
      </c>
      <c r="C257">
        <v>6.97</v>
      </c>
      <c r="D257">
        <v>7.47</v>
      </c>
      <c r="E257">
        <v>13.01</v>
      </c>
      <c r="F257">
        <v>12.87</v>
      </c>
      <c r="G257">
        <v>12.91</v>
      </c>
      <c r="H257">
        <v>76.790000000000006</v>
      </c>
      <c r="I257">
        <v>70.69</v>
      </c>
      <c r="J257">
        <v>73.02</v>
      </c>
      <c r="K257">
        <v>3.95</v>
      </c>
      <c r="L257">
        <v>4.59</v>
      </c>
      <c r="M257">
        <v>4.22</v>
      </c>
      <c r="N257">
        <v>72.19</v>
      </c>
      <c r="O257">
        <v>77.56</v>
      </c>
      <c r="P257">
        <v>74.81</v>
      </c>
      <c r="Q257">
        <v>86.55</v>
      </c>
      <c r="R257">
        <v>63.05</v>
      </c>
      <c r="S257">
        <v>74.8</v>
      </c>
      <c r="T257">
        <v>1669400</v>
      </c>
      <c r="V257" t="str">
        <v>Sumenep</v>
      </c>
      <c r="W257">
        <v>7.22</v>
      </c>
      <c r="X257">
        <v>5.6</v>
      </c>
      <c r="Y257">
        <v>6.24</v>
      </c>
      <c r="Z257">
        <v>13.72</v>
      </c>
      <c r="AA257">
        <v>13.49</v>
      </c>
      <c r="AB257">
        <v>13.6</v>
      </c>
      <c r="AC257">
        <v>76.06</v>
      </c>
      <c r="AD257">
        <v>63.56</v>
      </c>
      <c r="AE257">
        <v>70.540000000000006</v>
      </c>
      <c r="AF257">
        <v>1.83</v>
      </c>
      <c r="AG257">
        <v>1.44</v>
      </c>
      <c r="AH257">
        <v>1.64</v>
      </c>
      <c r="AI257">
        <v>71.709999999999994</v>
      </c>
      <c r="AJ257">
        <v>76.58</v>
      </c>
      <c r="AK257">
        <v>74.09</v>
      </c>
      <c r="AL257">
        <v>87.68</v>
      </c>
      <c r="AM257">
        <v>72.94</v>
      </c>
      <c r="AN257">
        <v>80.31</v>
      </c>
      <c r="AO257">
        <v>1159397</v>
      </c>
    </row>
    <row r="258" spans="1:41" x14ac:dyDescent="0.35">
      <c r="A258" t="s">
        <v>258</v>
      </c>
      <c r="B258">
        <v>11.26</v>
      </c>
      <c r="C258">
        <v>10.8</v>
      </c>
      <c r="D258">
        <v>10.94</v>
      </c>
      <c r="E258">
        <v>15.1</v>
      </c>
      <c r="F258">
        <v>15.36</v>
      </c>
      <c r="G258">
        <v>15.23</v>
      </c>
      <c r="H258">
        <v>87.02</v>
      </c>
      <c r="I258">
        <v>83.07</v>
      </c>
      <c r="J258">
        <v>83.35</v>
      </c>
      <c r="K258">
        <v>5.74</v>
      </c>
      <c r="L258">
        <v>5.76</v>
      </c>
      <c r="M258">
        <v>5.75</v>
      </c>
      <c r="N258">
        <v>74.260000000000005</v>
      </c>
      <c r="O258">
        <v>79.06</v>
      </c>
      <c r="P258">
        <v>76.08</v>
      </c>
      <c r="Q258">
        <v>83.56</v>
      </c>
      <c r="R258">
        <v>55.53</v>
      </c>
      <c r="S258">
        <v>69.55</v>
      </c>
      <c r="T258">
        <v>2193692</v>
      </c>
      <c r="V258" t="str">
        <v>Kota Kediri</v>
      </c>
      <c r="W258">
        <v>11.48</v>
      </c>
      <c r="X258">
        <v>10.69</v>
      </c>
      <c r="Y258">
        <v>11.09</v>
      </c>
      <c r="Z258">
        <v>15.58</v>
      </c>
      <c r="AA258">
        <v>15.89</v>
      </c>
      <c r="AB258">
        <v>15.72</v>
      </c>
      <c r="AC258">
        <v>85.43</v>
      </c>
      <c r="AD258">
        <v>82.32</v>
      </c>
      <c r="AE258">
        <v>82.71</v>
      </c>
      <c r="AF258">
        <v>4.3600000000000003</v>
      </c>
      <c r="AG258">
        <v>2.96</v>
      </c>
      <c r="AH258">
        <v>3.76</v>
      </c>
      <c r="AI258">
        <v>73.400000000000006</v>
      </c>
      <c r="AJ258">
        <v>79.3</v>
      </c>
      <c r="AK258">
        <v>76.28</v>
      </c>
      <c r="AL258">
        <v>81.42</v>
      </c>
      <c r="AM258">
        <v>59.93</v>
      </c>
      <c r="AN258">
        <v>70.680000000000007</v>
      </c>
      <c r="AO258">
        <v>301202</v>
      </c>
    </row>
    <row r="259" spans="1:41" x14ac:dyDescent="0.35">
      <c r="A259" t="s">
        <v>259</v>
      </c>
      <c r="B259">
        <v>9.7100000000000009</v>
      </c>
      <c r="C259">
        <v>8.66</v>
      </c>
      <c r="D259">
        <v>9.14</v>
      </c>
      <c r="E259">
        <v>13.07</v>
      </c>
      <c r="F259">
        <v>13.23</v>
      </c>
      <c r="G259">
        <v>13.16</v>
      </c>
      <c r="H259">
        <v>81.349999999999994</v>
      </c>
      <c r="I259">
        <v>75.53</v>
      </c>
      <c r="J259">
        <v>77.459999999999994</v>
      </c>
      <c r="K259">
        <v>3.59</v>
      </c>
      <c r="L259">
        <v>3.36</v>
      </c>
      <c r="M259">
        <v>3.49</v>
      </c>
      <c r="N259">
        <v>72.58</v>
      </c>
      <c r="O259">
        <v>78.12</v>
      </c>
      <c r="P259">
        <v>75.28</v>
      </c>
      <c r="Q259">
        <v>82.46</v>
      </c>
      <c r="R259">
        <v>66.03</v>
      </c>
      <c r="S259">
        <v>74.25</v>
      </c>
      <c r="T259">
        <v>1162696</v>
      </c>
      <c r="V259" t="str">
        <v>Kota Blitar</v>
      </c>
      <c r="W259">
        <v>11.01</v>
      </c>
      <c r="X259">
        <v>10.75</v>
      </c>
      <c r="Y259">
        <v>10.83</v>
      </c>
      <c r="Z259">
        <v>14.73</v>
      </c>
      <c r="AA259">
        <v>14.98</v>
      </c>
      <c r="AB259">
        <v>14.82</v>
      </c>
      <c r="AC259">
        <v>83.45</v>
      </c>
      <c r="AD259">
        <v>81.87</v>
      </c>
      <c r="AE259">
        <v>82.03</v>
      </c>
      <c r="AF259">
        <v>4.97</v>
      </c>
      <c r="AG259">
        <v>3.43</v>
      </c>
      <c r="AH259">
        <v>4.28</v>
      </c>
      <c r="AI259">
        <v>73.61</v>
      </c>
      <c r="AJ259">
        <v>78.34</v>
      </c>
      <c r="AK259">
        <v>75.47</v>
      </c>
      <c r="AL259">
        <v>84.84</v>
      </c>
      <c r="AM259">
        <v>67.37</v>
      </c>
      <c r="AN259">
        <v>76.11</v>
      </c>
      <c r="AO259">
        <v>156330</v>
      </c>
    </row>
    <row r="260" spans="1:41" x14ac:dyDescent="0.35">
      <c r="A260" t="s">
        <v>260</v>
      </c>
      <c r="B260">
        <v>9.31</v>
      </c>
      <c r="C260">
        <v>8.3800000000000008</v>
      </c>
      <c r="D260">
        <v>8.8800000000000008</v>
      </c>
      <c r="E260">
        <v>13.44</v>
      </c>
      <c r="F260">
        <v>13.89</v>
      </c>
      <c r="G260">
        <v>13.62</v>
      </c>
      <c r="H260">
        <v>80.31</v>
      </c>
      <c r="I260">
        <v>73.58</v>
      </c>
      <c r="J260">
        <v>76.37</v>
      </c>
      <c r="K260">
        <v>2.66</v>
      </c>
      <c r="L260">
        <v>4.2</v>
      </c>
      <c r="M260">
        <v>3.28</v>
      </c>
      <c r="N260">
        <v>72.319999999999993</v>
      </c>
      <c r="O260">
        <v>77.75</v>
      </c>
      <c r="P260">
        <v>74.97</v>
      </c>
      <c r="Q260">
        <v>86.43</v>
      </c>
      <c r="R260">
        <v>58.77</v>
      </c>
      <c r="S260">
        <v>72.599999999999994</v>
      </c>
      <c r="T260">
        <v>1373793</v>
      </c>
      <c r="V260" t="str">
        <v>Kota Malang</v>
      </c>
      <c r="W260">
        <v>11.74</v>
      </c>
      <c r="X260">
        <v>11.33</v>
      </c>
      <c r="Y260">
        <v>11.36</v>
      </c>
      <c r="Z260">
        <v>15.98</v>
      </c>
      <c r="AA260">
        <v>15.79</v>
      </c>
      <c r="AB260">
        <v>15.8</v>
      </c>
      <c r="AC260">
        <v>88.11</v>
      </c>
      <c r="AD260">
        <v>85.5</v>
      </c>
      <c r="AE260">
        <v>85.55</v>
      </c>
      <c r="AF260">
        <v>6.14</v>
      </c>
      <c r="AG260">
        <v>5.12</v>
      </c>
      <c r="AH260">
        <v>5.69</v>
      </c>
      <c r="AI260">
        <v>73.069999999999993</v>
      </c>
      <c r="AJ260">
        <v>78.83</v>
      </c>
      <c r="AK260">
        <v>75.88</v>
      </c>
      <c r="AL260">
        <v>79.349999999999994</v>
      </c>
      <c r="AM260">
        <v>60.62</v>
      </c>
      <c r="AN260">
        <v>69.989999999999995</v>
      </c>
      <c r="AO260">
        <v>879873</v>
      </c>
    </row>
    <row r="261" spans="1:41" x14ac:dyDescent="0.35">
      <c r="A261" t="s">
        <v>261</v>
      </c>
      <c r="B261">
        <v>8.76</v>
      </c>
      <c r="C261">
        <v>7.86</v>
      </c>
      <c r="D261">
        <v>8.26</v>
      </c>
      <c r="E261">
        <v>13.05</v>
      </c>
      <c r="F261">
        <v>13.85</v>
      </c>
      <c r="G261">
        <v>13.19</v>
      </c>
      <c r="H261">
        <v>79.66</v>
      </c>
      <c r="I261">
        <v>75.739999999999995</v>
      </c>
      <c r="J261">
        <v>75.89</v>
      </c>
      <c r="K261">
        <v>3.62</v>
      </c>
      <c r="L261">
        <v>4.16</v>
      </c>
      <c r="M261">
        <v>3.84</v>
      </c>
      <c r="N261">
        <v>72.319999999999993</v>
      </c>
      <c r="O261">
        <v>77.739999999999995</v>
      </c>
      <c r="P261">
        <v>74.959999999999994</v>
      </c>
      <c r="Q261">
        <v>85.95</v>
      </c>
      <c r="R261">
        <v>60.43</v>
      </c>
      <c r="S261">
        <v>73.19</v>
      </c>
      <c r="T261">
        <v>1138604</v>
      </c>
      <c r="V261" t="str">
        <v>Kota Probolinggo</v>
      </c>
      <c r="W261">
        <v>10.18</v>
      </c>
      <c r="X261">
        <v>9.41</v>
      </c>
      <c r="Y261">
        <v>9.73</v>
      </c>
      <c r="Z261">
        <v>14.24</v>
      </c>
      <c r="AA261">
        <v>13.96</v>
      </c>
      <c r="AB261">
        <v>13.99</v>
      </c>
      <c r="AC261">
        <v>79.77</v>
      </c>
      <c r="AD261">
        <v>77.790000000000006</v>
      </c>
      <c r="AE261">
        <v>78.5</v>
      </c>
      <c r="AF261">
        <v>5.97</v>
      </c>
      <c r="AG261">
        <v>3.45</v>
      </c>
      <c r="AH261">
        <v>4.93</v>
      </c>
      <c r="AI261">
        <v>72.069999999999993</v>
      </c>
      <c r="AJ261">
        <v>77.33</v>
      </c>
      <c r="AK261">
        <v>74.64</v>
      </c>
      <c r="AL261">
        <v>81.290000000000006</v>
      </c>
      <c r="AM261">
        <v>55.97</v>
      </c>
      <c r="AN261">
        <v>68.63</v>
      </c>
      <c r="AO261">
        <v>252085</v>
      </c>
    </row>
    <row r="262" spans="1:41" x14ac:dyDescent="0.35">
      <c r="A262" t="s">
        <v>262</v>
      </c>
      <c r="B262">
        <v>8.6199999999999992</v>
      </c>
      <c r="C262">
        <v>7.92</v>
      </c>
      <c r="D262">
        <v>8.2100000000000009</v>
      </c>
      <c r="E262">
        <v>13.24</v>
      </c>
      <c r="F262">
        <v>13.76</v>
      </c>
      <c r="G262">
        <v>13.28</v>
      </c>
      <c r="H262">
        <v>78.88</v>
      </c>
      <c r="I262">
        <v>73.849999999999994</v>
      </c>
      <c r="J262">
        <v>75.47</v>
      </c>
      <c r="K262">
        <v>2.83</v>
      </c>
      <c r="L262">
        <v>3.71</v>
      </c>
      <c r="M262">
        <v>3.22</v>
      </c>
      <c r="N262">
        <v>72.44</v>
      </c>
      <c r="O262">
        <v>77.92</v>
      </c>
      <c r="P262">
        <v>75.11</v>
      </c>
      <c r="Q262">
        <v>83.72</v>
      </c>
      <c r="R262">
        <v>64.569999999999993</v>
      </c>
      <c r="S262">
        <v>74.150000000000006</v>
      </c>
      <c r="T262">
        <v>760948</v>
      </c>
      <c r="V262" t="str">
        <v>Kota Pasuruan</v>
      </c>
      <c r="W262">
        <v>10.26</v>
      </c>
      <c r="X262">
        <v>9.81</v>
      </c>
      <c r="Y262">
        <v>9.98</v>
      </c>
      <c r="Z262">
        <v>13.68</v>
      </c>
      <c r="AA262">
        <v>13.95</v>
      </c>
      <c r="AB262">
        <v>13.68</v>
      </c>
      <c r="AC262">
        <v>80.400000000000006</v>
      </c>
      <c r="AD262">
        <v>79.27</v>
      </c>
      <c r="AE262">
        <v>79.52</v>
      </c>
      <c r="AF262">
        <v>4.95</v>
      </c>
      <c r="AG262">
        <v>4.1399999999999997</v>
      </c>
      <c r="AH262">
        <v>4.59</v>
      </c>
      <c r="AI262">
        <v>72.5</v>
      </c>
      <c r="AJ262">
        <v>78.010000000000005</v>
      </c>
      <c r="AK262">
        <v>75.19</v>
      </c>
      <c r="AL262">
        <v>84.65</v>
      </c>
      <c r="AM262">
        <v>66.72</v>
      </c>
      <c r="AN262">
        <v>75.69</v>
      </c>
      <c r="AO262">
        <v>222334</v>
      </c>
    </row>
    <row r="263" spans="1:41" x14ac:dyDescent="0.35">
      <c r="A263" t="s">
        <v>263</v>
      </c>
      <c r="B263">
        <v>9.3000000000000007</v>
      </c>
      <c r="C263">
        <v>8.4499999999999993</v>
      </c>
      <c r="D263">
        <v>8.84</v>
      </c>
      <c r="E263">
        <v>14.28</v>
      </c>
      <c r="F263">
        <v>14.09</v>
      </c>
      <c r="G263">
        <v>14.09</v>
      </c>
      <c r="H263">
        <v>81.03</v>
      </c>
      <c r="I263">
        <v>76.989999999999995</v>
      </c>
      <c r="J263">
        <v>77.58</v>
      </c>
      <c r="K263">
        <v>2.5</v>
      </c>
      <c r="L263">
        <v>4.21</v>
      </c>
      <c r="M263">
        <v>3.26</v>
      </c>
      <c r="N263">
        <v>72.98</v>
      </c>
      <c r="O263">
        <v>78.69</v>
      </c>
      <c r="P263">
        <v>75.760000000000005</v>
      </c>
      <c r="Q263">
        <v>84.78</v>
      </c>
      <c r="R263">
        <v>65.11</v>
      </c>
      <c r="S263">
        <v>74.95</v>
      </c>
      <c r="T263">
        <v>689209</v>
      </c>
      <c r="V263" t="str">
        <v>Kota Mojokerto</v>
      </c>
      <c r="W263">
        <v>11.74</v>
      </c>
      <c r="X263">
        <v>11.18</v>
      </c>
      <c r="Y263">
        <v>11.44</v>
      </c>
      <c r="Z263">
        <v>14.43</v>
      </c>
      <c r="AA263">
        <v>14.14</v>
      </c>
      <c r="AB263">
        <v>14.14</v>
      </c>
      <c r="AC263">
        <v>85.61</v>
      </c>
      <c r="AD263">
        <v>81.89</v>
      </c>
      <c r="AE263">
        <v>82.35</v>
      </c>
      <c r="AF263">
        <v>5.37</v>
      </c>
      <c r="AG263">
        <v>3.68</v>
      </c>
      <c r="AH263">
        <v>4.66</v>
      </c>
      <c r="AI263">
        <v>73.42</v>
      </c>
      <c r="AJ263">
        <v>79.34</v>
      </c>
      <c r="AK263">
        <v>76.31</v>
      </c>
      <c r="AL263">
        <v>82.48</v>
      </c>
      <c r="AM263">
        <v>57.92</v>
      </c>
      <c r="AN263">
        <v>70.2</v>
      </c>
      <c r="AO263">
        <v>138613</v>
      </c>
    </row>
    <row r="264" spans="1:41" x14ac:dyDescent="0.35">
      <c r="A264" t="s">
        <v>264</v>
      </c>
      <c r="B264">
        <v>8.36</v>
      </c>
      <c r="C264">
        <v>7.57</v>
      </c>
      <c r="D264">
        <v>7.88</v>
      </c>
      <c r="E264">
        <v>12.75</v>
      </c>
      <c r="F264">
        <v>13.73</v>
      </c>
      <c r="G264">
        <v>12.9</v>
      </c>
      <c r="H264">
        <v>77.88</v>
      </c>
      <c r="I264">
        <v>73.489999999999995</v>
      </c>
      <c r="J264">
        <v>74.430000000000007</v>
      </c>
      <c r="K264">
        <v>2.61</v>
      </c>
      <c r="L264">
        <v>1.8</v>
      </c>
      <c r="M264">
        <v>2.2599999999999998</v>
      </c>
      <c r="N264">
        <v>72.75</v>
      </c>
      <c r="O264">
        <v>78.36</v>
      </c>
      <c r="P264">
        <v>75.489999999999995</v>
      </c>
      <c r="Q264">
        <v>85.84</v>
      </c>
      <c r="R264">
        <v>63.74</v>
      </c>
      <c r="S264">
        <v>74.790000000000006</v>
      </c>
      <c r="T264">
        <v>887172</v>
      </c>
      <c r="V264" t="str">
        <v>Kota Madiun</v>
      </c>
      <c r="W264">
        <v>12.39</v>
      </c>
      <c r="X264">
        <v>11.75</v>
      </c>
      <c r="Y264">
        <v>12.12</v>
      </c>
      <c r="Z264">
        <v>14.51</v>
      </c>
      <c r="AA264">
        <v>14.91</v>
      </c>
      <c r="AB264">
        <v>14.55</v>
      </c>
      <c r="AC264">
        <v>88.33</v>
      </c>
      <c r="AD264">
        <v>84.84</v>
      </c>
      <c r="AE264">
        <v>85.12</v>
      </c>
      <c r="AF264">
        <v>4.09</v>
      </c>
      <c r="AG264">
        <v>4.54</v>
      </c>
      <c r="AH264">
        <v>4.29</v>
      </c>
      <c r="AI264">
        <v>73.260000000000005</v>
      </c>
      <c r="AJ264">
        <v>79.11</v>
      </c>
      <c r="AK264">
        <v>76.11</v>
      </c>
      <c r="AL264">
        <v>80.39</v>
      </c>
      <c r="AM264">
        <v>62.59</v>
      </c>
      <c r="AN264">
        <v>71.489999999999995</v>
      </c>
      <c r="AO264">
        <v>203552</v>
      </c>
    </row>
    <row r="265" spans="1:41" x14ac:dyDescent="0.35">
      <c r="A265" t="s">
        <v>265</v>
      </c>
      <c r="B265">
        <v>8.1999999999999993</v>
      </c>
      <c r="C265">
        <v>7.31</v>
      </c>
      <c r="D265">
        <v>7.78</v>
      </c>
      <c r="E265">
        <v>12.77</v>
      </c>
      <c r="F265">
        <v>13.45</v>
      </c>
      <c r="G265">
        <v>13.27</v>
      </c>
      <c r="H265">
        <v>77.3</v>
      </c>
      <c r="I265">
        <v>71.55</v>
      </c>
      <c r="J265">
        <v>73.739999999999995</v>
      </c>
      <c r="K265">
        <v>3.84</v>
      </c>
      <c r="L265">
        <v>3.99</v>
      </c>
      <c r="M265">
        <v>3.9</v>
      </c>
      <c r="N265">
        <v>72.52</v>
      </c>
      <c r="O265">
        <v>78.03</v>
      </c>
      <c r="P265">
        <v>75.2</v>
      </c>
      <c r="Q265">
        <v>88.28</v>
      </c>
      <c r="R265">
        <v>69</v>
      </c>
      <c r="S265">
        <v>78.64</v>
      </c>
      <c r="T265">
        <v>1330516</v>
      </c>
      <c r="V265" t="str">
        <v>Kota Surabaya</v>
      </c>
      <c r="W265">
        <v>11.46</v>
      </c>
      <c r="X265">
        <v>10.91</v>
      </c>
      <c r="Y265">
        <v>11.15</v>
      </c>
      <c r="Z265">
        <v>15.14</v>
      </c>
      <c r="AA265">
        <v>14.71</v>
      </c>
      <c r="AB265">
        <v>14.88</v>
      </c>
      <c r="AC265">
        <v>87.96</v>
      </c>
      <c r="AD265">
        <v>84.41</v>
      </c>
      <c r="AE265">
        <v>85.65</v>
      </c>
      <c r="AF265">
        <v>4.8099999999999996</v>
      </c>
      <c r="AG265">
        <v>4.88</v>
      </c>
      <c r="AH265">
        <v>4.84</v>
      </c>
      <c r="AI265">
        <v>73.45</v>
      </c>
      <c r="AJ265">
        <v>79.38</v>
      </c>
      <c r="AK265">
        <v>76.34</v>
      </c>
      <c r="AL265">
        <v>81.42</v>
      </c>
      <c r="AM265">
        <v>60.16</v>
      </c>
      <c r="AN265">
        <v>70.790000000000006</v>
      </c>
      <c r="AO265">
        <v>2931611</v>
      </c>
    </row>
    <row r="266" spans="1:41" x14ac:dyDescent="0.35">
      <c r="A266" t="s">
        <v>266</v>
      </c>
      <c r="B266">
        <v>8.02</v>
      </c>
      <c r="C266">
        <v>7.12</v>
      </c>
      <c r="D266">
        <v>7.54</v>
      </c>
      <c r="E266">
        <v>12.66</v>
      </c>
      <c r="F266">
        <v>12.93</v>
      </c>
      <c r="G266">
        <v>12.77</v>
      </c>
      <c r="H266">
        <v>77.680000000000007</v>
      </c>
      <c r="I266">
        <v>69.69</v>
      </c>
      <c r="J266">
        <v>73.150000000000006</v>
      </c>
      <c r="K266">
        <v>3.44</v>
      </c>
      <c r="L266">
        <v>3.44</v>
      </c>
      <c r="M266">
        <v>3.44</v>
      </c>
      <c r="N266">
        <v>72.540000000000006</v>
      </c>
      <c r="O266">
        <v>78.06</v>
      </c>
      <c r="P266">
        <v>75.23</v>
      </c>
      <c r="Q266">
        <v>87.22</v>
      </c>
      <c r="R266">
        <v>58.73</v>
      </c>
      <c r="S266">
        <v>72.98</v>
      </c>
      <c r="T266">
        <v>1231374</v>
      </c>
      <c r="V266" t="str">
        <v>Kota Batu</v>
      </c>
      <c r="W266">
        <v>10.14</v>
      </c>
      <c r="X266">
        <v>9.8699999999999992</v>
      </c>
      <c r="Y266">
        <v>9.9499999999999993</v>
      </c>
      <c r="Z266">
        <v>14.56</v>
      </c>
      <c r="AA266">
        <v>14.59</v>
      </c>
      <c r="AB266">
        <v>14.59</v>
      </c>
      <c r="AC266">
        <v>84.09</v>
      </c>
      <c r="AD266">
        <v>77.25</v>
      </c>
      <c r="AE266">
        <v>80.349999999999994</v>
      </c>
      <c r="AF266">
        <v>4.0999999999999996</v>
      </c>
      <c r="AG266">
        <v>2.82</v>
      </c>
      <c r="AH266">
        <v>3.53</v>
      </c>
      <c r="AI266">
        <v>72.92</v>
      </c>
      <c r="AJ266">
        <v>78.62</v>
      </c>
      <c r="AK266">
        <v>75.7</v>
      </c>
      <c r="AL266">
        <v>88.45</v>
      </c>
      <c r="AM266">
        <v>72.569999999999993</v>
      </c>
      <c r="AN266">
        <v>80.510000000000005</v>
      </c>
      <c r="AO266">
        <v>225120</v>
      </c>
    </row>
    <row r="267" spans="1:41" x14ac:dyDescent="0.35">
      <c r="A267" t="s">
        <v>267</v>
      </c>
      <c r="B267">
        <v>9.2799999999999994</v>
      </c>
      <c r="C267">
        <v>8.2799999999999994</v>
      </c>
      <c r="D267">
        <v>8.73</v>
      </c>
      <c r="E267">
        <v>13.69</v>
      </c>
      <c r="F267">
        <v>14.17</v>
      </c>
      <c r="G267">
        <v>14.04</v>
      </c>
      <c r="H267">
        <v>80.819999999999993</v>
      </c>
      <c r="I267">
        <v>73.430000000000007</v>
      </c>
      <c r="J267">
        <v>76.81</v>
      </c>
      <c r="K267">
        <v>4.17</v>
      </c>
      <c r="L267">
        <v>4.4400000000000004</v>
      </c>
      <c r="M267">
        <v>4.29</v>
      </c>
      <c r="N267">
        <v>72.680000000000007</v>
      </c>
      <c r="O267">
        <v>78.260000000000005</v>
      </c>
      <c r="P267">
        <v>75.400000000000006</v>
      </c>
      <c r="Q267">
        <v>87.05</v>
      </c>
      <c r="R267">
        <v>62.65</v>
      </c>
      <c r="S267">
        <v>74.849999999999994</v>
      </c>
      <c r="T267">
        <v>1386390</v>
      </c>
      <c r="V267" t="str">
        <v>Pandeglang</v>
      </c>
      <c r="W267">
        <v>7.96</v>
      </c>
      <c r="X267">
        <v>7.11</v>
      </c>
      <c r="Y267">
        <v>7.5</v>
      </c>
      <c r="Z267">
        <v>13.52</v>
      </c>
      <c r="AA267">
        <v>14.16</v>
      </c>
      <c r="AB267">
        <v>13.75</v>
      </c>
      <c r="AC267">
        <v>76.8</v>
      </c>
      <c r="AD267">
        <v>67.760000000000005</v>
      </c>
      <c r="AE267">
        <v>71.84</v>
      </c>
      <c r="AF267">
        <v>8.9499999999999993</v>
      </c>
      <c r="AG267">
        <v>8.4700000000000006</v>
      </c>
      <c r="AH267">
        <v>8.8000000000000007</v>
      </c>
      <c r="AI267">
        <v>72.02</v>
      </c>
      <c r="AJ267">
        <v>77.22</v>
      </c>
      <c r="AK267">
        <v>74.56</v>
      </c>
      <c r="AL267">
        <v>83.52</v>
      </c>
      <c r="AM267">
        <v>39.409999999999997</v>
      </c>
      <c r="AN267">
        <v>61.47</v>
      </c>
      <c r="AO267">
        <v>1338368</v>
      </c>
    </row>
    <row r="268" spans="1:41" x14ac:dyDescent="0.35">
      <c r="A268" t="s">
        <v>268</v>
      </c>
      <c r="B268">
        <v>10.35</v>
      </c>
      <c r="C268">
        <v>9.99</v>
      </c>
      <c r="D268">
        <v>10.130000000000001</v>
      </c>
      <c r="E268">
        <v>14.15</v>
      </c>
      <c r="F268">
        <v>13.99</v>
      </c>
      <c r="G268">
        <v>13.99</v>
      </c>
      <c r="H268">
        <v>83.99</v>
      </c>
      <c r="I268">
        <v>77.28</v>
      </c>
      <c r="J268">
        <v>79.69</v>
      </c>
      <c r="K268">
        <v>5.67</v>
      </c>
      <c r="L268">
        <v>5.15</v>
      </c>
      <c r="M268">
        <v>5.47</v>
      </c>
      <c r="N268">
        <v>72.260000000000005</v>
      </c>
      <c r="O268">
        <v>77.67</v>
      </c>
      <c r="P268">
        <v>74.900000000000006</v>
      </c>
      <c r="Q268">
        <v>83.38</v>
      </c>
      <c r="R268">
        <v>52.54</v>
      </c>
      <c r="S268">
        <v>67.959999999999994</v>
      </c>
      <c r="T268">
        <v>1377287</v>
      </c>
      <c r="V268" t="str">
        <v>Lebak</v>
      </c>
      <c r="W268">
        <v>7.25</v>
      </c>
      <c r="X268">
        <v>6.3</v>
      </c>
      <c r="Y268">
        <v>6.78</v>
      </c>
      <c r="Z268">
        <v>12.19</v>
      </c>
      <c r="AA268">
        <v>12.1</v>
      </c>
      <c r="AB268">
        <v>12.12</v>
      </c>
      <c r="AC268">
        <v>73.849999999999994</v>
      </c>
      <c r="AD268">
        <v>60.65</v>
      </c>
      <c r="AE268">
        <v>69.239999999999995</v>
      </c>
      <c r="AF268">
        <v>7.46</v>
      </c>
      <c r="AG268">
        <v>6.99</v>
      </c>
      <c r="AH268">
        <v>7.3</v>
      </c>
      <c r="AI268">
        <v>71.849999999999994</v>
      </c>
      <c r="AJ268">
        <v>76.87</v>
      </c>
      <c r="AK268">
        <v>74.3</v>
      </c>
      <c r="AL268">
        <v>81.86</v>
      </c>
      <c r="AM268">
        <v>45.78</v>
      </c>
      <c r="AN268">
        <v>63.82</v>
      </c>
      <c r="AO268">
        <v>1463818</v>
      </c>
    </row>
    <row r="269" spans="1:41" x14ac:dyDescent="0.35">
      <c r="A269" t="s">
        <v>269</v>
      </c>
      <c r="B269">
        <v>6.93</v>
      </c>
      <c r="C269">
        <v>5.55</v>
      </c>
      <c r="D269">
        <v>6.15</v>
      </c>
      <c r="E269">
        <v>12.18</v>
      </c>
      <c r="F269">
        <v>12.06</v>
      </c>
      <c r="G269">
        <v>12.09</v>
      </c>
      <c r="H269">
        <v>73.25</v>
      </c>
      <c r="I269">
        <v>64.77</v>
      </c>
      <c r="J269">
        <v>68.150000000000006</v>
      </c>
      <c r="K269">
        <v>5.63</v>
      </c>
      <c r="L269">
        <v>4.8499999999999996</v>
      </c>
      <c r="M269">
        <v>5.31</v>
      </c>
      <c r="N269">
        <v>71.41</v>
      </c>
      <c r="O269">
        <v>75.94</v>
      </c>
      <c r="P269">
        <v>73.62</v>
      </c>
      <c r="Q269">
        <v>82.85</v>
      </c>
      <c r="R269">
        <v>55.6</v>
      </c>
      <c r="S269">
        <v>69.23</v>
      </c>
      <c r="T269">
        <v>1112956</v>
      </c>
      <c r="V269" t="str">
        <v>Tangerang</v>
      </c>
      <c r="W269">
        <v>9.51</v>
      </c>
      <c r="X269">
        <v>8.84</v>
      </c>
      <c r="Y269">
        <v>9.16</v>
      </c>
      <c r="Z269">
        <v>12.89</v>
      </c>
      <c r="AA269">
        <v>12.95</v>
      </c>
      <c r="AB269">
        <v>12.89</v>
      </c>
      <c r="AC269">
        <v>80.47</v>
      </c>
      <c r="AD269">
        <v>75.08</v>
      </c>
      <c r="AE269">
        <v>76.739999999999995</v>
      </c>
      <c r="AF269">
        <v>5.64</v>
      </c>
      <c r="AG269">
        <v>6.47</v>
      </c>
      <c r="AH269">
        <v>5.94</v>
      </c>
      <c r="AI269">
        <v>72.87</v>
      </c>
      <c r="AJ269">
        <v>78.540000000000006</v>
      </c>
      <c r="AK269">
        <v>75.63</v>
      </c>
      <c r="AL269">
        <v>83.64</v>
      </c>
      <c r="AM269">
        <v>48.27</v>
      </c>
      <c r="AN269">
        <v>65.959999999999994</v>
      </c>
      <c r="AO269">
        <v>3435155</v>
      </c>
    </row>
    <row r="270" spans="1:41" x14ac:dyDescent="0.35">
      <c r="A270" t="s">
        <v>270</v>
      </c>
      <c r="B270">
        <v>5.79</v>
      </c>
      <c r="C270">
        <v>4.67</v>
      </c>
      <c r="D270">
        <v>5.19</v>
      </c>
      <c r="E270">
        <v>12.59</v>
      </c>
      <c r="F270">
        <v>12.39</v>
      </c>
      <c r="G270">
        <v>12.56</v>
      </c>
      <c r="H270">
        <v>72.14</v>
      </c>
      <c r="I270">
        <v>63.04</v>
      </c>
      <c r="J270">
        <v>67.23</v>
      </c>
      <c r="K270">
        <v>3.29</v>
      </c>
      <c r="L270">
        <v>1.36</v>
      </c>
      <c r="M270">
        <v>2.44</v>
      </c>
      <c r="N270">
        <v>71.58</v>
      </c>
      <c r="O270">
        <v>76.31</v>
      </c>
      <c r="P270">
        <v>73.89</v>
      </c>
      <c r="Q270">
        <v>88.21</v>
      </c>
      <c r="R270">
        <v>67.010000000000005</v>
      </c>
      <c r="S270">
        <v>77.61</v>
      </c>
      <c r="T270">
        <v>1027538</v>
      </c>
      <c r="V270" t="str">
        <v>Serang</v>
      </c>
      <c r="W270">
        <v>8.4700000000000006</v>
      </c>
      <c r="X270">
        <v>7.66</v>
      </c>
      <c r="Y270">
        <v>8.0299999999999994</v>
      </c>
      <c r="Z270">
        <v>12.96</v>
      </c>
      <c r="AA270">
        <v>13.42</v>
      </c>
      <c r="AB270">
        <v>13.02</v>
      </c>
      <c r="AC270">
        <v>77.94</v>
      </c>
      <c r="AD270">
        <v>73.069999999999993</v>
      </c>
      <c r="AE270">
        <v>74.099999999999994</v>
      </c>
      <c r="AF270">
        <v>7.19</v>
      </c>
      <c r="AG270">
        <v>11.48</v>
      </c>
      <c r="AH270">
        <v>8.73</v>
      </c>
      <c r="AI270">
        <v>72.67</v>
      </c>
      <c r="AJ270">
        <v>78.25</v>
      </c>
      <c r="AK270">
        <v>75.39</v>
      </c>
      <c r="AL270">
        <v>84.63</v>
      </c>
      <c r="AM270">
        <v>49.66</v>
      </c>
      <c r="AN270">
        <v>67.150000000000006</v>
      </c>
      <c r="AO270">
        <v>1720321</v>
      </c>
    </row>
    <row r="271" spans="1:41" x14ac:dyDescent="0.35">
      <c r="A271" t="s">
        <v>271</v>
      </c>
      <c r="B271">
        <v>8.06</v>
      </c>
      <c r="C271">
        <v>6.6</v>
      </c>
      <c r="D271">
        <v>7.29</v>
      </c>
      <c r="E271">
        <v>13.98</v>
      </c>
      <c r="F271">
        <v>13.72</v>
      </c>
      <c r="G271">
        <v>13.83</v>
      </c>
      <c r="H271">
        <v>76.650000000000006</v>
      </c>
      <c r="I271">
        <v>67.48</v>
      </c>
      <c r="J271">
        <v>71.64</v>
      </c>
      <c r="K271">
        <v>1.52</v>
      </c>
      <c r="L271">
        <v>1.1100000000000001</v>
      </c>
      <c r="M271">
        <v>1.33</v>
      </c>
      <c r="N271">
        <v>71.56</v>
      </c>
      <c r="O271">
        <v>76.260000000000005</v>
      </c>
      <c r="P271">
        <v>73.849999999999994</v>
      </c>
      <c r="Q271">
        <v>87.66</v>
      </c>
      <c r="R271">
        <v>72.44</v>
      </c>
      <c r="S271">
        <v>80.05</v>
      </c>
      <c r="T271">
        <v>893327</v>
      </c>
      <c r="V271" t="str">
        <v>Kota Tangerang</v>
      </c>
      <c r="W271">
        <v>11.64</v>
      </c>
      <c r="X271">
        <v>11.18</v>
      </c>
      <c r="Y271">
        <v>11.46</v>
      </c>
      <c r="Z271">
        <v>13.96</v>
      </c>
      <c r="AA271">
        <v>13.97</v>
      </c>
      <c r="AB271">
        <v>13.96</v>
      </c>
      <c r="AC271">
        <v>85.18</v>
      </c>
      <c r="AD271">
        <v>82</v>
      </c>
      <c r="AE271">
        <v>82.41</v>
      </c>
      <c r="AF271">
        <v>6.1</v>
      </c>
      <c r="AG271">
        <v>5.53</v>
      </c>
      <c r="AH271">
        <v>5.88</v>
      </c>
      <c r="AI271">
        <v>73.05</v>
      </c>
      <c r="AJ271">
        <v>78.81</v>
      </c>
      <c r="AK271">
        <v>75.86</v>
      </c>
      <c r="AL271">
        <v>79.78</v>
      </c>
      <c r="AM271">
        <v>48.7</v>
      </c>
      <c r="AN271">
        <v>64.239999999999995</v>
      </c>
      <c r="AO271">
        <v>1971652</v>
      </c>
    </row>
    <row r="272" spans="1:41" x14ac:dyDescent="0.35">
      <c r="A272" t="s">
        <v>272</v>
      </c>
      <c r="B272">
        <v>7.22</v>
      </c>
      <c r="C272">
        <v>5.6</v>
      </c>
      <c r="D272">
        <v>6.24</v>
      </c>
      <c r="E272">
        <v>13.72</v>
      </c>
      <c r="F272">
        <v>13.49</v>
      </c>
      <c r="G272">
        <v>13.6</v>
      </c>
      <c r="H272">
        <v>76.06</v>
      </c>
      <c r="I272">
        <v>63.56</v>
      </c>
      <c r="J272">
        <v>70.540000000000006</v>
      </c>
      <c r="K272">
        <v>1.83</v>
      </c>
      <c r="L272">
        <v>1.44</v>
      </c>
      <c r="M272">
        <v>1.64</v>
      </c>
      <c r="N272">
        <v>71.709999999999994</v>
      </c>
      <c r="O272">
        <v>76.58</v>
      </c>
      <c r="P272">
        <v>74.09</v>
      </c>
      <c r="Q272">
        <v>87.68</v>
      </c>
      <c r="R272">
        <v>72.94</v>
      </c>
      <c r="S272">
        <v>80.31</v>
      </c>
      <c r="T272">
        <v>1159397</v>
      </c>
      <c r="V272" t="str">
        <v>Kota Cilegon</v>
      </c>
      <c r="W272">
        <v>10.72</v>
      </c>
      <c r="X272">
        <v>10.07</v>
      </c>
      <c r="Y272">
        <v>10.4</v>
      </c>
      <c r="Z272">
        <v>13.4</v>
      </c>
      <c r="AA272">
        <v>14.73</v>
      </c>
      <c r="AB272">
        <v>13.41</v>
      </c>
      <c r="AC272">
        <v>84.14</v>
      </c>
      <c r="AD272">
        <v>75.13</v>
      </c>
      <c r="AE272">
        <v>79.540000000000006</v>
      </c>
      <c r="AF272">
        <v>9.3699999999999992</v>
      </c>
      <c r="AG272">
        <v>3.79</v>
      </c>
      <c r="AH272">
        <v>7.41</v>
      </c>
      <c r="AI272">
        <v>72.709999999999994</v>
      </c>
      <c r="AJ272">
        <v>78.31</v>
      </c>
      <c r="AK272">
        <v>75.45</v>
      </c>
      <c r="AL272">
        <v>78.92</v>
      </c>
      <c r="AM272">
        <v>43.31</v>
      </c>
      <c r="AN272">
        <v>61.12</v>
      </c>
      <c r="AO272">
        <v>460402</v>
      </c>
    </row>
    <row r="273" spans="1:41" x14ac:dyDescent="0.35">
      <c r="A273" t="s">
        <v>273</v>
      </c>
      <c r="B273">
        <v>11.48</v>
      </c>
      <c r="C273">
        <v>10.69</v>
      </c>
      <c r="D273">
        <v>11.09</v>
      </c>
      <c r="E273">
        <v>15.58</v>
      </c>
      <c r="F273">
        <v>15.89</v>
      </c>
      <c r="G273">
        <v>15.72</v>
      </c>
      <c r="H273">
        <v>85.43</v>
      </c>
      <c r="I273">
        <v>82.32</v>
      </c>
      <c r="J273">
        <v>82.71</v>
      </c>
      <c r="K273">
        <v>4.3600000000000003</v>
      </c>
      <c r="L273">
        <v>2.96</v>
      </c>
      <c r="M273">
        <v>3.76</v>
      </c>
      <c r="N273">
        <v>73.400000000000006</v>
      </c>
      <c r="O273">
        <v>79.3</v>
      </c>
      <c r="P273">
        <v>76.28</v>
      </c>
      <c r="Q273">
        <v>81.42</v>
      </c>
      <c r="R273">
        <v>59.93</v>
      </c>
      <c r="S273">
        <v>70.680000000000007</v>
      </c>
      <c r="T273">
        <v>301202</v>
      </c>
      <c r="V273" t="str">
        <v>Kota Serang</v>
      </c>
      <c r="W273">
        <v>9.61</v>
      </c>
      <c r="X273">
        <v>8.5299999999999994</v>
      </c>
      <c r="Y273">
        <v>8.94</v>
      </c>
      <c r="Z273">
        <v>12.97</v>
      </c>
      <c r="AA273">
        <v>12.85</v>
      </c>
      <c r="AB273">
        <v>12.85</v>
      </c>
      <c r="AC273">
        <v>81.599999999999994</v>
      </c>
      <c r="AD273">
        <v>76.510000000000005</v>
      </c>
      <c r="AE273">
        <v>77.5</v>
      </c>
      <c r="AF273">
        <v>7</v>
      </c>
      <c r="AG273">
        <v>6.87</v>
      </c>
      <c r="AH273">
        <v>6.95</v>
      </c>
      <c r="AI273">
        <v>72.86</v>
      </c>
      <c r="AJ273">
        <v>78.53</v>
      </c>
      <c r="AK273">
        <v>75.63</v>
      </c>
      <c r="AL273">
        <v>82.16</v>
      </c>
      <c r="AM273">
        <v>52.51</v>
      </c>
      <c r="AN273">
        <v>67.34</v>
      </c>
      <c r="AO273">
        <v>745557</v>
      </c>
    </row>
    <row r="274" spans="1:41" x14ac:dyDescent="0.35">
      <c r="A274" t="s">
        <v>274</v>
      </c>
      <c r="B274">
        <v>11.01</v>
      </c>
      <c r="C274">
        <v>10.75</v>
      </c>
      <c r="D274">
        <v>10.83</v>
      </c>
      <c r="E274">
        <v>14.73</v>
      </c>
      <c r="F274">
        <v>14.98</v>
      </c>
      <c r="G274">
        <v>14.82</v>
      </c>
      <c r="H274">
        <v>83.45</v>
      </c>
      <c r="I274">
        <v>81.87</v>
      </c>
      <c r="J274">
        <v>82.03</v>
      </c>
      <c r="K274">
        <v>4.97</v>
      </c>
      <c r="L274">
        <v>3.43</v>
      </c>
      <c r="M274">
        <v>4.28</v>
      </c>
      <c r="N274">
        <v>73.61</v>
      </c>
      <c r="O274">
        <v>78.34</v>
      </c>
      <c r="P274">
        <v>75.47</v>
      </c>
      <c r="Q274">
        <v>84.84</v>
      </c>
      <c r="R274">
        <v>67.37</v>
      </c>
      <c r="S274">
        <v>76.11</v>
      </c>
      <c r="T274">
        <v>156330</v>
      </c>
      <c r="V274" t="str">
        <v>Kota Tangerang Selatan</v>
      </c>
      <c r="W274">
        <v>12.37</v>
      </c>
      <c r="X274">
        <v>11.65</v>
      </c>
      <c r="Y274">
        <v>12.1</v>
      </c>
      <c r="Z274">
        <v>14.53</v>
      </c>
      <c r="AA274">
        <v>14.85</v>
      </c>
      <c r="AB274">
        <v>14.71</v>
      </c>
      <c r="AC274">
        <v>87.96</v>
      </c>
      <c r="AD274">
        <v>84.02</v>
      </c>
      <c r="AE274">
        <v>84.81</v>
      </c>
      <c r="AF274">
        <v>3.21</v>
      </c>
      <c r="AG274">
        <v>5.72</v>
      </c>
      <c r="AH274">
        <v>4.13</v>
      </c>
      <c r="AI274">
        <v>73.239999999999995</v>
      </c>
      <c r="AJ274">
        <v>79.08</v>
      </c>
      <c r="AK274">
        <v>76.09</v>
      </c>
      <c r="AL274">
        <v>77.239999999999995</v>
      </c>
      <c r="AM274">
        <v>43.93</v>
      </c>
      <c r="AN274">
        <v>60.59</v>
      </c>
      <c r="AO274">
        <v>1402163</v>
      </c>
    </row>
    <row r="275" spans="1:41" x14ac:dyDescent="0.35">
      <c r="A275" t="s">
        <v>275</v>
      </c>
      <c r="B275">
        <v>11.74</v>
      </c>
      <c r="C275">
        <v>11.33</v>
      </c>
      <c r="D275">
        <v>11.36</v>
      </c>
      <c r="E275">
        <v>15.98</v>
      </c>
      <c r="F275">
        <v>15.79</v>
      </c>
      <c r="G275">
        <v>15.8</v>
      </c>
      <c r="H275">
        <v>88.11</v>
      </c>
      <c r="I275">
        <v>85.5</v>
      </c>
      <c r="J275">
        <v>85.55</v>
      </c>
      <c r="K275">
        <v>6.14</v>
      </c>
      <c r="L275">
        <v>5.12</v>
      </c>
      <c r="M275">
        <v>5.69</v>
      </c>
      <c r="N275">
        <v>73.069999999999993</v>
      </c>
      <c r="O275">
        <v>78.83</v>
      </c>
      <c r="P275">
        <v>75.88</v>
      </c>
      <c r="Q275">
        <v>79.349999999999994</v>
      </c>
      <c r="R275">
        <v>60.62</v>
      </c>
      <c r="S275">
        <v>69.989999999999995</v>
      </c>
      <c r="T275">
        <v>879873</v>
      </c>
      <c r="V275" t="str">
        <v>Jembrana</v>
      </c>
      <c r="W275">
        <v>9.42</v>
      </c>
      <c r="X275">
        <v>8.1199999999999992</v>
      </c>
      <c r="Y275">
        <v>8.7100000000000009</v>
      </c>
      <c r="Z275">
        <v>13.05</v>
      </c>
      <c r="AA275">
        <v>13.17</v>
      </c>
      <c r="AB275">
        <v>13.13</v>
      </c>
      <c r="AC275">
        <v>78.319999999999993</v>
      </c>
      <c r="AD275">
        <v>74.83</v>
      </c>
      <c r="AE275">
        <v>75.94</v>
      </c>
      <c r="AF275">
        <v>1.74</v>
      </c>
      <c r="AG275">
        <v>1.54</v>
      </c>
      <c r="AH275">
        <v>1.64</v>
      </c>
      <c r="AI275">
        <v>72.69</v>
      </c>
      <c r="AJ275">
        <v>78.28</v>
      </c>
      <c r="AK275">
        <v>75.42</v>
      </c>
      <c r="AL275">
        <v>84.35</v>
      </c>
      <c r="AM275">
        <v>73.09</v>
      </c>
      <c r="AN275">
        <v>78.72</v>
      </c>
      <c r="AO275">
        <v>327708</v>
      </c>
    </row>
    <row r="276" spans="1:41" x14ac:dyDescent="0.35">
      <c r="A276" t="s">
        <v>276</v>
      </c>
      <c r="B276">
        <v>10.18</v>
      </c>
      <c r="C276">
        <v>9.41</v>
      </c>
      <c r="D276">
        <v>9.73</v>
      </c>
      <c r="E276">
        <v>14.24</v>
      </c>
      <c r="F276">
        <v>13.96</v>
      </c>
      <c r="G276">
        <v>13.99</v>
      </c>
      <c r="H276">
        <v>79.77</v>
      </c>
      <c r="I276">
        <v>77.790000000000006</v>
      </c>
      <c r="J276">
        <v>78.5</v>
      </c>
      <c r="K276">
        <v>5.97</v>
      </c>
      <c r="L276">
        <v>3.45</v>
      </c>
      <c r="M276">
        <v>4.93</v>
      </c>
      <c r="N276">
        <v>72.069999999999993</v>
      </c>
      <c r="O276">
        <v>77.33</v>
      </c>
      <c r="P276">
        <v>74.64</v>
      </c>
      <c r="Q276">
        <v>81.290000000000006</v>
      </c>
      <c r="R276">
        <v>55.97</v>
      </c>
      <c r="S276">
        <v>68.63</v>
      </c>
      <c r="T276">
        <v>252085</v>
      </c>
      <c r="V276" t="str">
        <v>Tabanan</v>
      </c>
      <c r="W276">
        <v>10.5</v>
      </c>
      <c r="X276">
        <v>9.09</v>
      </c>
      <c r="Y276">
        <v>9.81</v>
      </c>
      <c r="Z276">
        <v>13.35</v>
      </c>
      <c r="AA276">
        <v>13.41</v>
      </c>
      <c r="AB276">
        <v>13.37</v>
      </c>
      <c r="AC276">
        <v>80.959999999999994</v>
      </c>
      <c r="AD276">
        <v>78.05</v>
      </c>
      <c r="AE276">
        <v>79.7</v>
      </c>
      <c r="AF276">
        <v>1.7</v>
      </c>
      <c r="AG276">
        <v>1.44</v>
      </c>
      <c r="AH276">
        <v>1.58</v>
      </c>
      <c r="AI276">
        <v>73.72</v>
      </c>
      <c r="AJ276">
        <v>78.14</v>
      </c>
      <c r="AK276">
        <v>76.069999999999993</v>
      </c>
      <c r="AL276">
        <v>83.67</v>
      </c>
      <c r="AM276">
        <v>70.28</v>
      </c>
      <c r="AN276">
        <v>76.98</v>
      </c>
      <c r="AO276">
        <v>469130</v>
      </c>
    </row>
    <row r="277" spans="1:41" x14ac:dyDescent="0.35">
      <c r="A277" t="s">
        <v>277</v>
      </c>
      <c r="B277">
        <v>10.26</v>
      </c>
      <c r="C277">
        <v>9.81</v>
      </c>
      <c r="D277">
        <v>9.98</v>
      </c>
      <c r="E277">
        <v>13.68</v>
      </c>
      <c r="F277">
        <v>13.95</v>
      </c>
      <c r="G277">
        <v>13.68</v>
      </c>
      <c r="H277">
        <v>80.400000000000006</v>
      </c>
      <c r="I277">
        <v>79.27</v>
      </c>
      <c r="J277">
        <v>79.52</v>
      </c>
      <c r="K277">
        <v>4.95</v>
      </c>
      <c r="L277">
        <v>4.1399999999999997</v>
      </c>
      <c r="M277">
        <v>4.59</v>
      </c>
      <c r="N277">
        <v>72.5</v>
      </c>
      <c r="O277">
        <v>78.010000000000005</v>
      </c>
      <c r="P277">
        <v>75.19</v>
      </c>
      <c r="Q277">
        <v>84.65</v>
      </c>
      <c r="R277">
        <v>66.72</v>
      </c>
      <c r="S277">
        <v>75.69</v>
      </c>
      <c r="T277">
        <v>222334</v>
      </c>
      <c r="V277" t="str">
        <v>Badung</v>
      </c>
      <c r="W277">
        <v>11.62</v>
      </c>
      <c r="X277">
        <v>10.79</v>
      </c>
      <c r="Y277">
        <v>11.26</v>
      </c>
      <c r="Z277">
        <v>14.53</v>
      </c>
      <c r="AA277">
        <v>14.22</v>
      </c>
      <c r="AB277">
        <v>14.26</v>
      </c>
      <c r="AC277">
        <v>86.51</v>
      </c>
      <c r="AD277">
        <v>83.24</v>
      </c>
      <c r="AE277">
        <v>84.27</v>
      </c>
      <c r="AF277">
        <v>1.46</v>
      </c>
      <c r="AG277">
        <v>1.71</v>
      </c>
      <c r="AH277">
        <v>1.57</v>
      </c>
      <c r="AI277">
        <v>74.31</v>
      </c>
      <c r="AJ277">
        <v>78.37</v>
      </c>
      <c r="AK277">
        <v>76.180000000000007</v>
      </c>
      <c r="AL277">
        <v>81.56</v>
      </c>
      <c r="AM277">
        <v>67.709999999999994</v>
      </c>
      <c r="AN277">
        <v>74.64</v>
      </c>
      <c r="AO277">
        <v>573704</v>
      </c>
    </row>
    <row r="278" spans="1:41" x14ac:dyDescent="0.35">
      <c r="A278" t="s">
        <v>278</v>
      </c>
      <c r="B278">
        <v>11.74</v>
      </c>
      <c r="C278">
        <v>11.18</v>
      </c>
      <c r="D278">
        <v>11.44</v>
      </c>
      <c r="E278">
        <v>14.43</v>
      </c>
      <c r="F278">
        <v>14.14</v>
      </c>
      <c r="G278">
        <v>14.14</v>
      </c>
      <c r="H278">
        <v>85.61</v>
      </c>
      <c r="I278">
        <v>81.89</v>
      </c>
      <c r="J278">
        <v>82.35</v>
      </c>
      <c r="K278">
        <v>5.37</v>
      </c>
      <c r="L278">
        <v>3.68</v>
      </c>
      <c r="M278">
        <v>4.66</v>
      </c>
      <c r="N278">
        <v>73.42</v>
      </c>
      <c r="O278">
        <v>79.34</v>
      </c>
      <c r="P278">
        <v>76.31</v>
      </c>
      <c r="Q278">
        <v>82.48</v>
      </c>
      <c r="R278">
        <v>57.92</v>
      </c>
      <c r="S278">
        <v>70.2</v>
      </c>
      <c r="T278">
        <v>138613</v>
      </c>
      <c r="V278" t="str">
        <v>Gianyar</v>
      </c>
      <c r="W278">
        <v>10.67</v>
      </c>
      <c r="X278">
        <v>9.2100000000000009</v>
      </c>
      <c r="Y278">
        <v>9.93</v>
      </c>
      <c r="Z278">
        <v>14.1</v>
      </c>
      <c r="AA278">
        <v>14.17</v>
      </c>
      <c r="AB278">
        <v>14.12</v>
      </c>
      <c r="AC278">
        <v>83.23</v>
      </c>
      <c r="AD278">
        <v>79.239999999999995</v>
      </c>
      <c r="AE278">
        <v>80.959999999999994</v>
      </c>
      <c r="AF278">
        <v>1.19</v>
      </c>
      <c r="AG278">
        <v>1.96</v>
      </c>
      <c r="AH278">
        <v>1.55</v>
      </c>
      <c r="AI278">
        <v>73.8</v>
      </c>
      <c r="AJ278">
        <v>78.19</v>
      </c>
      <c r="AK278">
        <v>76.14</v>
      </c>
      <c r="AL278">
        <v>81.489999999999995</v>
      </c>
      <c r="AM278">
        <v>70.13</v>
      </c>
      <c r="AN278">
        <v>75.81</v>
      </c>
      <c r="AO278">
        <v>530115</v>
      </c>
    </row>
    <row r="279" spans="1:41" x14ac:dyDescent="0.35">
      <c r="A279" t="s">
        <v>279</v>
      </c>
      <c r="B279">
        <v>12.39</v>
      </c>
      <c r="C279">
        <v>11.75</v>
      </c>
      <c r="D279">
        <v>12.12</v>
      </c>
      <c r="E279">
        <v>14.51</v>
      </c>
      <c r="F279">
        <v>14.91</v>
      </c>
      <c r="G279">
        <v>14.55</v>
      </c>
      <c r="H279">
        <v>88.33</v>
      </c>
      <c r="I279">
        <v>84.84</v>
      </c>
      <c r="J279">
        <v>85.12</v>
      </c>
      <c r="K279">
        <v>4.09</v>
      </c>
      <c r="L279">
        <v>4.54</v>
      </c>
      <c r="M279">
        <v>4.29</v>
      </c>
      <c r="N279">
        <v>73.260000000000005</v>
      </c>
      <c r="O279">
        <v>79.11</v>
      </c>
      <c r="P279">
        <v>76.11</v>
      </c>
      <c r="Q279">
        <v>80.39</v>
      </c>
      <c r="R279">
        <v>62.59</v>
      </c>
      <c r="S279">
        <v>71.489999999999995</v>
      </c>
      <c r="T279">
        <v>203552</v>
      </c>
      <c r="V279" t="str">
        <v>Klungkung</v>
      </c>
      <c r="W279">
        <v>9.6199999999999992</v>
      </c>
      <c r="X279">
        <v>7.9</v>
      </c>
      <c r="Y279">
        <v>8.75</v>
      </c>
      <c r="Z279">
        <v>13.96</v>
      </c>
      <c r="AA279">
        <v>13.14</v>
      </c>
      <c r="AB279">
        <v>13.14</v>
      </c>
      <c r="AC279">
        <v>80.069999999999993</v>
      </c>
      <c r="AD279">
        <v>74.510000000000005</v>
      </c>
      <c r="AE279">
        <v>75.89</v>
      </c>
      <c r="AF279">
        <v>1.43</v>
      </c>
      <c r="AG279">
        <v>0.83</v>
      </c>
      <c r="AH279">
        <v>1.1499999999999999</v>
      </c>
      <c r="AI279">
        <v>72.61</v>
      </c>
      <c r="AJ279">
        <v>78.16</v>
      </c>
      <c r="AK279">
        <v>75.319999999999993</v>
      </c>
      <c r="AL279">
        <v>83.5</v>
      </c>
      <c r="AM279">
        <v>73.83</v>
      </c>
      <c r="AN279">
        <v>78.67</v>
      </c>
      <c r="AO279">
        <v>209871</v>
      </c>
    </row>
    <row r="280" spans="1:41" x14ac:dyDescent="0.35">
      <c r="A280" t="s">
        <v>280</v>
      </c>
      <c r="B280">
        <v>11.46</v>
      </c>
      <c r="C280">
        <v>10.91</v>
      </c>
      <c r="D280">
        <v>11.15</v>
      </c>
      <c r="E280">
        <v>15.14</v>
      </c>
      <c r="F280">
        <v>14.71</v>
      </c>
      <c r="G280">
        <v>14.88</v>
      </c>
      <c r="H280">
        <v>87.96</v>
      </c>
      <c r="I280">
        <v>84.41</v>
      </c>
      <c r="J280">
        <v>85.65</v>
      </c>
      <c r="K280">
        <v>4.8099999999999996</v>
      </c>
      <c r="L280">
        <v>4.88</v>
      </c>
      <c r="M280">
        <v>4.84</v>
      </c>
      <c r="N280">
        <v>73.45</v>
      </c>
      <c r="O280">
        <v>79.38</v>
      </c>
      <c r="P280">
        <v>76.34</v>
      </c>
      <c r="Q280">
        <v>81.42</v>
      </c>
      <c r="R280">
        <v>60.16</v>
      </c>
      <c r="S280">
        <v>70.790000000000006</v>
      </c>
      <c r="T280">
        <v>2931611</v>
      </c>
      <c r="V280" t="str">
        <v>Bangli</v>
      </c>
      <c r="W280">
        <v>8.4499999999999993</v>
      </c>
      <c r="X280">
        <v>7.38</v>
      </c>
      <c r="Y280">
        <v>7.8</v>
      </c>
      <c r="Z280">
        <v>13</v>
      </c>
      <c r="AA280">
        <v>12.43</v>
      </c>
      <c r="AB280">
        <v>12.54</v>
      </c>
      <c r="AC280">
        <v>77.16</v>
      </c>
      <c r="AD280">
        <v>72.14</v>
      </c>
      <c r="AE280">
        <v>73.22</v>
      </c>
      <c r="AF280">
        <v>1.25</v>
      </c>
      <c r="AG280">
        <v>0.14000000000000001</v>
      </c>
      <c r="AH280">
        <v>0.73</v>
      </c>
      <c r="AI280">
        <v>72.05</v>
      </c>
      <c r="AJ280">
        <v>77.28</v>
      </c>
      <c r="AK280">
        <v>74.599999999999994</v>
      </c>
      <c r="AL280">
        <v>86.96</v>
      </c>
      <c r="AM280">
        <v>76.48</v>
      </c>
      <c r="AN280">
        <v>81.72</v>
      </c>
      <c r="AO280">
        <v>263170</v>
      </c>
    </row>
    <row r="281" spans="1:41" x14ac:dyDescent="0.35">
      <c r="A281" t="s">
        <v>281</v>
      </c>
      <c r="B281">
        <v>10.14</v>
      </c>
      <c r="C281">
        <v>9.8699999999999992</v>
      </c>
      <c r="D281">
        <v>9.9499999999999993</v>
      </c>
      <c r="E281">
        <v>14.56</v>
      </c>
      <c r="F281">
        <v>14.59</v>
      </c>
      <c r="G281">
        <v>14.59</v>
      </c>
      <c r="H281">
        <v>84.09</v>
      </c>
      <c r="I281">
        <v>77.25</v>
      </c>
      <c r="J281">
        <v>80.349999999999994</v>
      </c>
      <c r="K281">
        <v>4.0999999999999996</v>
      </c>
      <c r="L281">
        <v>2.82</v>
      </c>
      <c r="M281">
        <v>3.53</v>
      </c>
      <c r="N281">
        <v>72.92</v>
      </c>
      <c r="O281">
        <v>78.62</v>
      </c>
      <c r="P281">
        <v>75.7</v>
      </c>
      <c r="Q281">
        <v>88.45</v>
      </c>
      <c r="R281">
        <v>72.569999999999993</v>
      </c>
      <c r="S281">
        <v>80.510000000000005</v>
      </c>
      <c r="T281">
        <v>225120</v>
      </c>
      <c r="V281" t="str">
        <v>Karangasem</v>
      </c>
      <c r="W281">
        <v>7.75</v>
      </c>
      <c r="X281">
        <v>5.91</v>
      </c>
      <c r="Y281">
        <v>6.98</v>
      </c>
      <c r="Z281">
        <v>12.8</v>
      </c>
      <c r="AA281">
        <v>13.03</v>
      </c>
      <c r="AB281">
        <v>12.92</v>
      </c>
      <c r="AC281">
        <v>75.86</v>
      </c>
      <c r="AD281">
        <v>69.239999999999995</v>
      </c>
      <c r="AE281">
        <v>71.89</v>
      </c>
      <c r="AF281">
        <v>1.48</v>
      </c>
      <c r="AG281">
        <v>2.15</v>
      </c>
      <c r="AH281">
        <v>1.8</v>
      </c>
      <c r="AI281">
        <v>71.989999999999995</v>
      </c>
      <c r="AJ281">
        <v>77.17</v>
      </c>
      <c r="AK281">
        <v>74.52</v>
      </c>
      <c r="AL281">
        <v>88.92</v>
      </c>
      <c r="AM281">
        <v>80.53</v>
      </c>
      <c r="AN281">
        <v>84.73</v>
      </c>
      <c r="AO281">
        <v>504608</v>
      </c>
    </row>
    <row r="282" spans="1:41" x14ac:dyDescent="0.35">
      <c r="A282" t="s">
        <v>282</v>
      </c>
      <c r="B282">
        <v>9.85</v>
      </c>
      <c r="C282">
        <v>9.2200000000000006</v>
      </c>
      <c r="D282">
        <v>9.56</v>
      </c>
      <c r="E282">
        <v>13.05</v>
      </c>
      <c r="F282">
        <v>13.29</v>
      </c>
      <c r="G282">
        <v>13.11</v>
      </c>
      <c r="H282">
        <v>80.81</v>
      </c>
      <c r="I282">
        <v>75.62</v>
      </c>
      <c r="J282">
        <v>77.25</v>
      </c>
      <c r="K282">
        <v>6.45</v>
      </c>
      <c r="L282">
        <v>7.12</v>
      </c>
      <c r="M282">
        <v>6.69</v>
      </c>
      <c r="N282">
        <v>72.62</v>
      </c>
      <c r="O282">
        <v>78.180000000000007</v>
      </c>
      <c r="P282">
        <v>75.33</v>
      </c>
      <c r="Q282">
        <v>81.96</v>
      </c>
      <c r="R282">
        <v>46.87</v>
      </c>
      <c r="S282">
        <v>64.42</v>
      </c>
      <c r="T282">
        <v>12537436</v>
      </c>
      <c r="V282" t="str">
        <v>Buleleng</v>
      </c>
      <c r="W282">
        <v>8.69</v>
      </c>
      <c r="X282">
        <v>7.23</v>
      </c>
      <c r="Y282">
        <v>7.94</v>
      </c>
      <c r="Z282">
        <v>13.51</v>
      </c>
      <c r="AA282">
        <v>13.29</v>
      </c>
      <c r="AB282">
        <v>13.31</v>
      </c>
      <c r="AC282">
        <v>79.97</v>
      </c>
      <c r="AD282">
        <v>74.569999999999993</v>
      </c>
      <c r="AE282">
        <v>76.06</v>
      </c>
      <c r="AF282">
        <v>1.58</v>
      </c>
      <c r="AG282">
        <v>1.44</v>
      </c>
      <c r="AH282">
        <v>1.51</v>
      </c>
      <c r="AI282">
        <v>72.239999999999995</v>
      </c>
      <c r="AJ282">
        <v>77.63</v>
      </c>
      <c r="AK282">
        <v>74.87</v>
      </c>
      <c r="AL282">
        <v>86.57</v>
      </c>
      <c r="AM282">
        <v>73.06</v>
      </c>
      <c r="AN282">
        <v>79.819999999999993</v>
      </c>
      <c r="AO282">
        <v>820477</v>
      </c>
    </row>
    <row r="283" spans="1:41" x14ac:dyDescent="0.35">
      <c r="A283" t="s">
        <v>283</v>
      </c>
      <c r="B283">
        <v>7.96</v>
      </c>
      <c r="C283">
        <v>7.11</v>
      </c>
      <c r="D283">
        <v>7.5</v>
      </c>
      <c r="E283">
        <v>13.52</v>
      </c>
      <c r="F283">
        <v>14.16</v>
      </c>
      <c r="G283">
        <v>13.75</v>
      </c>
      <c r="H283">
        <v>76.8</v>
      </c>
      <c r="I283">
        <v>67.760000000000005</v>
      </c>
      <c r="J283">
        <v>71.84</v>
      </c>
      <c r="K283">
        <v>8.9499999999999993</v>
      </c>
      <c r="L283">
        <v>8.4700000000000006</v>
      </c>
      <c r="M283">
        <v>8.8000000000000007</v>
      </c>
      <c r="N283">
        <v>72.02</v>
      </c>
      <c r="O283">
        <v>77.22</v>
      </c>
      <c r="P283">
        <v>74.56</v>
      </c>
      <c r="Q283">
        <v>83.52</v>
      </c>
      <c r="R283">
        <v>39.409999999999997</v>
      </c>
      <c r="S283">
        <v>61.47</v>
      </c>
      <c r="T283">
        <v>1338368</v>
      </c>
      <c r="V283" t="str">
        <v>Kota Denpasar</v>
      </c>
      <c r="W283">
        <v>11.93</v>
      </c>
      <c r="X283">
        <v>11.48</v>
      </c>
      <c r="Y283">
        <v>11.64</v>
      </c>
      <c r="Z283">
        <v>14.22</v>
      </c>
      <c r="AA283">
        <v>14.14</v>
      </c>
      <c r="AB283">
        <v>14.14</v>
      </c>
      <c r="AC283">
        <v>87.23</v>
      </c>
      <c r="AD283">
        <v>85.35</v>
      </c>
      <c r="AE283">
        <v>85.63</v>
      </c>
      <c r="AF283">
        <v>1.62</v>
      </c>
      <c r="AG283">
        <v>1.1299999999999999</v>
      </c>
      <c r="AH283">
        <v>1.41</v>
      </c>
      <c r="AI283">
        <v>74.33</v>
      </c>
      <c r="AJ283">
        <v>79.16</v>
      </c>
      <c r="AK283">
        <v>76.16</v>
      </c>
      <c r="AL283">
        <v>80.08</v>
      </c>
      <c r="AM283">
        <v>61.74</v>
      </c>
      <c r="AN283">
        <v>70.91</v>
      </c>
      <c r="AO283">
        <v>762484</v>
      </c>
    </row>
    <row r="284" spans="1:41" x14ac:dyDescent="0.35">
      <c r="A284" t="s">
        <v>284</v>
      </c>
      <c r="B284">
        <v>7.25</v>
      </c>
      <c r="C284">
        <v>6.3</v>
      </c>
      <c r="D284">
        <v>6.78</v>
      </c>
      <c r="E284">
        <v>12.19</v>
      </c>
      <c r="F284">
        <v>12.1</v>
      </c>
      <c r="G284">
        <v>12.12</v>
      </c>
      <c r="H284">
        <v>73.849999999999994</v>
      </c>
      <c r="I284">
        <v>60.65</v>
      </c>
      <c r="J284">
        <v>69.239999999999995</v>
      </c>
      <c r="K284">
        <v>7.46</v>
      </c>
      <c r="L284">
        <v>6.99</v>
      </c>
      <c r="M284">
        <v>7.3</v>
      </c>
      <c r="N284">
        <v>71.849999999999994</v>
      </c>
      <c r="O284">
        <v>76.87</v>
      </c>
      <c r="P284">
        <v>74.3</v>
      </c>
      <c r="Q284">
        <v>81.86</v>
      </c>
      <c r="R284">
        <v>45.78</v>
      </c>
      <c r="S284">
        <v>63.82</v>
      </c>
      <c r="T284">
        <v>1463818</v>
      </c>
      <c r="V284" t="str">
        <v>Lombok Barat</v>
      </c>
      <c r="W284">
        <v>7.92</v>
      </c>
      <c r="X284">
        <v>6.46</v>
      </c>
      <c r="Y284">
        <v>7.15</v>
      </c>
      <c r="Z284">
        <v>14.28</v>
      </c>
      <c r="AA284">
        <v>13.89</v>
      </c>
      <c r="AB284">
        <v>14.17</v>
      </c>
      <c r="AC284">
        <v>78.53</v>
      </c>
      <c r="AD284">
        <v>71.02</v>
      </c>
      <c r="AE284">
        <v>73.52</v>
      </c>
      <c r="AF284">
        <v>2.97</v>
      </c>
      <c r="AG284">
        <v>2.63</v>
      </c>
      <c r="AH284">
        <v>2.82</v>
      </c>
      <c r="AI284">
        <v>71.03</v>
      </c>
      <c r="AJ284">
        <v>75.14</v>
      </c>
      <c r="AK284">
        <v>73.03</v>
      </c>
      <c r="AL284">
        <v>84.82</v>
      </c>
      <c r="AM284">
        <v>63.97</v>
      </c>
      <c r="AN284">
        <v>74.400000000000006</v>
      </c>
      <c r="AO284">
        <v>776300</v>
      </c>
    </row>
    <row r="285" spans="1:41" x14ac:dyDescent="0.35">
      <c r="A285" t="s">
        <v>285</v>
      </c>
      <c r="B285">
        <v>9.51</v>
      </c>
      <c r="C285">
        <v>8.84</v>
      </c>
      <c r="D285">
        <v>9.16</v>
      </c>
      <c r="E285">
        <v>12.89</v>
      </c>
      <c r="F285">
        <v>12.95</v>
      </c>
      <c r="G285">
        <v>12.89</v>
      </c>
      <c r="H285">
        <v>80.47</v>
      </c>
      <c r="I285">
        <v>75.08</v>
      </c>
      <c r="J285">
        <v>76.739999999999995</v>
      </c>
      <c r="K285">
        <v>5.64</v>
      </c>
      <c r="L285">
        <v>6.47</v>
      </c>
      <c r="M285">
        <v>5.94</v>
      </c>
      <c r="N285">
        <v>72.87</v>
      </c>
      <c r="O285">
        <v>78.540000000000006</v>
      </c>
      <c r="P285">
        <v>75.63</v>
      </c>
      <c r="Q285">
        <v>83.64</v>
      </c>
      <c r="R285">
        <v>48.27</v>
      </c>
      <c r="S285">
        <v>65.959999999999994</v>
      </c>
      <c r="T285">
        <v>3435155</v>
      </c>
      <c r="V285" t="str">
        <v>Lombok Tengah</v>
      </c>
      <c r="W285">
        <v>7.72</v>
      </c>
      <c r="X285">
        <v>6.51</v>
      </c>
      <c r="Y285">
        <v>7.08</v>
      </c>
      <c r="Z285">
        <v>14.29</v>
      </c>
      <c r="AA285">
        <v>13.7</v>
      </c>
      <c r="AB285">
        <v>13.9</v>
      </c>
      <c r="AC285">
        <v>76.91</v>
      </c>
      <c r="AD285">
        <v>68.47</v>
      </c>
      <c r="AE285">
        <v>72.069999999999993</v>
      </c>
      <c r="AF285">
        <v>3.86</v>
      </c>
      <c r="AG285">
        <v>2.7</v>
      </c>
      <c r="AH285">
        <v>3.36</v>
      </c>
      <c r="AI285">
        <v>69.94</v>
      </c>
      <c r="AJ285">
        <v>73.94</v>
      </c>
      <c r="AK285">
        <v>71.89</v>
      </c>
      <c r="AL285">
        <v>88.38</v>
      </c>
      <c r="AM285">
        <v>68.400000000000006</v>
      </c>
      <c r="AN285">
        <v>78.39</v>
      </c>
      <c r="AO285">
        <v>1129778</v>
      </c>
    </row>
    <row r="286" spans="1:41" x14ac:dyDescent="0.35">
      <c r="A286" t="s">
        <v>286</v>
      </c>
      <c r="B286">
        <v>8.4700000000000006</v>
      </c>
      <c r="C286">
        <v>7.66</v>
      </c>
      <c r="D286">
        <v>8.0299999999999994</v>
      </c>
      <c r="E286">
        <v>12.96</v>
      </c>
      <c r="F286">
        <v>13.42</v>
      </c>
      <c r="G286">
        <v>13.02</v>
      </c>
      <c r="H286">
        <v>77.94</v>
      </c>
      <c r="I286">
        <v>73.069999999999993</v>
      </c>
      <c r="J286">
        <v>74.099999999999994</v>
      </c>
      <c r="K286">
        <v>7.19</v>
      </c>
      <c r="L286">
        <v>11.48</v>
      </c>
      <c r="M286">
        <v>8.73</v>
      </c>
      <c r="N286">
        <v>72.67</v>
      </c>
      <c r="O286">
        <v>78.25</v>
      </c>
      <c r="P286">
        <v>75.39</v>
      </c>
      <c r="Q286">
        <v>84.63</v>
      </c>
      <c r="R286">
        <v>49.66</v>
      </c>
      <c r="S286">
        <v>67.150000000000006</v>
      </c>
      <c r="T286">
        <v>1720321</v>
      </c>
      <c r="V286" t="str">
        <v>Lombok Timur</v>
      </c>
      <c r="W286">
        <v>8.18</v>
      </c>
      <c r="X286">
        <v>7.32</v>
      </c>
      <c r="Y286">
        <v>7.71</v>
      </c>
      <c r="Z286">
        <v>14.08</v>
      </c>
      <c r="AA286">
        <v>14.21</v>
      </c>
      <c r="AB286">
        <v>14.08</v>
      </c>
      <c r="AC286">
        <v>75.75</v>
      </c>
      <c r="AD286">
        <v>70.16</v>
      </c>
      <c r="AE286">
        <v>72.349999999999994</v>
      </c>
      <c r="AF286">
        <v>3.05</v>
      </c>
      <c r="AG286">
        <v>2.5099999999999998</v>
      </c>
      <c r="AH286">
        <v>2.82</v>
      </c>
      <c r="AI286">
        <v>70.33</v>
      </c>
      <c r="AJ286">
        <v>74.34</v>
      </c>
      <c r="AK286">
        <v>72.290000000000006</v>
      </c>
      <c r="AL286">
        <v>88.98</v>
      </c>
      <c r="AM286">
        <v>67.8</v>
      </c>
      <c r="AN286">
        <v>78.39</v>
      </c>
      <c r="AO286">
        <v>1437357</v>
      </c>
    </row>
    <row r="287" spans="1:41" x14ac:dyDescent="0.35">
      <c r="A287" t="s">
        <v>287</v>
      </c>
      <c r="B287">
        <v>11.64</v>
      </c>
      <c r="C287">
        <v>11.18</v>
      </c>
      <c r="D287">
        <v>11.46</v>
      </c>
      <c r="E287">
        <v>13.96</v>
      </c>
      <c r="F287">
        <v>13.97</v>
      </c>
      <c r="G287">
        <v>13.96</v>
      </c>
      <c r="H287">
        <v>85.18</v>
      </c>
      <c r="I287">
        <v>82</v>
      </c>
      <c r="J287">
        <v>82.41</v>
      </c>
      <c r="K287">
        <v>6.1</v>
      </c>
      <c r="L287">
        <v>5.53</v>
      </c>
      <c r="M287">
        <v>5.88</v>
      </c>
      <c r="N287">
        <v>73.05</v>
      </c>
      <c r="O287">
        <v>78.81</v>
      </c>
      <c r="P287">
        <v>75.86</v>
      </c>
      <c r="Q287">
        <v>79.78</v>
      </c>
      <c r="R287">
        <v>48.7</v>
      </c>
      <c r="S287">
        <v>64.239999999999995</v>
      </c>
      <c r="T287">
        <v>1971652</v>
      </c>
      <c r="V287" t="str">
        <v>Sumbawa</v>
      </c>
      <c r="W287">
        <v>9.2899999999999991</v>
      </c>
      <c r="X287">
        <v>8.39</v>
      </c>
      <c r="Y287">
        <v>8.8800000000000008</v>
      </c>
      <c r="Z287">
        <v>13.33</v>
      </c>
      <c r="AA287">
        <v>13.43</v>
      </c>
      <c r="AB287">
        <v>13.35</v>
      </c>
      <c r="AC287">
        <v>76.03</v>
      </c>
      <c r="AD287">
        <v>72.08</v>
      </c>
      <c r="AE287">
        <v>73.27</v>
      </c>
      <c r="AF287">
        <v>2.95</v>
      </c>
      <c r="AG287">
        <v>2.11</v>
      </c>
      <c r="AH287">
        <v>2.6</v>
      </c>
      <c r="AI287">
        <v>71.05</v>
      </c>
      <c r="AJ287">
        <v>75.2</v>
      </c>
      <c r="AK287">
        <v>73.069999999999993</v>
      </c>
      <c r="AL287">
        <v>86.87</v>
      </c>
      <c r="AM287">
        <v>59.55</v>
      </c>
      <c r="AN287">
        <v>73.209999999999994</v>
      </c>
      <c r="AO287">
        <v>543676</v>
      </c>
    </row>
    <row r="288" spans="1:41" x14ac:dyDescent="0.35">
      <c r="A288" t="s">
        <v>288</v>
      </c>
      <c r="B288">
        <v>10.72</v>
      </c>
      <c r="C288">
        <v>10.07</v>
      </c>
      <c r="D288">
        <v>10.4</v>
      </c>
      <c r="E288">
        <v>13.4</v>
      </c>
      <c r="F288">
        <v>14.73</v>
      </c>
      <c r="G288">
        <v>13.41</v>
      </c>
      <c r="H288">
        <v>84.14</v>
      </c>
      <c r="I288">
        <v>75.13</v>
      </c>
      <c r="J288">
        <v>79.540000000000006</v>
      </c>
      <c r="K288">
        <v>9.3699999999999992</v>
      </c>
      <c r="L288">
        <v>3.79</v>
      </c>
      <c r="M288">
        <v>7.41</v>
      </c>
      <c r="N288">
        <v>72.709999999999994</v>
      </c>
      <c r="O288">
        <v>78.31</v>
      </c>
      <c r="P288">
        <v>75.45</v>
      </c>
      <c r="Q288">
        <v>78.92</v>
      </c>
      <c r="R288">
        <v>43.31</v>
      </c>
      <c r="S288">
        <v>61.12</v>
      </c>
      <c r="T288">
        <v>460402</v>
      </c>
      <c r="V288" t="str">
        <v>Dompu</v>
      </c>
      <c r="W288">
        <v>9.8699999999999992</v>
      </c>
      <c r="X288">
        <v>8.7899999999999991</v>
      </c>
      <c r="Y288">
        <v>9.3800000000000008</v>
      </c>
      <c r="Z288">
        <v>13.8</v>
      </c>
      <c r="AA288">
        <v>14.56</v>
      </c>
      <c r="AB288">
        <v>14.01</v>
      </c>
      <c r="AC288">
        <v>78.239999999999995</v>
      </c>
      <c r="AD288">
        <v>71.709999999999994</v>
      </c>
      <c r="AE288">
        <v>73.58</v>
      </c>
      <c r="AF288">
        <v>2.76</v>
      </c>
      <c r="AG288">
        <v>2.94</v>
      </c>
      <c r="AH288">
        <v>2.84</v>
      </c>
      <c r="AI288">
        <v>70.13</v>
      </c>
      <c r="AJ288">
        <v>74.14</v>
      </c>
      <c r="AK288">
        <v>72.09</v>
      </c>
      <c r="AL288">
        <v>87.62</v>
      </c>
      <c r="AM288">
        <v>69.73</v>
      </c>
      <c r="AN288">
        <v>78.680000000000007</v>
      </c>
      <c r="AO288">
        <v>254667</v>
      </c>
    </row>
    <row r="289" spans="1:41" x14ac:dyDescent="0.35">
      <c r="A289" t="s">
        <v>289</v>
      </c>
      <c r="B289">
        <v>9.61</v>
      </c>
      <c r="C289">
        <v>8.5299999999999994</v>
      </c>
      <c r="D289">
        <v>8.94</v>
      </c>
      <c r="E289">
        <v>12.97</v>
      </c>
      <c r="F289">
        <v>12.85</v>
      </c>
      <c r="G289">
        <v>12.85</v>
      </c>
      <c r="H289">
        <v>81.599999999999994</v>
      </c>
      <c r="I289">
        <v>76.510000000000005</v>
      </c>
      <c r="J289">
        <v>77.5</v>
      </c>
      <c r="K289">
        <v>7</v>
      </c>
      <c r="L289">
        <v>6.87</v>
      </c>
      <c r="M289">
        <v>6.95</v>
      </c>
      <c r="N289">
        <v>72.86</v>
      </c>
      <c r="O289">
        <v>78.53</v>
      </c>
      <c r="P289">
        <v>75.63</v>
      </c>
      <c r="Q289">
        <v>82.16</v>
      </c>
      <c r="R289">
        <v>52.51</v>
      </c>
      <c r="S289">
        <v>67.34</v>
      </c>
      <c r="T289">
        <v>745557</v>
      </c>
      <c r="V289" t="str">
        <v>Bima</v>
      </c>
      <c r="W289">
        <v>9.2899999999999991</v>
      </c>
      <c r="X289">
        <v>8.44</v>
      </c>
      <c r="Y289">
        <v>8.61</v>
      </c>
      <c r="Z289">
        <v>13.7</v>
      </c>
      <c r="AA289">
        <v>13.3</v>
      </c>
      <c r="AB289">
        <v>13.67</v>
      </c>
      <c r="AC289">
        <v>75.63</v>
      </c>
      <c r="AD289">
        <v>70.02</v>
      </c>
      <c r="AE289">
        <v>71.97</v>
      </c>
      <c r="AF289">
        <v>1.5</v>
      </c>
      <c r="AG289">
        <v>2.95</v>
      </c>
      <c r="AH289">
        <v>2.13</v>
      </c>
      <c r="AI289">
        <v>70.260000000000005</v>
      </c>
      <c r="AJ289">
        <v>74.27</v>
      </c>
      <c r="AK289">
        <v>72.22</v>
      </c>
      <c r="AL289">
        <v>85.48</v>
      </c>
      <c r="AM289">
        <v>66.209999999999994</v>
      </c>
      <c r="AN289">
        <v>75.849999999999994</v>
      </c>
      <c r="AO289">
        <v>551404</v>
      </c>
    </row>
    <row r="290" spans="1:41" x14ac:dyDescent="0.35">
      <c r="A290" t="s">
        <v>290</v>
      </c>
      <c r="B290">
        <v>12.37</v>
      </c>
      <c r="C290">
        <v>11.65</v>
      </c>
      <c r="D290">
        <v>12.1</v>
      </c>
      <c r="E290">
        <v>14.53</v>
      </c>
      <c r="F290">
        <v>14.85</v>
      </c>
      <c r="G290">
        <v>14.71</v>
      </c>
      <c r="H290">
        <v>87.96</v>
      </c>
      <c r="I290">
        <v>84.02</v>
      </c>
      <c r="J290">
        <v>84.81</v>
      </c>
      <c r="K290">
        <v>3.21</v>
      </c>
      <c r="L290">
        <v>5.72</v>
      </c>
      <c r="M290">
        <v>4.13</v>
      </c>
      <c r="N290">
        <v>73.239999999999995</v>
      </c>
      <c r="O290">
        <v>79.08</v>
      </c>
      <c r="P290">
        <v>76.09</v>
      </c>
      <c r="Q290">
        <v>77.239999999999995</v>
      </c>
      <c r="R290">
        <v>43.93</v>
      </c>
      <c r="S290">
        <v>60.59</v>
      </c>
      <c r="T290">
        <v>1402163</v>
      </c>
      <c r="V290" t="str">
        <v>Sumbawa Barat</v>
      </c>
      <c r="W290">
        <v>9.77</v>
      </c>
      <c r="X290">
        <v>8.9700000000000006</v>
      </c>
      <c r="Y290">
        <v>9.35</v>
      </c>
      <c r="Z290">
        <v>14.21</v>
      </c>
      <c r="AA290">
        <v>13.6</v>
      </c>
      <c r="AB290">
        <v>13.84</v>
      </c>
      <c r="AC290">
        <v>80.069999999999993</v>
      </c>
      <c r="AD290">
        <v>75.180000000000007</v>
      </c>
      <c r="AE290">
        <v>76.459999999999994</v>
      </c>
      <c r="AF290">
        <v>4.68</v>
      </c>
      <c r="AG290">
        <v>3.4</v>
      </c>
      <c r="AH290">
        <v>4.13</v>
      </c>
      <c r="AI290">
        <v>71.37</v>
      </c>
      <c r="AJ290">
        <v>75.61</v>
      </c>
      <c r="AK290">
        <v>73.44</v>
      </c>
      <c r="AL290">
        <v>84.06</v>
      </c>
      <c r="AM290">
        <v>62.32</v>
      </c>
      <c r="AN290">
        <v>73.19</v>
      </c>
      <c r="AO290">
        <v>158130</v>
      </c>
    </row>
    <row r="291" spans="1:41" x14ac:dyDescent="0.35">
      <c r="A291" t="s">
        <v>291</v>
      </c>
      <c r="B291">
        <v>10.37</v>
      </c>
      <c r="C291">
        <v>9.1300000000000008</v>
      </c>
      <c r="D291">
        <v>9.75</v>
      </c>
      <c r="E291">
        <v>13.59</v>
      </c>
      <c r="F291">
        <v>13.88</v>
      </c>
      <c r="G291">
        <v>13.63</v>
      </c>
      <c r="H291">
        <v>81.96</v>
      </c>
      <c r="I291">
        <v>78.53</v>
      </c>
      <c r="J291">
        <v>79.37</v>
      </c>
      <c r="K291">
        <v>1.51</v>
      </c>
      <c r="L291">
        <v>1.48</v>
      </c>
      <c r="M291">
        <v>1.49</v>
      </c>
      <c r="N291">
        <v>72.72</v>
      </c>
      <c r="O291">
        <v>78.33</v>
      </c>
      <c r="P291">
        <v>75.459999999999994</v>
      </c>
      <c r="Q291">
        <v>83.84</v>
      </c>
      <c r="R291">
        <v>70.84</v>
      </c>
      <c r="S291">
        <v>77.34</v>
      </c>
      <c r="T291">
        <v>4461267</v>
      </c>
      <c r="V291" t="str">
        <v>Lombok Utara</v>
      </c>
      <c r="W291">
        <v>7.56</v>
      </c>
      <c r="X291">
        <v>5.9</v>
      </c>
      <c r="Y291">
        <v>6.75</v>
      </c>
      <c r="Z291">
        <v>13.55</v>
      </c>
      <c r="AA291">
        <v>12.88</v>
      </c>
      <c r="AB291">
        <v>13.16</v>
      </c>
      <c r="AC291">
        <v>74.64</v>
      </c>
      <c r="AD291">
        <v>64.44</v>
      </c>
      <c r="AE291">
        <v>69.63</v>
      </c>
      <c r="AF291">
        <v>2.95</v>
      </c>
      <c r="AG291">
        <v>2.33</v>
      </c>
      <c r="AH291">
        <v>2.68</v>
      </c>
      <c r="AI291">
        <v>69.930000000000007</v>
      </c>
      <c r="AJ291">
        <v>73.92</v>
      </c>
      <c r="AK291">
        <v>71.88</v>
      </c>
      <c r="AL291">
        <v>86.8</v>
      </c>
      <c r="AM291">
        <v>66.78</v>
      </c>
      <c r="AN291">
        <v>76.790000000000006</v>
      </c>
      <c r="AO291">
        <v>265176</v>
      </c>
    </row>
    <row r="292" spans="1:41" x14ac:dyDescent="0.35">
      <c r="A292" t="s">
        <v>292</v>
      </c>
      <c r="B292">
        <v>9.42</v>
      </c>
      <c r="C292">
        <v>8.1199999999999992</v>
      </c>
      <c r="D292">
        <v>8.7100000000000009</v>
      </c>
      <c r="E292">
        <v>13.05</v>
      </c>
      <c r="F292">
        <v>13.17</v>
      </c>
      <c r="G292">
        <v>13.13</v>
      </c>
      <c r="H292">
        <v>78.319999999999993</v>
      </c>
      <c r="I292">
        <v>74.83</v>
      </c>
      <c r="J292">
        <v>75.94</v>
      </c>
      <c r="K292">
        <v>1.74</v>
      </c>
      <c r="L292">
        <v>1.54</v>
      </c>
      <c r="M292">
        <v>1.64</v>
      </c>
      <c r="N292">
        <v>72.69</v>
      </c>
      <c r="O292">
        <v>78.28</v>
      </c>
      <c r="P292">
        <v>75.42</v>
      </c>
      <c r="Q292">
        <v>84.35</v>
      </c>
      <c r="R292">
        <v>73.09</v>
      </c>
      <c r="S292">
        <v>78.72</v>
      </c>
      <c r="T292">
        <v>327708</v>
      </c>
      <c r="V292" t="str">
        <v>Kota Mataram</v>
      </c>
      <c r="W292">
        <v>10.92</v>
      </c>
      <c r="X292">
        <v>9.6</v>
      </c>
      <c r="Y292">
        <v>9.89</v>
      </c>
      <c r="Z292">
        <v>15.75</v>
      </c>
      <c r="AA292">
        <v>15.66</v>
      </c>
      <c r="AB292">
        <v>15.69</v>
      </c>
      <c r="AC292">
        <v>85.77</v>
      </c>
      <c r="AD292">
        <v>80.81</v>
      </c>
      <c r="AE292">
        <v>82.37</v>
      </c>
      <c r="AF292">
        <v>5.86</v>
      </c>
      <c r="AG292">
        <v>3.46</v>
      </c>
      <c r="AH292">
        <v>4.8</v>
      </c>
      <c r="AI292">
        <v>72.44</v>
      </c>
      <c r="AJ292">
        <v>77.930000000000007</v>
      </c>
      <c r="AK292">
        <v>75.12</v>
      </c>
      <c r="AL292">
        <v>79.91</v>
      </c>
      <c r="AM292">
        <v>62.06</v>
      </c>
      <c r="AN292">
        <v>70.989999999999995</v>
      </c>
      <c r="AO292">
        <v>448775</v>
      </c>
    </row>
    <row r="293" spans="1:41" x14ac:dyDescent="0.35">
      <c r="A293" t="s">
        <v>293</v>
      </c>
      <c r="B293">
        <v>10.5</v>
      </c>
      <c r="C293">
        <v>9.09</v>
      </c>
      <c r="D293">
        <v>9.81</v>
      </c>
      <c r="E293">
        <v>13.35</v>
      </c>
      <c r="F293">
        <v>13.41</v>
      </c>
      <c r="G293">
        <v>13.37</v>
      </c>
      <c r="H293">
        <v>80.959999999999994</v>
      </c>
      <c r="I293">
        <v>78.05</v>
      </c>
      <c r="J293">
        <v>79.7</v>
      </c>
      <c r="K293">
        <v>1.7</v>
      </c>
      <c r="L293">
        <v>1.44</v>
      </c>
      <c r="M293">
        <v>1.58</v>
      </c>
      <c r="N293">
        <v>73.72</v>
      </c>
      <c r="O293">
        <v>78.14</v>
      </c>
      <c r="P293">
        <v>76.069999999999993</v>
      </c>
      <c r="Q293">
        <v>83.67</v>
      </c>
      <c r="R293">
        <v>70.28</v>
      </c>
      <c r="S293">
        <v>76.98</v>
      </c>
      <c r="T293">
        <v>469130</v>
      </c>
      <c r="V293" t="str">
        <v>Kota Bima</v>
      </c>
      <c r="W293">
        <v>11.29</v>
      </c>
      <c r="X293">
        <v>10.67</v>
      </c>
      <c r="Y293">
        <v>10.97</v>
      </c>
      <c r="Z293">
        <v>15.06</v>
      </c>
      <c r="AA293">
        <v>15.84</v>
      </c>
      <c r="AB293">
        <v>15.21</v>
      </c>
      <c r="AC293">
        <v>81.13</v>
      </c>
      <c r="AD293">
        <v>78.66</v>
      </c>
      <c r="AE293">
        <v>79.41</v>
      </c>
      <c r="AF293">
        <v>4.51</v>
      </c>
      <c r="AG293">
        <v>3.98</v>
      </c>
      <c r="AH293">
        <v>4.28</v>
      </c>
      <c r="AI293">
        <v>71.3</v>
      </c>
      <c r="AJ293">
        <v>75.72</v>
      </c>
      <c r="AK293">
        <v>73.45</v>
      </c>
      <c r="AL293">
        <v>81.650000000000006</v>
      </c>
      <c r="AM293">
        <v>61.94</v>
      </c>
      <c r="AN293">
        <v>71.8</v>
      </c>
      <c r="AO293">
        <v>165844</v>
      </c>
    </row>
    <row r="294" spans="1:41" x14ac:dyDescent="0.35">
      <c r="A294" t="s">
        <v>294</v>
      </c>
      <c r="B294">
        <v>11.62</v>
      </c>
      <c r="C294">
        <v>10.79</v>
      </c>
      <c r="D294">
        <v>11.26</v>
      </c>
      <c r="E294">
        <v>14.53</v>
      </c>
      <c r="F294">
        <v>14.22</v>
      </c>
      <c r="G294">
        <v>14.26</v>
      </c>
      <c r="H294">
        <v>86.51</v>
      </c>
      <c r="I294">
        <v>83.24</v>
      </c>
      <c r="J294">
        <v>84.27</v>
      </c>
      <c r="K294">
        <v>1.46</v>
      </c>
      <c r="L294">
        <v>1.71</v>
      </c>
      <c r="M294">
        <v>1.57</v>
      </c>
      <c r="N294">
        <v>74.31</v>
      </c>
      <c r="O294">
        <v>78.37</v>
      </c>
      <c r="P294">
        <v>76.180000000000007</v>
      </c>
      <c r="Q294">
        <v>81.56</v>
      </c>
      <c r="R294">
        <v>67.709999999999994</v>
      </c>
      <c r="S294">
        <v>74.64</v>
      </c>
      <c r="T294">
        <v>573704</v>
      </c>
      <c r="V294" t="str">
        <v>Sumba Barat</v>
      </c>
      <c r="W294">
        <v>7.55</v>
      </c>
      <c r="X294">
        <v>7.09</v>
      </c>
      <c r="Y294">
        <v>7.39</v>
      </c>
      <c r="Z294">
        <v>13.19</v>
      </c>
      <c r="AA294">
        <v>13.78</v>
      </c>
      <c r="AB294">
        <v>13.41</v>
      </c>
      <c r="AC294">
        <v>70.86</v>
      </c>
      <c r="AD294">
        <v>67.7</v>
      </c>
      <c r="AE294">
        <v>68.459999999999994</v>
      </c>
      <c r="AF294">
        <v>2.68</v>
      </c>
      <c r="AG294">
        <v>3.98</v>
      </c>
      <c r="AH294">
        <v>3.27</v>
      </c>
      <c r="AI294">
        <v>69.69</v>
      </c>
      <c r="AJ294">
        <v>73.67</v>
      </c>
      <c r="AK294">
        <v>71.63</v>
      </c>
      <c r="AL294">
        <v>81.77</v>
      </c>
      <c r="AM294">
        <v>71.91</v>
      </c>
      <c r="AN294">
        <v>76.84</v>
      </c>
      <c r="AO294">
        <v>157595</v>
      </c>
    </row>
    <row r="295" spans="1:41" x14ac:dyDescent="0.35">
      <c r="A295" t="s">
        <v>295</v>
      </c>
      <c r="B295">
        <v>10.67</v>
      </c>
      <c r="C295">
        <v>9.2100000000000009</v>
      </c>
      <c r="D295">
        <v>9.93</v>
      </c>
      <c r="E295">
        <v>14.1</v>
      </c>
      <c r="F295">
        <v>14.17</v>
      </c>
      <c r="G295">
        <v>14.12</v>
      </c>
      <c r="H295">
        <v>83.23</v>
      </c>
      <c r="I295">
        <v>79.239999999999995</v>
      </c>
      <c r="J295">
        <v>80.959999999999994</v>
      </c>
      <c r="K295">
        <v>1.19</v>
      </c>
      <c r="L295">
        <v>1.96</v>
      </c>
      <c r="M295">
        <v>1.55</v>
      </c>
      <c r="N295">
        <v>73.8</v>
      </c>
      <c r="O295">
        <v>78.19</v>
      </c>
      <c r="P295">
        <v>76.14</v>
      </c>
      <c r="Q295">
        <v>81.489999999999995</v>
      </c>
      <c r="R295">
        <v>70.13</v>
      </c>
      <c r="S295">
        <v>75.81</v>
      </c>
      <c r="T295">
        <v>530115</v>
      </c>
      <c r="V295" t="str">
        <v>Sumba Timur</v>
      </c>
      <c r="W295">
        <v>7.94</v>
      </c>
      <c r="X295">
        <v>7.82</v>
      </c>
      <c r="Y295">
        <v>7.94</v>
      </c>
      <c r="Z295">
        <v>12.86</v>
      </c>
      <c r="AA295">
        <v>13.17</v>
      </c>
      <c r="AB295">
        <v>12.88</v>
      </c>
      <c r="AC295">
        <v>73.22</v>
      </c>
      <c r="AD295">
        <v>70.7</v>
      </c>
      <c r="AE295">
        <v>70.989999999999995</v>
      </c>
      <c r="AF295">
        <v>4.71</v>
      </c>
      <c r="AG295">
        <v>1.74</v>
      </c>
      <c r="AH295">
        <v>3.36</v>
      </c>
      <c r="AI295">
        <v>69.959999999999994</v>
      </c>
      <c r="AJ295">
        <v>73.959999999999994</v>
      </c>
      <c r="AK295">
        <v>71.91</v>
      </c>
      <c r="AL295">
        <v>80.64</v>
      </c>
      <c r="AM295">
        <v>70.11</v>
      </c>
      <c r="AN295">
        <v>75.38</v>
      </c>
      <c r="AO295">
        <v>262975</v>
      </c>
    </row>
    <row r="296" spans="1:41" x14ac:dyDescent="0.35">
      <c r="A296" t="s">
        <v>296</v>
      </c>
      <c r="B296">
        <v>9.6199999999999992</v>
      </c>
      <c r="C296">
        <v>7.9</v>
      </c>
      <c r="D296">
        <v>8.75</v>
      </c>
      <c r="E296">
        <v>13.96</v>
      </c>
      <c r="F296">
        <v>13.14</v>
      </c>
      <c r="G296">
        <v>13.14</v>
      </c>
      <c r="H296">
        <v>80.069999999999993</v>
      </c>
      <c r="I296">
        <v>74.510000000000005</v>
      </c>
      <c r="J296">
        <v>75.89</v>
      </c>
      <c r="K296">
        <v>1.43</v>
      </c>
      <c r="L296">
        <v>0.83</v>
      </c>
      <c r="M296">
        <v>1.1499999999999999</v>
      </c>
      <c r="N296">
        <v>72.61</v>
      </c>
      <c r="O296">
        <v>78.16</v>
      </c>
      <c r="P296">
        <v>75.319999999999993</v>
      </c>
      <c r="Q296">
        <v>83.5</v>
      </c>
      <c r="R296">
        <v>73.83</v>
      </c>
      <c r="S296">
        <v>78.67</v>
      </c>
      <c r="T296">
        <v>209871</v>
      </c>
      <c r="V296" t="str">
        <v>Kupang</v>
      </c>
      <c r="W296">
        <v>8.1300000000000008</v>
      </c>
      <c r="X296">
        <v>7.7</v>
      </c>
      <c r="Y296">
        <v>7.87</v>
      </c>
      <c r="Z296">
        <v>13.86</v>
      </c>
      <c r="AA296">
        <v>13.95</v>
      </c>
      <c r="AB296">
        <v>13.91</v>
      </c>
      <c r="AC296">
        <v>73.12</v>
      </c>
      <c r="AD296">
        <v>65.17</v>
      </c>
      <c r="AE296">
        <v>69.03</v>
      </c>
      <c r="AF296">
        <v>3.33</v>
      </c>
      <c r="AG296">
        <v>3.83</v>
      </c>
      <c r="AH296">
        <v>3.53</v>
      </c>
      <c r="AI296">
        <v>67.98</v>
      </c>
      <c r="AJ296">
        <v>71.930000000000007</v>
      </c>
      <c r="AK296">
        <v>69.91</v>
      </c>
      <c r="AL296">
        <v>83.45</v>
      </c>
      <c r="AM296">
        <v>58.15</v>
      </c>
      <c r="AN296">
        <v>70.8</v>
      </c>
      <c r="AO296">
        <v>383387</v>
      </c>
    </row>
    <row r="297" spans="1:41" x14ac:dyDescent="0.35">
      <c r="A297" t="s">
        <v>297</v>
      </c>
      <c r="B297">
        <v>8.4499999999999993</v>
      </c>
      <c r="C297">
        <v>7.38</v>
      </c>
      <c r="D297">
        <v>7.8</v>
      </c>
      <c r="E297">
        <v>13</v>
      </c>
      <c r="F297">
        <v>12.43</v>
      </c>
      <c r="G297">
        <v>12.54</v>
      </c>
      <c r="H297">
        <v>77.16</v>
      </c>
      <c r="I297">
        <v>72.14</v>
      </c>
      <c r="J297">
        <v>73.22</v>
      </c>
      <c r="K297">
        <v>1.25</v>
      </c>
      <c r="L297">
        <v>0.14000000000000001</v>
      </c>
      <c r="M297">
        <v>0.73</v>
      </c>
      <c r="N297">
        <v>72.05</v>
      </c>
      <c r="O297">
        <v>77.28</v>
      </c>
      <c r="P297">
        <v>74.599999999999994</v>
      </c>
      <c r="Q297">
        <v>86.96</v>
      </c>
      <c r="R297">
        <v>76.48</v>
      </c>
      <c r="S297">
        <v>81.72</v>
      </c>
      <c r="T297">
        <v>263170</v>
      </c>
      <c r="V297" t="str">
        <v>Timor Tengah Selatan</v>
      </c>
      <c r="W297">
        <v>7.44</v>
      </c>
      <c r="X297">
        <v>7.11</v>
      </c>
      <c r="Y297">
        <v>7.43</v>
      </c>
      <c r="Z297">
        <v>12.47</v>
      </c>
      <c r="AA297">
        <v>14.82</v>
      </c>
      <c r="AB297">
        <v>12.63</v>
      </c>
      <c r="AC297">
        <v>69.709999999999994</v>
      </c>
      <c r="AD297">
        <v>66.87</v>
      </c>
      <c r="AE297">
        <v>66.88</v>
      </c>
      <c r="AF297">
        <v>2.89</v>
      </c>
      <c r="AG297">
        <v>4.3</v>
      </c>
      <c r="AH297">
        <v>3.57</v>
      </c>
      <c r="AI297">
        <v>69.53</v>
      </c>
      <c r="AJ297">
        <v>73.5</v>
      </c>
      <c r="AK297">
        <v>71.47</v>
      </c>
      <c r="AL297">
        <v>85.19</v>
      </c>
      <c r="AM297">
        <v>77.3</v>
      </c>
      <c r="AN297">
        <v>81.25</v>
      </c>
      <c r="AO297">
        <v>487999</v>
      </c>
    </row>
    <row r="298" spans="1:41" x14ac:dyDescent="0.35">
      <c r="A298" t="s">
        <v>298</v>
      </c>
      <c r="B298">
        <v>7.75</v>
      </c>
      <c r="C298">
        <v>5.91</v>
      </c>
      <c r="D298">
        <v>6.98</v>
      </c>
      <c r="E298">
        <v>12.8</v>
      </c>
      <c r="F298">
        <v>13.03</v>
      </c>
      <c r="G298">
        <v>12.92</v>
      </c>
      <c r="H298">
        <v>75.86</v>
      </c>
      <c r="I298">
        <v>69.239999999999995</v>
      </c>
      <c r="J298">
        <v>71.89</v>
      </c>
      <c r="K298">
        <v>1.48</v>
      </c>
      <c r="L298">
        <v>2.15</v>
      </c>
      <c r="M298">
        <v>1.8</v>
      </c>
      <c r="N298">
        <v>71.989999999999995</v>
      </c>
      <c r="O298">
        <v>77.17</v>
      </c>
      <c r="P298">
        <v>74.52</v>
      </c>
      <c r="Q298">
        <v>88.92</v>
      </c>
      <c r="R298">
        <v>80.53</v>
      </c>
      <c r="S298">
        <v>84.73</v>
      </c>
      <c r="T298">
        <v>504608</v>
      </c>
      <c r="V298" t="str">
        <v>Timor Tengah Utara</v>
      </c>
      <c r="W298">
        <v>8.48</v>
      </c>
      <c r="X298">
        <v>8.31</v>
      </c>
      <c r="Y298">
        <v>8.36</v>
      </c>
      <c r="Z298">
        <v>13.01</v>
      </c>
      <c r="AA298">
        <v>14.05</v>
      </c>
      <c r="AB298">
        <v>13.39</v>
      </c>
      <c r="AC298">
        <v>69.84</v>
      </c>
      <c r="AD298">
        <v>67.209999999999994</v>
      </c>
      <c r="AE298">
        <v>67.87</v>
      </c>
      <c r="AF298">
        <v>3.21</v>
      </c>
      <c r="AG298">
        <v>1.81</v>
      </c>
      <c r="AH298">
        <v>2.54</v>
      </c>
      <c r="AI298">
        <v>69.45</v>
      </c>
      <c r="AJ298">
        <v>73.42</v>
      </c>
      <c r="AK298">
        <v>71.39</v>
      </c>
      <c r="AL298">
        <v>78.89</v>
      </c>
      <c r="AM298">
        <v>71.3</v>
      </c>
      <c r="AN298">
        <v>75.099999999999994</v>
      </c>
      <c r="AO298">
        <v>279637</v>
      </c>
    </row>
    <row r="299" spans="1:41" x14ac:dyDescent="0.35">
      <c r="A299" t="s">
        <v>299</v>
      </c>
      <c r="B299">
        <v>8.69</v>
      </c>
      <c r="C299">
        <v>7.23</v>
      </c>
      <c r="D299">
        <v>7.94</v>
      </c>
      <c r="E299">
        <v>13.51</v>
      </c>
      <c r="F299">
        <v>13.29</v>
      </c>
      <c r="G299">
        <v>13.31</v>
      </c>
      <c r="H299">
        <v>79.97</v>
      </c>
      <c r="I299">
        <v>74.569999999999993</v>
      </c>
      <c r="J299">
        <v>76.06</v>
      </c>
      <c r="K299">
        <v>1.58</v>
      </c>
      <c r="L299">
        <v>1.44</v>
      </c>
      <c r="M299">
        <v>1.51</v>
      </c>
      <c r="N299">
        <v>72.239999999999995</v>
      </c>
      <c r="O299">
        <v>77.63</v>
      </c>
      <c r="P299">
        <v>74.87</v>
      </c>
      <c r="Q299">
        <v>86.57</v>
      </c>
      <c r="R299">
        <v>73.06</v>
      </c>
      <c r="S299">
        <v>79.819999999999993</v>
      </c>
      <c r="T299">
        <v>820477</v>
      </c>
      <c r="V299" t="str">
        <v>Belu</v>
      </c>
      <c r="W299">
        <v>7.76</v>
      </c>
      <c r="X299">
        <v>7.6</v>
      </c>
      <c r="Y299">
        <v>7.73</v>
      </c>
      <c r="Z299">
        <v>12.25</v>
      </c>
      <c r="AA299">
        <v>12.69</v>
      </c>
      <c r="AB299">
        <v>12.33</v>
      </c>
      <c r="AC299">
        <v>70.19</v>
      </c>
      <c r="AD299">
        <v>68.89</v>
      </c>
      <c r="AE299">
        <v>68.89</v>
      </c>
      <c r="AF299">
        <v>5.29</v>
      </c>
      <c r="AG299">
        <v>5.08</v>
      </c>
      <c r="AH299">
        <v>5.2</v>
      </c>
      <c r="AI299">
        <v>72.239999999999995</v>
      </c>
      <c r="AJ299">
        <v>77.430000000000007</v>
      </c>
      <c r="AK299">
        <v>74.77</v>
      </c>
      <c r="AL299">
        <v>86.69</v>
      </c>
      <c r="AM299">
        <v>66.819999999999993</v>
      </c>
      <c r="AN299">
        <v>76.760000000000005</v>
      </c>
      <c r="AO299">
        <v>240392</v>
      </c>
    </row>
    <row r="300" spans="1:41" x14ac:dyDescent="0.35">
      <c r="A300" t="s">
        <v>300</v>
      </c>
      <c r="B300">
        <v>11.93</v>
      </c>
      <c r="C300">
        <v>11.48</v>
      </c>
      <c r="D300">
        <v>11.64</v>
      </c>
      <c r="E300">
        <v>14.22</v>
      </c>
      <c r="F300">
        <v>14.14</v>
      </c>
      <c r="G300">
        <v>14.14</v>
      </c>
      <c r="H300">
        <v>87.23</v>
      </c>
      <c r="I300">
        <v>85.35</v>
      </c>
      <c r="J300">
        <v>85.63</v>
      </c>
      <c r="K300">
        <v>1.62</v>
      </c>
      <c r="L300">
        <v>1.1299999999999999</v>
      </c>
      <c r="M300">
        <v>1.41</v>
      </c>
      <c r="N300">
        <v>74.33</v>
      </c>
      <c r="O300">
        <v>79.16</v>
      </c>
      <c r="P300">
        <v>76.16</v>
      </c>
      <c r="Q300">
        <v>80.08</v>
      </c>
      <c r="R300">
        <v>61.74</v>
      </c>
      <c r="S300">
        <v>70.91</v>
      </c>
      <c r="T300">
        <v>762484</v>
      </c>
      <c r="V300" t="str">
        <v>Alor</v>
      </c>
      <c r="W300">
        <v>9.16</v>
      </c>
      <c r="X300">
        <v>8.39</v>
      </c>
      <c r="Y300">
        <v>8.7200000000000006</v>
      </c>
      <c r="Z300">
        <v>12.61</v>
      </c>
      <c r="AA300">
        <v>12.54</v>
      </c>
      <c r="AB300">
        <v>12.59</v>
      </c>
      <c r="AC300">
        <v>72.2</v>
      </c>
      <c r="AD300">
        <v>67.319999999999993</v>
      </c>
      <c r="AE300">
        <v>68.44</v>
      </c>
      <c r="AF300">
        <v>2.64</v>
      </c>
      <c r="AG300">
        <v>1.51</v>
      </c>
      <c r="AH300">
        <v>2.08</v>
      </c>
      <c r="AI300">
        <v>69.39</v>
      </c>
      <c r="AJ300">
        <v>73.36</v>
      </c>
      <c r="AK300">
        <v>71.33</v>
      </c>
      <c r="AL300">
        <v>80.98</v>
      </c>
      <c r="AM300">
        <v>76.72</v>
      </c>
      <c r="AN300">
        <v>78.849999999999994</v>
      </c>
      <c r="AO300">
        <v>228504</v>
      </c>
    </row>
    <row r="301" spans="1:41" x14ac:dyDescent="0.35">
      <c r="A301" t="s">
        <v>301</v>
      </c>
      <c r="B301">
        <v>8.75</v>
      </c>
      <c r="C301">
        <v>7.62</v>
      </c>
      <c r="D301">
        <v>8.2100000000000009</v>
      </c>
      <c r="E301">
        <v>14.12</v>
      </c>
      <c r="F301">
        <v>13.98</v>
      </c>
      <c r="G301">
        <v>13.99</v>
      </c>
      <c r="H301">
        <v>77.900000000000006</v>
      </c>
      <c r="I301">
        <v>71.599999999999994</v>
      </c>
      <c r="J301">
        <v>73.97</v>
      </c>
      <c r="K301">
        <v>3.31</v>
      </c>
      <c r="L301">
        <v>2.72</v>
      </c>
      <c r="M301">
        <v>3.06</v>
      </c>
      <c r="N301">
        <v>70.64</v>
      </c>
      <c r="O301">
        <v>74.66</v>
      </c>
      <c r="P301">
        <v>72.599999999999994</v>
      </c>
      <c r="Q301">
        <v>86.55</v>
      </c>
      <c r="R301">
        <v>65.69</v>
      </c>
      <c r="S301">
        <v>76.12</v>
      </c>
      <c r="T301">
        <v>5731107</v>
      </c>
      <c r="V301" t="str">
        <v>Lembata</v>
      </c>
      <c r="W301">
        <v>9.33</v>
      </c>
      <c r="X301">
        <v>7.94</v>
      </c>
      <c r="Y301">
        <v>8.49</v>
      </c>
      <c r="Z301">
        <v>12.54</v>
      </c>
      <c r="AA301">
        <v>12.81</v>
      </c>
      <c r="AB301">
        <v>12.54</v>
      </c>
      <c r="AC301">
        <v>74.17</v>
      </c>
      <c r="AD301">
        <v>68.36</v>
      </c>
      <c r="AE301">
        <v>69.7</v>
      </c>
      <c r="AF301">
        <v>1.37</v>
      </c>
      <c r="AG301">
        <v>1.36</v>
      </c>
      <c r="AH301">
        <v>1.37</v>
      </c>
      <c r="AI301">
        <v>71.61</v>
      </c>
      <c r="AJ301">
        <v>76.11</v>
      </c>
      <c r="AK301">
        <v>73.81</v>
      </c>
      <c r="AL301">
        <v>80.709999999999994</v>
      </c>
      <c r="AM301">
        <v>73.819999999999993</v>
      </c>
      <c r="AN301">
        <v>77.27</v>
      </c>
      <c r="AO301">
        <v>145271</v>
      </c>
    </row>
    <row r="302" spans="1:41" x14ac:dyDescent="0.35">
      <c r="A302" t="s">
        <v>302</v>
      </c>
      <c r="B302">
        <v>7.92</v>
      </c>
      <c r="C302">
        <v>6.46</v>
      </c>
      <c r="D302">
        <v>7.15</v>
      </c>
      <c r="E302">
        <v>14.28</v>
      </c>
      <c r="F302">
        <v>13.89</v>
      </c>
      <c r="G302">
        <v>14.17</v>
      </c>
      <c r="H302">
        <v>78.53</v>
      </c>
      <c r="I302">
        <v>71.02</v>
      </c>
      <c r="J302">
        <v>73.52</v>
      </c>
      <c r="K302">
        <v>2.97</v>
      </c>
      <c r="L302">
        <v>2.63</v>
      </c>
      <c r="M302">
        <v>2.82</v>
      </c>
      <c r="N302">
        <v>71.03</v>
      </c>
      <c r="O302">
        <v>75.14</v>
      </c>
      <c r="P302">
        <v>73.03</v>
      </c>
      <c r="Q302">
        <v>84.82</v>
      </c>
      <c r="R302">
        <v>63.97</v>
      </c>
      <c r="S302">
        <v>74.400000000000006</v>
      </c>
      <c r="T302">
        <v>776300</v>
      </c>
      <c r="V302" t="str">
        <v>Flores Timur</v>
      </c>
      <c r="W302">
        <v>8.68</v>
      </c>
      <c r="X302">
        <v>7.87</v>
      </c>
      <c r="Y302">
        <v>8.19</v>
      </c>
      <c r="Z302">
        <v>13.29</v>
      </c>
      <c r="AA302">
        <v>13.01</v>
      </c>
      <c r="AB302">
        <v>13.17</v>
      </c>
      <c r="AC302">
        <v>74.62</v>
      </c>
      <c r="AD302">
        <v>69.349999999999994</v>
      </c>
      <c r="AE302">
        <v>70.61</v>
      </c>
      <c r="AF302">
        <v>6.05</v>
      </c>
      <c r="AG302">
        <v>6.73</v>
      </c>
      <c r="AH302">
        <v>6.36</v>
      </c>
      <c r="AI302">
        <v>71.98</v>
      </c>
      <c r="AJ302">
        <v>76.87</v>
      </c>
      <c r="AK302">
        <v>74.37</v>
      </c>
      <c r="AL302">
        <v>79.53</v>
      </c>
      <c r="AM302">
        <v>61</v>
      </c>
      <c r="AN302">
        <v>70.27</v>
      </c>
      <c r="AO302">
        <v>296760</v>
      </c>
    </row>
    <row r="303" spans="1:41" x14ac:dyDescent="0.35">
      <c r="A303" t="s">
        <v>303</v>
      </c>
      <c r="B303">
        <v>7.72</v>
      </c>
      <c r="C303">
        <v>6.51</v>
      </c>
      <c r="D303">
        <v>7.08</v>
      </c>
      <c r="E303">
        <v>14.29</v>
      </c>
      <c r="F303">
        <v>13.7</v>
      </c>
      <c r="G303">
        <v>13.9</v>
      </c>
      <c r="H303">
        <v>76.91</v>
      </c>
      <c r="I303">
        <v>68.47</v>
      </c>
      <c r="J303">
        <v>72.069999999999993</v>
      </c>
      <c r="K303">
        <v>3.86</v>
      </c>
      <c r="L303">
        <v>2.7</v>
      </c>
      <c r="M303">
        <v>3.36</v>
      </c>
      <c r="N303">
        <v>69.94</v>
      </c>
      <c r="O303">
        <v>73.94</v>
      </c>
      <c r="P303">
        <v>71.89</v>
      </c>
      <c r="Q303">
        <v>88.38</v>
      </c>
      <c r="R303">
        <v>68.400000000000006</v>
      </c>
      <c r="S303">
        <v>78.39</v>
      </c>
      <c r="T303">
        <v>1129778</v>
      </c>
      <c r="V303" t="str">
        <v>Sikka</v>
      </c>
      <c r="W303">
        <v>7.53</v>
      </c>
      <c r="X303">
        <v>7.14</v>
      </c>
      <c r="Y303">
        <v>7.2</v>
      </c>
      <c r="Z303">
        <v>13.56</v>
      </c>
      <c r="AA303">
        <v>14.05</v>
      </c>
      <c r="AB303">
        <v>13.68</v>
      </c>
      <c r="AC303">
        <v>75.040000000000006</v>
      </c>
      <c r="AD303">
        <v>68.13</v>
      </c>
      <c r="AE303">
        <v>70.650000000000006</v>
      </c>
      <c r="AF303">
        <v>2.34</v>
      </c>
      <c r="AG303">
        <v>2.96</v>
      </c>
      <c r="AH303">
        <v>2.62</v>
      </c>
      <c r="AI303">
        <v>72.069999999999993</v>
      </c>
      <c r="AJ303">
        <v>77.34</v>
      </c>
      <c r="AK303">
        <v>74.64</v>
      </c>
      <c r="AL303">
        <v>80.599999999999994</v>
      </c>
      <c r="AM303">
        <v>64.2</v>
      </c>
      <c r="AN303">
        <v>72.400000000000006</v>
      </c>
      <c r="AO303">
        <v>345319</v>
      </c>
    </row>
    <row r="304" spans="1:41" x14ac:dyDescent="0.35">
      <c r="A304" t="s">
        <v>304</v>
      </c>
      <c r="B304">
        <v>8.18</v>
      </c>
      <c r="C304">
        <v>7.32</v>
      </c>
      <c r="D304">
        <v>7.71</v>
      </c>
      <c r="E304">
        <v>14.08</v>
      </c>
      <c r="F304">
        <v>14.21</v>
      </c>
      <c r="G304">
        <v>14.08</v>
      </c>
      <c r="H304">
        <v>75.75</v>
      </c>
      <c r="I304">
        <v>70.16</v>
      </c>
      <c r="J304">
        <v>72.349999999999994</v>
      </c>
      <c r="K304">
        <v>3.05</v>
      </c>
      <c r="L304">
        <v>2.5099999999999998</v>
      </c>
      <c r="M304">
        <v>2.82</v>
      </c>
      <c r="N304">
        <v>70.33</v>
      </c>
      <c r="O304">
        <v>74.34</v>
      </c>
      <c r="P304">
        <v>72.290000000000006</v>
      </c>
      <c r="Q304">
        <v>88.98</v>
      </c>
      <c r="R304">
        <v>67.8</v>
      </c>
      <c r="S304">
        <v>78.39</v>
      </c>
      <c r="T304">
        <v>1437357</v>
      </c>
      <c r="V304" t="str">
        <v>Ende</v>
      </c>
      <c r="W304">
        <v>8.8699999999999992</v>
      </c>
      <c r="X304">
        <v>8.35</v>
      </c>
      <c r="Y304">
        <v>8.52</v>
      </c>
      <c r="Z304">
        <v>14.1</v>
      </c>
      <c r="AA304">
        <v>13.83</v>
      </c>
      <c r="AB304">
        <v>13.84</v>
      </c>
      <c r="AC304">
        <v>74.48</v>
      </c>
      <c r="AD304">
        <v>71.88</v>
      </c>
      <c r="AE304">
        <v>72.73</v>
      </c>
      <c r="AF304">
        <v>3.27</v>
      </c>
      <c r="AG304">
        <v>2.62</v>
      </c>
      <c r="AH304">
        <v>2.95</v>
      </c>
      <c r="AI304">
        <v>71.040000000000006</v>
      </c>
      <c r="AJ304">
        <v>75.180000000000007</v>
      </c>
      <c r="AK304">
        <v>73.06</v>
      </c>
      <c r="AL304">
        <v>76.7</v>
      </c>
      <c r="AM304">
        <v>67.459999999999994</v>
      </c>
      <c r="AN304">
        <v>72.08</v>
      </c>
      <c r="AO304">
        <v>284165</v>
      </c>
    </row>
    <row r="305" spans="1:41" x14ac:dyDescent="0.35">
      <c r="A305" t="s">
        <v>305</v>
      </c>
      <c r="B305">
        <v>9.2899999999999991</v>
      </c>
      <c r="C305">
        <v>8.39</v>
      </c>
      <c r="D305">
        <v>8.8800000000000008</v>
      </c>
      <c r="E305">
        <v>13.33</v>
      </c>
      <c r="F305">
        <v>13.43</v>
      </c>
      <c r="G305">
        <v>13.35</v>
      </c>
      <c r="H305">
        <v>76.03</v>
      </c>
      <c r="I305">
        <v>72.08</v>
      </c>
      <c r="J305">
        <v>73.27</v>
      </c>
      <c r="K305">
        <v>2.95</v>
      </c>
      <c r="L305">
        <v>2.11</v>
      </c>
      <c r="M305">
        <v>2.6</v>
      </c>
      <c r="N305">
        <v>71.05</v>
      </c>
      <c r="O305">
        <v>75.2</v>
      </c>
      <c r="P305">
        <v>73.069999999999993</v>
      </c>
      <c r="Q305">
        <v>86.87</v>
      </c>
      <c r="R305">
        <v>59.55</v>
      </c>
      <c r="S305">
        <v>73.209999999999994</v>
      </c>
      <c r="T305">
        <v>543676</v>
      </c>
      <c r="V305" t="str">
        <v>Ngada</v>
      </c>
      <c r="W305">
        <v>8.85</v>
      </c>
      <c r="X305">
        <v>8.77</v>
      </c>
      <c r="Y305">
        <v>8.84</v>
      </c>
      <c r="Z305">
        <v>12.45</v>
      </c>
      <c r="AA305">
        <v>13.08</v>
      </c>
      <c r="AB305">
        <v>12.76</v>
      </c>
      <c r="AC305">
        <v>74.53</v>
      </c>
      <c r="AD305">
        <v>72.53</v>
      </c>
      <c r="AE305">
        <v>72.53</v>
      </c>
      <c r="AF305">
        <v>2.48</v>
      </c>
      <c r="AG305">
        <v>2.73</v>
      </c>
      <c r="AH305">
        <v>2.6</v>
      </c>
      <c r="AI305">
        <v>72.319999999999993</v>
      </c>
      <c r="AJ305">
        <v>77.58</v>
      </c>
      <c r="AK305">
        <v>74.89</v>
      </c>
      <c r="AL305">
        <v>82.01</v>
      </c>
      <c r="AM305">
        <v>72.91</v>
      </c>
      <c r="AN305">
        <v>77.459999999999994</v>
      </c>
      <c r="AO305">
        <v>176462</v>
      </c>
    </row>
    <row r="306" spans="1:41" x14ac:dyDescent="0.35">
      <c r="A306" t="s">
        <v>306</v>
      </c>
      <c r="B306">
        <v>9.8699999999999992</v>
      </c>
      <c r="C306">
        <v>8.7899999999999991</v>
      </c>
      <c r="D306">
        <v>9.3800000000000008</v>
      </c>
      <c r="E306">
        <v>13.8</v>
      </c>
      <c r="F306">
        <v>14.56</v>
      </c>
      <c r="G306">
        <v>14.01</v>
      </c>
      <c r="H306">
        <v>78.239999999999995</v>
      </c>
      <c r="I306">
        <v>71.709999999999994</v>
      </c>
      <c r="J306">
        <v>73.58</v>
      </c>
      <c r="K306">
        <v>2.76</v>
      </c>
      <c r="L306">
        <v>2.94</v>
      </c>
      <c r="M306">
        <v>2.84</v>
      </c>
      <c r="N306">
        <v>70.13</v>
      </c>
      <c r="O306">
        <v>74.14</v>
      </c>
      <c r="P306">
        <v>72.09</v>
      </c>
      <c r="Q306">
        <v>87.62</v>
      </c>
      <c r="R306">
        <v>69.73</v>
      </c>
      <c r="S306">
        <v>78.680000000000007</v>
      </c>
      <c r="T306">
        <v>254667</v>
      </c>
      <c r="V306" t="str">
        <v>Manggarai</v>
      </c>
      <c r="W306">
        <v>8.7799999999999994</v>
      </c>
      <c r="X306">
        <v>7.66</v>
      </c>
      <c r="Y306">
        <v>8.17</v>
      </c>
      <c r="Z306">
        <v>13.51</v>
      </c>
      <c r="AA306">
        <v>14.32</v>
      </c>
      <c r="AB306">
        <v>13.74</v>
      </c>
      <c r="AC306">
        <v>74.599999999999994</v>
      </c>
      <c r="AD306">
        <v>66.86</v>
      </c>
      <c r="AE306">
        <v>70.099999999999994</v>
      </c>
      <c r="AF306">
        <v>1.59</v>
      </c>
      <c r="AG306">
        <v>1.54</v>
      </c>
      <c r="AH306">
        <v>1.56</v>
      </c>
      <c r="AI306">
        <v>70.790000000000006</v>
      </c>
      <c r="AJ306">
        <v>74.819999999999993</v>
      </c>
      <c r="AK306">
        <v>72.760000000000005</v>
      </c>
      <c r="AL306">
        <v>84.37</v>
      </c>
      <c r="AM306">
        <v>72.86</v>
      </c>
      <c r="AN306">
        <v>78.62</v>
      </c>
      <c r="AO306">
        <v>340153</v>
      </c>
    </row>
    <row r="307" spans="1:41" x14ac:dyDescent="0.35">
      <c r="A307" t="s">
        <v>307</v>
      </c>
      <c r="B307">
        <v>9.2899999999999991</v>
      </c>
      <c r="C307">
        <v>8.44</v>
      </c>
      <c r="D307">
        <v>8.61</v>
      </c>
      <c r="E307">
        <v>13.7</v>
      </c>
      <c r="F307">
        <v>13.3</v>
      </c>
      <c r="G307">
        <v>13.67</v>
      </c>
      <c r="H307">
        <v>75.63</v>
      </c>
      <c r="I307">
        <v>70.02</v>
      </c>
      <c r="J307">
        <v>71.97</v>
      </c>
      <c r="K307">
        <v>1.5</v>
      </c>
      <c r="L307">
        <v>2.95</v>
      </c>
      <c r="M307">
        <v>2.13</v>
      </c>
      <c r="N307">
        <v>70.260000000000005</v>
      </c>
      <c r="O307">
        <v>74.27</v>
      </c>
      <c r="P307">
        <v>72.22</v>
      </c>
      <c r="Q307">
        <v>85.48</v>
      </c>
      <c r="R307">
        <v>66.209999999999994</v>
      </c>
      <c r="S307">
        <v>75.849999999999994</v>
      </c>
      <c r="T307">
        <v>551404</v>
      </c>
      <c r="V307" t="str">
        <v>Rote Ndao</v>
      </c>
      <c r="W307">
        <v>8.33</v>
      </c>
      <c r="X307">
        <v>7.71</v>
      </c>
      <c r="Y307">
        <v>7.84</v>
      </c>
      <c r="Z307">
        <v>13.36</v>
      </c>
      <c r="AA307">
        <v>13.08</v>
      </c>
      <c r="AB307">
        <v>13.24</v>
      </c>
      <c r="AC307">
        <v>72.19</v>
      </c>
      <c r="AD307">
        <v>62.25</v>
      </c>
      <c r="AE307">
        <v>67.010000000000005</v>
      </c>
      <c r="AF307">
        <v>1.7</v>
      </c>
      <c r="AG307">
        <v>2.8</v>
      </c>
      <c r="AH307">
        <v>2.1800000000000002</v>
      </c>
      <c r="AI307">
        <v>68.25</v>
      </c>
      <c r="AJ307">
        <v>72.19</v>
      </c>
      <c r="AK307">
        <v>70.17</v>
      </c>
      <c r="AL307">
        <v>79.64</v>
      </c>
      <c r="AM307">
        <v>61.6</v>
      </c>
      <c r="AN307">
        <v>70.62</v>
      </c>
      <c r="AO307">
        <v>155371</v>
      </c>
    </row>
    <row r="308" spans="1:41" x14ac:dyDescent="0.35">
      <c r="A308" t="s">
        <v>308</v>
      </c>
      <c r="B308">
        <v>9.77</v>
      </c>
      <c r="C308">
        <v>8.9700000000000006</v>
      </c>
      <c r="D308">
        <v>9.35</v>
      </c>
      <c r="E308">
        <v>14.21</v>
      </c>
      <c r="F308">
        <v>13.6</v>
      </c>
      <c r="G308">
        <v>13.84</v>
      </c>
      <c r="H308">
        <v>80.069999999999993</v>
      </c>
      <c r="I308">
        <v>75.180000000000007</v>
      </c>
      <c r="J308">
        <v>76.459999999999994</v>
      </c>
      <c r="K308">
        <v>4.68</v>
      </c>
      <c r="L308">
        <v>3.4</v>
      </c>
      <c r="M308">
        <v>4.13</v>
      </c>
      <c r="N308">
        <v>71.37</v>
      </c>
      <c r="O308">
        <v>75.61</v>
      </c>
      <c r="P308">
        <v>73.44</v>
      </c>
      <c r="Q308">
        <v>84.06</v>
      </c>
      <c r="R308">
        <v>62.32</v>
      </c>
      <c r="S308">
        <v>73.19</v>
      </c>
      <c r="T308">
        <v>158130</v>
      </c>
      <c r="V308" t="str">
        <v>Manggarai Barat</v>
      </c>
      <c r="W308">
        <v>8.57</v>
      </c>
      <c r="X308">
        <v>7.93</v>
      </c>
      <c r="Y308">
        <v>8.26</v>
      </c>
      <c r="Z308">
        <v>12.76</v>
      </c>
      <c r="AA308">
        <v>12.55</v>
      </c>
      <c r="AB308">
        <v>12.62</v>
      </c>
      <c r="AC308">
        <v>74.12</v>
      </c>
      <c r="AD308">
        <v>66.06</v>
      </c>
      <c r="AE308">
        <v>69.2</v>
      </c>
      <c r="AF308">
        <v>3.27</v>
      </c>
      <c r="AG308">
        <v>3.37</v>
      </c>
      <c r="AH308">
        <v>3.32</v>
      </c>
      <c r="AI308">
        <v>71.16</v>
      </c>
      <c r="AJ308">
        <v>75.42</v>
      </c>
      <c r="AK308">
        <v>73.239999999999995</v>
      </c>
      <c r="AL308">
        <v>81.88</v>
      </c>
      <c r="AM308">
        <v>62.34</v>
      </c>
      <c r="AN308">
        <v>72.11</v>
      </c>
      <c r="AO308">
        <v>281692</v>
      </c>
    </row>
    <row r="309" spans="1:41" x14ac:dyDescent="0.35">
      <c r="A309" t="s">
        <v>309</v>
      </c>
      <c r="B309">
        <v>7.56</v>
      </c>
      <c r="C309">
        <v>5.9</v>
      </c>
      <c r="D309">
        <v>6.75</v>
      </c>
      <c r="E309">
        <v>13.55</v>
      </c>
      <c r="F309">
        <v>12.88</v>
      </c>
      <c r="G309">
        <v>13.16</v>
      </c>
      <c r="H309">
        <v>74.64</v>
      </c>
      <c r="I309">
        <v>64.44</v>
      </c>
      <c r="J309">
        <v>69.63</v>
      </c>
      <c r="K309">
        <v>2.95</v>
      </c>
      <c r="L309">
        <v>2.33</v>
      </c>
      <c r="M309">
        <v>2.68</v>
      </c>
      <c r="N309">
        <v>69.930000000000007</v>
      </c>
      <c r="O309">
        <v>73.92</v>
      </c>
      <c r="P309">
        <v>71.88</v>
      </c>
      <c r="Q309">
        <v>86.8</v>
      </c>
      <c r="R309">
        <v>66.78</v>
      </c>
      <c r="S309">
        <v>76.790000000000006</v>
      </c>
      <c r="T309">
        <v>265176</v>
      </c>
      <c r="V309" t="str">
        <v>Sumba Tengah</v>
      </c>
      <c r="W309">
        <v>7.63</v>
      </c>
      <c r="X309">
        <v>7.42</v>
      </c>
      <c r="Y309">
        <v>7.5</v>
      </c>
      <c r="Z309">
        <v>13.11</v>
      </c>
      <c r="AA309">
        <v>13.44</v>
      </c>
      <c r="AB309">
        <v>13.15</v>
      </c>
      <c r="AC309">
        <v>68.87</v>
      </c>
      <c r="AD309">
        <v>63.09</v>
      </c>
      <c r="AE309">
        <v>65.290000000000006</v>
      </c>
      <c r="AF309">
        <v>1.84</v>
      </c>
      <c r="AG309">
        <v>3.34</v>
      </c>
      <c r="AH309">
        <v>2.4900000000000002</v>
      </c>
      <c r="AI309">
        <v>67.84</v>
      </c>
      <c r="AJ309">
        <v>71.790000000000006</v>
      </c>
      <c r="AK309">
        <v>69.77</v>
      </c>
      <c r="AL309">
        <v>84.98</v>
      </c>
      <c r="AM309">
        <v>69.33</v>
      </c>
      <c r="AN309">
        <v>77.16</v>
      </c>
      <c r="AO309">
        <v>94187</v>
      </c>
    </row>
    <row r="310" spans="1:41" x14ac:dyDescent="0.35">
      <c r="A310" t="s">
        <v>310</v>
      </c>
      <c r="B310">
        <v>10.92</v>
      </c>
      <c r="C310">
        <v>9.6</v>
      </c>
      <c r="D310">
        <v>9.89</v>
      </c>
      <c r="E310">
        <v>15.75</v>
      </c>
      <c r="F310">
        <v>15.66</v>
      </c>
      <c r="G310">
        <v>15.69</v>
      </c>
      <c r="H310">
        <v>85.77</v>
      </c>
      <c r="I310">
        <v>80.81</v>
      </c>
      <c r="J310">
        <v>82.37</v>
      </c>
      <c r="K310">
        <v>5.86</v>
      </c>
      <c r="L310">
        <v>3.46</v>
      </c>
      <c r="M310">
        <v>4.8</v>
      </c>
      <c r="N310">
        <v>72.44</v>
      </c>
      <c r="O310">
        <v>77.930000000000007</v>
      </c>
      <c r="P310">
        <v>75.12</v>
      </c>
      <c r="Q310">
        <v>79.91</v>
      </c>
      <c r="R310">
        <v>62.06</v>
      </c>
      <c r="S310">
        <v>70.989999999999995</v>
      </c>
      <c r="T310">
        <v>448775</v>
      </c>
      <c r="V310" t="str">
        <v>Sumba Barat Daya</v>
      </c>
      <c r="W310">
        <v>6.57</v>
      </c>
      <c r="X310">
        <v>6.44</v>
      </c>
      <c r="Y310">
        <v>6.47</v>
      </c>
      <c r="Z310">
        <v>13.09</v>
      </c>
      <c r="AA310">
        <v>13.51</v>
      </c>
      <c r="AB310">
        <v>13.12</v>
      </c>
      <c r="AC310">
        <v>65.64</v>
      </c>
      <c r="AD310">
        <v>64.52</v>
      </c>
      <c r="AE310">
        <v>64.819999999999993</v>
      </c>
      <c r="AF310">
        <v>1.39</v>
      </c>
      <c r="AG310">
        <v>2.0499999999999998</v>
      </c>
      <c r="AH310">
        <v>1.7</v>
      </c>
      <c r="AI310">
        <v>67.53</v>
      </c>
      <c r="AJ310">
        <v>71.489999999999995</v>
      </c>
      <c r="AK310">
        <v>69.459999999999994</v>
      </c>
      <c r="AL310">
        <v>86.66</v>
      </c>
      <c r="AM310">
        <v>77.88</v>
      </c>
      <c r="AN310">
        <v>82.27</v>
      </c>
      <c r="AO310">
        <v>335500</v>
      </c>
    </row>
    <row r="311" spans="1:41" x14ac:dyDescent="0.35">
      <c r="A311" t="s">
        <v>311</v>
      </c>
      <c r="B311">
        <v>11.29</v>
      </c>
      <c r="C311">
        <v>10.67</v>
      </c>
      <c r="D311">
        <v>10.97</v>
      </c>
      <c r="E311">
        <v>15.06</v>
      </c>
      <c r="F311">
        <v>15.84</v>
      </c>
      <c r="G311">
        <v>15.21</v>
      </c>
      <c r="H311">
        <v>81.13</v>
      </c>
      <c r="I311">
        <v>78.66</v>
      </c>
      <c r="J311">
        <v>79.41</v>
      </c>
      <c r="K311">
        <v>4.51</v>
      </c>
      <c r="L311">
        <v>3.98</v>
      </c>
      <c r="M311">
        <v>4.28</v>
      </c>
      <c r="N311">
        <v>71.3</v>
      </c>
      <c r="O311">
        <v>75.72</v>
      </c>
      <c r="P311">
        <v>73.45</v>
      </c>
      <c r="Q311">
        <v>81.650000000000006</v>
      </c>
      <c r="R311">
        <v>61.94</v>
      </c>
      <c r="S311">
        <v>71.8</v>
      </c>
      <c r="T311">
        <v>165844</v>
      </c>
      <c r="V311" t="str">
        <v>Nagekeo</v>
      </c>
      <c r="W311">
        <v>8.5399999999999991</v>
      </c>
      <c r="X311">
        <v>8.39</v>
      </c>
      <c r="Y311">
        <v>8.4700000000000006</v>
      </c>
      <c r="Z311">
        <v>13.07</v>
      </c>
      <c r="AA311">
        <v>12.7</v>
      </c>
      <c r="AB311">
        <v>12.74</v>
      </c>
      <c r="AC311">
        <v>71.2</v>
      </c>
      <c r="AD311">
        <v>70.11</v>
      </c>
      <c r="AE311">
        <v>70.48</v>
      </c>
      <c r="AF311">
        <v>0.81</v>
      </c>
      <c r="AG311">
        <v>1.92</v>
      </c>
      <c r="AH311">
        <v>1.31</v>
      </c>
      <c r="AI311">
        <v>70.92</v>
      </c>
      <c r="AJ311">
        <v>74.959999999999994</v>
      </c>
      <c r="AK311">
        <v>72.89</v>
      </c>
      <c r="AL311">
        <v>81.02</v>
      </c>
      <c r="AM311">
        <v>62.39</v>
      </c>
      <c r="AN311">
        <v>71.709999999999994</v>
      </c>
      <c r="AO311">
        <v>170669</v>
      </c>
    </row>
    <row r="312" spans="1:41" x14ac:dyDescent="0.35">
      <c r="A312" t="s">
        <v>312</v>
      </c>
      <c r="B312">
        <v>8.36</v>
      </c>
      <c r="C312">
        <v>8.14</v>
      </c>
      <c r="D312">
        <v>8.2200000000000006</v>
      </c>
      <c r="E312">
        <v>13.33</v>
      </c>
      <c r="F312">
        <v>13.57</v>
      </c>
      <c r="G312">
        <v>13.34</v>
      </c>
      <c r="H312">
        <v>73.52</v>
      </c>
      <c r="I312">
        <v>69</v>
      </c>
      <c r="J312">
        <v>69.89</v>
      </c>
      <c r="K312">
        <v>3.21</v>
      </c>
      <c r="L312">
        <v>3.43</v>
      </c>
      <c r="M312">
        <v>3.31</v>
      </c>
      <c r="N312">
        <v>70.209999999999994</v>
      </c>
      <c r="O312">
        <v>74.209999999999994</v>
      </c>
      <c r="P312">
        <v>72.16</v>
      </c>
      <c r="Q312">
        <v>82.52</v>
      </c>
      <c r="R312">
        <v>68.680000000000007</v>
      </c>
      <c r="S312">
        <v>75.599999999999994</v>
      </c>
      <c r="T312">
        <v>5742564</v>
      </c>
      <c r="V312" t="str">
        <v>Manggarai Timur</v>
      </c>
      <c r="W312">
        <v>8.2899999999999991</v>
      </c>
      <c r="X312">
        <v>7.85</v>
      </c>
      <c r="Y312">
        <v>8.11</v>
      </c>
      <c r="Z312">
        <v>12.67</v>
      </c>
      <c r="AA312">
        <v>12.86</v>
      </c>
      <c r="AB312">
        <v>12.67</v>
      </c>
      <c r="AC312">
        <v>70.510000000000005</v>
      </c>
      <c r="AD312">
        <v>64.819999999999993</v>
      </c>
      <c r="AE312">
        <v>66.63</v>
      </c>
      <c r="AF312">
        <v>0.85</v>
      </c>
      <c r="AG312">
        <v>1.69</v>
      </c>
      <c r="AH312">
        <v>1.24</v>
      </c>
      <c r="AI312">
        <v>71.13</v>
      </c>
      <c r="AJ312">
        <v>75.36</v>
      </c>
      <c r="AK312">
        <v>73.19</v>
      </c>
      <c r="AL312">
        <v>87.85</v>
      </c>
      <c r="AM312">
        <v>78.83</v>
      </c>
      <c r="AN312">
        <v>83.34</v>
      </c>
      <c r="AO312">
        <v>301525</v>
      </c>
    </row>
    <row r="313" spans="1:41" x14ac:dyDescent="0.35">
      <c r="A313" t="s">
        <v>313</v>
      </c>
      <c r="B313">
        <v>7.55</v>
      </c>
      <c r="C313">
        <v>7.09</v>
      </c>
      <c r="D313">
        <v>7.39</v>
      </c>
      <c r="E313">
        <v>13.19</v>
      </c>
      <c r="F313">
        <v>13.78</v>
      </c>
      <c r="G313">
        <v>13.41</v>
      </c>
      <c r="H313">
        <v>70.86</v>
      </c>
      <c r="I313">
        <v>67.7</v>
      </c>
      <c r="J313">
        <v>68.459999999999994</v>
      </c>
      <c r="K313">
        <v>2.68</v>
      </c>
      <c r="L313">
        <v>3.98</v>
      </c>
      <c r="M313">
        <v>3.27</v>
      </c>
      <c r="N313">
        <v>69.69</v>
      </c>
      <c r="O313">
        <v>73.67</v>
      </c>
      <c r="P313">
        <v>71.63</v>
      </c>
      <c r="Q313">
        <v>81.77</v>
      </c>
      <c r="R313">
        <v>71.91</v>
      </c>
      <c r="S313">
        <v>76.84</v>
      </c>
      <c r="T313">
        <v>157595</v>
      </c>
      <c r="V313" t="str">
        <v>Sabu Raijua</v>
      </c>
      <c r="W313">
        <v>7.1</v>
      </c>
      <c r="X313">
        <v>7.26</v>
      </c>
      <c r="Y313">
        <v>7.1</v>
      </c>
      <c r="Z313">
        <v>13.2</v>
      </c>
      <c r="AA313">
        <v>13.41</v>
      </c>
      <c r="AB313">
        <v>13.2</v>
      </c>
      <c r="AC313">
        <v>66</v>
      </c>
      <c r="AD313">
        <v>61.52</v>
      </c>
      <c r="AE313">
        <v>62.74</v>
      </c>
      <c r="AF313">
        <v>2.67</v>
      </c>
      <c r="AG313">
        <v>3.65</v>
      </c>
      <c r="AH313">
        <v>3.12</v>
      </c>
      <c r="AI313">
        <v>64.959999999999994</v>
      </c>
      <c r="AJ313">
        <v>68.900000000000006</v>
      </c>
      <c r="AK313">
        <v>66.88</v>
      </c>
      <c r="AL313">
        <v>79.73</v>
      </c>
      <c r="AM313">
        <v>70.37</v>
      </c>
      <c r="AN313">
        <v>75.05</v>
      </c>
      <c r="AO313">
        <v>96259</v>
      </c>
    </row>
    <row r="314" spans="1:41" x14ac:dyDescent="0.35">
      <c r="A314" t="s">
        <v>314</v>
      </c>
      <c r="B314">
        <v>7.94</v>
      </c>
      <c r="C314">
        <v>7.82</v>
      </c>
      <c r="D314">
        <v>7.94</v>
      </c>
      <c r="E314">
        <v>12.86</v>
      </c>
      <c r="F314">
        <v>13.17</v>
      </c>
      <c r="G314">
        <v>12.88</v>
      </c>
      <c r="H314">
        <v>73.22</v>
      </c>
      <c r="I314">
        <v>70.7</v>
      </c>
      <c r="J314">
        <v>70.989999999999995</v>
      </c>
      <c r="K314">
        <v>4.71</v>
      </c>
      <c r="L314">
        <v>1.74</v>
      </c>
      <c r="M314">
        <v>3.36</v>
      </c>
      <c r="N314">
        <v>69.959999999999994</v>
      </c>
      <c r="O314">
        <v>73.959999999999994</v>
      </c>
      <c r="P314">
        <v>71.91</v>
      </c>
      <c r="Q314">
        <v>80.64</v>
      </c>
      <c r="R314">
        <v>70.11</v>
      </c>
      <c r="S314">
        <v>75.38</v>
      </c>
      <c r="T314">
        <v>262975</v>
      </c>
      <c r="V314" t="str">
        <v>Malaka</v>
      </c>
      <c r="W314">
        <v>7.49</v>
      </c>
      <c r="X314">
        <v>7.3</v>
      </c>
      <c r="Y314">
        <v>7.38</v>
      </c>
      <c r="Z314">
        <v>12.46</v>
      </c>
      <c r="AA314">
        <v>13.1</v>
      </c>
      <c r="AB314">
        <v>12.84</v>
      </c>
      <c r="AC314">
        <v>69.48</v>
      </c>
      <c r="AD314">
        <v>63.71</v>
      </c>
      <c r="AE314">
        <v>65.84</v>
      </c>
      <c r="AF314">
        <v>2.0699999999999998</v>
      </c>
      <c r="AG314">
        <v>2.06</v>
      </c>
      <c r="AH314">
        <v>2.0699999999999998</v>
      </c>
      <c r="AI314">
        <v>69.78</v>
      </c>
      <c r="AJ314">
        <v>73.760000000000005</v>
      </c>
      <c r="AK314">
        <v>71.72</v>
      </c>
      <c r="AL314">
        <v>87.83</v>
      </c>
      <c r="AM314">
        <v>82.07</v>
      </c>
      <c r="AN314">
        <v>84.95</v>
      </c>
      <c r="AO314">
        <v>196008</v>
      </c>
    </row>
    <row r="315" spans="1:41" x14ac:dyDescent="0.35">
      <c r="A315" t="s">
        <v>315</v>
      </c>
      <c r="B315">
        <v>8.1300000000000008</v>
      </c>
      <c r="C315">
        <v>7.7</v>
      </c>
      <c r="D315">
        <v>7.87</v>
      </c>
      <c r="E315">
        <v>13.86</v>
      </c>
      <c r="F315">
        <v>13.95</v>
      </c>
      <c r="G315">
        <v>13.91</v>
      </c>
      <c r="H315">
        <v>73.12</v>
      </c>
      <c r="I315">
        <v>65.17</v>
      </c>
      <c r="J315">
        <v>69.03</v>
      </c>
      <c r="K315">
        <v>3.33</v>
      </c>
      <c r="L315">
        <v>3.83</v>
      </c>
      <c r="M315">
        <v>3.53</v>
      </c>
      <c r="N315">
        <v>67.98</v>
      </c>
      <c r="O315">
        <v>71.930000000000007</v>
      </c>
      <c r="P315">
        <v>69.91</v>
      </c>
      <c r="Q315">
        <v>83.45</v>
      </c>
      <c r="R315">
        <v>58.15</v>
      </c>
      <c r="S315">
        <v>70.8</v>
      </c>
      <c r="T315">
        <v>383387</v>
      </c>
      <c r="V315" t="str">
        <v>Kota Kupang</v>
      </c>
      <c r="W315">
        <v>12.06</v>
      </c>
      <c r="X315">
        <v>11.57</v>
      </c>
      <c r="Y315">
        <v>11.66</v>
      </c>
      <c r="Z315">
        <v>16.45</v>
      </c>
      <c r="AA315">
        <v>17.11</v>
      </c>
      <c r="AB315">
        <v>16.55</v>
      </c>
      <c r="AC315">
        <v>85.83</v>
      </c>
      <c r="AD315">
        <v>83.64</v>
      </c>
      <c r="AE315">
        <v>83.65</v>
      </c>
      <c r="AF315">
        <v>7.65</v>
      </c>
      <c r="AG315">
        <v>10</v>
      </c>
      <c r="AH315">
        <v>8.61</v>
      </c>
      <c r="AI315">
        <v>72.66</v>
      </c>
      <c r="AJ315">
        <v>78.239999999999995</v>
      </c>
      <c r="AK315">
        <v>75.38</v>
      </c>
      <c r="AL315">
        <v>80.87</v>
      </c>
      <c r="AM315">
        <v>55.76</v>
      </c>
      <c r="AN315">
        <v>68.319999999999993</v>
      </c>
      <c r="AO315">
        <v>482734</v>
      </c>
    </row>
    <row r="316" spans="1:41" x14ac:dyDescent="0.35">
      <c r="A316" t="s">
        <v>316</v>
      </c>
      <c r="B316">
        <v>7.44</v>
      </c>
      <c r="C316">
        <v>7.11</v>
      </c>
      <c r="D316">
        <v>7.43</v>
      </c>
      <c r="E316">
        <v>12.47</v>
      </c>
      <c r="F316">
        <v>14.82</v>
      </c>
      <c r="G316">
        <v>12.63</v>
      </c>
      <c r="H316">
        <v>69.709999999999994</v>
      </c>
      <c r="I316">
        <v>66.87</v>
      </c>
      <c r="J316">
        <v>66.88</v>
      </c>
      <c r="K316">
        <v>2.89</v>
      </c>
      <c r="L316">
        <v>4.3</v>
      </c>
      <c r="M316">
        <v>3.57</v>
      </c>
      <c r="N316">
        <v>69.53</v>
      </c>
      <c r="O316">
        <v>73.5</v>
      </c>
      <c r="P316">
        <v>71.47</v>
      </c>
      <c r="Q316">
        <v>85.19</v>
      </c>
      <c r="R316">
        <v>77.3</v>
      </c>
      <c r="S316">
        <v>81.25</v>
      </c>
      <c r="T316">
        <v>487999</v>
      </c>
      <c r="V316" t="str">
        <v>Sambas</v>
      </c>
      <c r="W316">
        <v>7.41</v>
      </c>
      <c r="X316">
        <v>6.42</v>
      </c>
      <c r="Y316">
        <v>7</v>
      </c>
      <c r="Z316">
        <v>12.77</v>
      </c>
      <c r="AA316">
        <v>13.39</v>
      </c>
      <c r="AB316">
        <v>12.77</v>
      </c>
      <c r="AC316">
        <v>76.22</v>
      </c>
      <c r="AD316">
        <v>68.42</v>
      </c>
      <c r="AE316">
        <v>72.08</v>
      </c>
      <c r="AF316">
        <v>6.67</v>
      </c>
      <c r="AG316">
        <v>2.41</v>
      </c>
      <c r="AH316">
        <v>4.91</v>
      </c>
      <c r="AI316">
        <v>72.19</v>
      </c>
      <c r="AJ316">
        <v>77.55</v>
      </c>
      <c r="AK316">
        <v>74.8</v>
      </c>
      <c r="AL316">
        <v>84.35</v>
      </c>
      <c r="AM316">
        <v>61.45</v>
      </c>
      <c r="AN316">
        <v>72.900000000000006</v>
      </c>
      <c r="AO316">
        <v>661452</v>
      </c>
    </row>
    <row r="317" spans="1:41" x14ac:dyDescent="0.35">
      <c r="A317" t="s">
        <v>317</v>
      </c>
      <c r="B317">
        <v>8.48</v>
      </c>
      <c r="C317">
        <v>8.31</v>
      </c>
      <c r="D317">
        <v>8.36</v>
      </c>
      <c r="E317">
        <v>13.01</v>
      </c>
      <c r="F317">
        <v>14.05</v>
      </c>
      <c r="G317">
        <v>13.39</v>
      </c>
      <c r="H317">
        <v>69.84</v>
      </c>
      <c r="I317">
        <v>67.209999999999994</v>
      </c>
      <c r="J317">
        <v>67.87</v>
      </c>
      <c r="K317">
        <v>3.21</v>
      </c>
      <c r="L317">
        <v>1.81</v>
      </c>
      <c r="M317">
        <v>2.54</v>
      </c>
      <c r="N317">
        <v>69.45</v>
      </c>
      <c r="O317">
        <v>73.42</v>
      </c>
      <c r="P317">
        <v>71.39</v>
      </c>
      <c r="Q317">
        <v>78.89</v>
      </c>
      <c r="R317">
        <v>71.3</v>
      </c>
      <c r="S317">
        <v>75.099999999999994</v>
      </c>
      <c r="T317">
        <v>279637</v>
      </c>
      <c r="V317" t="str">
        <v>Bengkayang</v>
      </c>
      <c r="W317">
        <v>7.96</v>
      </c>
      <c r="X317">
        <v>7.17</v>
      </c>
      <c r="Y317">
        <v>7.62</v>
      </c>
      <c r="Z317">
        <v>12.17</v>
      </c>
      <c r="AA317">
        <v>12.55</v>
      </c>
      <c r="AB317">
        <v>12.24</v>
      </c>
      <c r="AC317">
        <v>74.959999999999994</v>
      </c>
      <c r="AD317">
        <v>63.48</v>
      </c>
      <c r="AE317">
        <v>70.989999999999995</v>
      </c>
      <c r="AF317">
        <v>3.77</v>
      </c>
      <c r="AG317">
        <v>1.75</v>
      </c>
      <c r="AH317">
        <v>2.95</v>
      </c>
      <c r="AI317">
        <v>72.86</v>
      </c>
      <c r="AJ317">
        <v>77.48</v>
      </c>
      <c r="AK317">
        <v>74.739999999999995</v>
      </c>
      <c r="AL317">
        <v>89.05</v>
      </c>
      <c r="AM317">
        <v>66.12</v>
      </c>
      <c r="AN317">
        <v>77.59</v>
      </c>
      <c r="AO317">
        <v>307823</v>
      </c>
    </row>
    <row r="318" spans="1:41" x14ac:dyDescent="0.35">
      <c r="A318" t="s">
        <v>318</v>
      </c>
      <c r="B318">
        <v>7.76</v>
      </c>
      <c r="C318">
        <v>7.6</v>
      </c>
      <c r="D318">
        <v>7.73</v>
      </c>
      <c r="E318">
        <v>12.25</v>
      </c>
      <c r="F318">
        <v>12.69</v>
      </c>
      <c r="G318">
        <v>12.33</v>
      </c>
      <c r="H318">
        <v>70.19</v>
      </c>
      <c r="I318">
        <v>68.89</v>
      </c>
      <c r="J318">
        <v>68.89</v>
      </c>
      <c r="K318">
        <v>5.29</v>
      </c>
      <c r="L318">
        <v>5.08</v>
      </c>
      <c r="M318">
        <v>5.2</v>
      </c>
      <c r="N318">
        <v>72.239999999999995</v>
      </c>
      <c r="O318">
        <v>77.430000000000007</v>
      </c>
      <c r="P318">
        <v>74.77</v>
      </c>
      <c r="Q318">
        <v>86.69</v>
      </c>
      <c r="R318">
        <v>66.819999999999993</v>
      </c>
      <c r="S318">
        <v>76.760000000000005</v>
      </c>
      <c r="T318">
        <v>240392</v>
      </c>
      <c r="V318" t="str">
        <v>Landak</v>
      </c>
      <c r="W318">
        <v>8.5399999999999991</v>
      </c>
      <c r="X318">
        <v>7.46</v>
      </c>
      <c r="Y318">
        <v>7.76</v>
      </c>
      <c r="Z318">
        <v>12.55</v>
      </c>
      <c r="AA318">
        <v>12.98</v>
      </c>
      <c r="AB318">
        <v>12.55</v>
      </c>
      <c r="AC318">
        <v>74.17</v>
      </c>
      <c r="AD318">
        <v>66.64</v>
      </c>
      <c r="AE318">
        <v>69.92</v>
      </c>
      <c r="AF318">
        <v>2.69</v>
      </c>
      <c r="AG318">
        <v>2.68</v>
      </c>
      <c r="AH318">
        <v>2.69</v>
      </c>
      <c r="AI318">
        <v>71.91</v>
      </c>
      <c r="AJ318">
        <v>77.010000000000005</v>
      </c>
      <c r="AK318">
        <v>74.400000000000006</v>
      </c>
      <c r="AL318">
        <v>86.21</v>
      </c>
      <c r="AM318">
        <v>57.34</v>
      </c>
      <c r="AN318">
        <v>71.78</v>
      </c>
      <c r="AO318">
        <v>424472</v>
      </c>
    </row>
    <row r="319" spans="1:41" x14ac:dyDescent="0.35">
      <c r="A319" t="s">
        <v>319</v>
      </c>
      <c r="B319">
        <v>9.16</v>
      </c>
      <c r="C319">
        <v>8.39</v>
      </c>
      <c r="D319">
        <v>8.7200000000000006</v>
      </c>
      <c r="E319">
        <v>12.61</v>
      </c>
      <c r="F319">
        <v>12.54</v>
      </c>
      <c r="G319">
        <v>12.59</v>
      </c>
      <c r="H319">
        <v>72.2</v>
      </c>
      <c r="I319">
        <v>67.319999999999993</v>
      </c>
      <c r="J319">
        <v>68.44</v>
      </c>
      <c r="K319">
        <v>2.64</v>
      </c>
      <c r="L319">
        <v>1.51</v>
      </c>
      <c r="M319">
        <v>2.08</v>
      </c>
      <c r="N319">
        <v>69.39</v>
      </c>
      <c r="O319">
        <v>73.36</v>
      </c>
      <c r="P319">
        <v>71.33</v>
      </c>
      <c r="Q319">
        <v>80.98</v>
      </c>
      <c r="R319">
        <v>76.72</v>
      </c>
      <c r="S319">
        <v>78.849999999999994</v>
      </c>
      <c r="T319">
        <v>228504</v>
      </c>
      <c r="V319" t="str">
        <v>Mempawah</v>
      </c>
      <c r="W319">
        <v>7.74</v>
      </c>
      <c r="X319">
        <v>7.17</v>
      </c>
      <c r="Y319">
        <v>7.4</v>
      </c>
      <c r="Z319">
        <v>12.89</v>
      </c>
      <c r="AA319">
        <v>13.47</v>
      </c>
      <c r="AB319">
        <v>13</v>
      </c>
      <c r="AC319">
        <v>74.89</v>
      </c>
      <c r="AD319">
        <v>67.3</v>
      </c>
      <c r="AE319">
        <v>70.59</v>
      </c>
      <c r="AF319">
        <v>4.87</v>
      </c>
      <c r="AG319">
        <v>4.53</v>
      </c>
      <c r="AH319">
        <v>4.74</v>
      </c>
      <c r="AI319">
        <v>72.2</v>
      </c>
      <c r="AJ319">
        <v>77.569999999999993</v>
      </c>
      <c r="AK319">
        <v>74.819999999999993</v>
      </c>
      <c r="AL319">
        <v>87.71</v>
      </c>
      <c r="AM319">
        <v>54.07</v>
      </c>
      <c r="AN319">
        <v>70.89</v>
      </c>
      <c r="AO319">
        <v>320630</v>
      </c>
    </row>
    <row r="320" spans="1:41" x14ac:dyDescent="0.35">
      <c r="A320" t="s">
        <v>320</v>
      </c>
      <c r="B320">
        <v>9.33</v>
      </c>
      <c r="C320">
        <v>7.94</v>
      </c>
      <c r="D320">
        <v>8.49</v>
      </c>
      <c r="E320">
        <v>12.54</v>
      </c>
      <c r="F320">
        <v>12.81</v>
      </c>
      <c r="G320">
        <v>12.54</v>
      </c>
      <c r="H320">
        <v>74.17</v>
      </c>
      <c r="I320">
        <v>68.36</v>
      </c>
      <c r="J320">
        <v>69.7</v>
      </c>
      <c r="K320">
        <v>1.37</v>
      </c>
      <c r="L320">
        <v>1.36</v>
      </c>
      <c r="M320">
        <v>1.37</v>
      </c>
      <c r="N320">
        <v>71.61</v>
      </c>
      <c r="O320">
        <v>76.11</v>
      </c>
      <c r="P320">
        <v>73.81</v>
      </c>
      <c r="Q320">
        <v>80.709999999999994</v>
      </c>
      <c r="R320">
        <v>73.819999999999993</v>
      </c>
      <c r="S320">
        <v>77.27</v>
      </c>
      <c r="T320">
        <v>145271</v>
      </c>
      <c r="V320" t="str">
        <v>Sanggau</v>
      </c>
      <c r="W320">
        <v>8.3000000000000007</v>
      </c>
      <c r="X320">
        <v>7.4</v>
      </c>
      <c r="Y320">
        <v>7.81</v>
      </c>
      <c r="Z320">
        <v>11.89</v>
      </c>
      <c r="AA320">
        <v>12.19</v>
      </c>
      <c r="AB320">
        <v>12.02</v>
      </c>
      <c r="AC320">
        <v>74.91</v>
      </c>
      <c r="AD320">
        <v>62.84</v>
      </c>
      <c r="AE320">
        <v>70.36</v>
      </c>
      <c r="AF320">
        <v>3.72</v>
      </c>
      <c r="AG320">
        <v>4.1500000000000004</v>
      </c>
      <c r="AH320">
        <v>3.89</v>
      </c>
      <c r="AI320">
        <v>71.89</v>
      </c>
      <c r="AJ320">
        <v>76.95</v>
      </c>
      <c r="AK320">
        <v>74.36</v>
      </c>
      <c r="AL320">
        <v>85.57</v>
      </c>
      <c r="AM320">
        <v>62.67</v>
      </c>
      <c r="AN320">
        <v>74.12</v>
      </c>
      <c r="AO320">
        <v>516710</v>
      </c>
    </row>
    <row r="321" spans="1:41" x14ac:dyDescent="0.35">
      <c r="A321" t="s">
        <v>321</v>
      </c>
      <c r="B321">
        <v>8.68</v>
      </c>
      <c r="C321">
        <v>7.87</v>
      </c>
      <c r="D321">
        <v>8.19</v>
      </c>
      <c r="E321">
        <v>13.29</v>
      </c>
      <c r="F321">
        <v>13.01</v>
      </c>
      <c r="G321">
        <v>13.17</v>
      </c>
      <c r="H321">
        <v>74.62</v>
      </c>
      <c r="I321">
        <v>69.349999999999994</v>
      </c>
      <c r="J321">
        <v>70.61</v>
      </c>
      <c r="K321">
        <v>6.05</v>
      </c>
      <c r="L321">
        <v>6.73</v>
      </c>
      <c r="M321">
        <v>6.36</v>
      </c>
      <c r="N321">
        <v>71.98</v>
      </c>
      <c r="O321">
        <v>76.87</v>
      </c>
      <c r="P321">
        <v>74.37</v>
      </c>
      <c r="Q321">
        <v>79.53</v>
      </c>
      <c r="R321">
        <v>61</v>
      </c>
      <c r="S321">
        <v>70.27</v>
      </c>
      <c r="T321">
        <v>296760</v>
      </c>
      <c r="V321" t="str">
        <v>Ketapang</v>
      </c>
      <c r="W321">
        <v>8.44</v>
      </c>
      <c r="X321">
        <v>7.66</v>
      </c>
      <c r="Y321">
        <v>7.99</v>
      </c>
      <c r="Z321">
        <v>12.25</v>
      </c>
      <c r="AA321">
        <v>12.01</v>
      </c>
      <c r="AB321">
        <v>12.09</v>
      </c>
      <c r="AC321">
        <v>75.3</v>
      </c>
      <c r="AD321">
        <v>67.790000000000006</v>
      </c>
      <c r="AE321">
        <v>71.3</v>
      </c>
      <c r="AF321">
        <v>6.55</v>
      </c>
      <c r="AG321">
        <v>7.14</v>
      </c>
      <c r="AH321">
        <v>6.75</v>
      </c>
      <c r="AI321">
        <v>71.61</v>
      </c>
      <c r="AJ321">
        <v>76.36</v>
      </c>
      <c r="AK321">
        <v>73.92</v>
      </c>
      <c r="AL321">
        <v>86.29</v>
      </c>
      <c r="AM321">
        <v>47.68</v>
      </c>
      <c r="AN321">
        <v>66.989999999999995</v>
      </c>
      <c r="AO321">
        <v>607049</v>
      </c>
    </row>
    <row r="322" spans="1:41" x14ac:dyDescent="0.35">
      <c r="A322" t="s">
        <v>322</v>
      </c>
      <c r="B322">
        <v>7.53</v>
      </c>
      <c r="C322">
        <v>7.14</v>
      </c>
      <c r="D322">
        <v>7.2</v>
      </c>
      <c r="E322">
        <v>13.56</v>
      </c>
      <c r="F322">
        <v>14.05</v>
      </c>
      <c r="G322">
        <v>13.68</v>
      </c>
      <c r="H322">
        <v>75.040000000000006</v>
      </c>
      <c r="I322">
        <v>68.13</v>
      </c>
      <c r="J322">
        <v>70.650000000000006</v>
      </c>
      <c r="K322">
        <v>2.34</v>
      </c>
      <c r="L322">
        <v>2.96</v>
      </c>
      <c r="M322">
        <v>2.62</v>
      </c>
      <c r="N322">
        <v>72.069999999999993</v>
      </c>
      <c r="O322">
        <v>77.34</v>
      </c>
      <c r="P322">
        <v>74.64</v>
      </c>
      <c r="Q322">
        <v>80.599999999999994</v>
      </c>
      <c r="R322">
        <v>64.2</v>
      </c>
      <c r="S322">
        <v>72.400000000000006</v>
      </c>
      <c r="T322">
        <v>345319</v>
      </c>
      <c r="V322" t="str">
        <v>Sintang</v>
      </c>
      <c r="W322">
        <v>8.09</v>
      </c>
      <c r="X322">
        <v>7.52</v>
      </c>
      <c r="Y322">
        <v>7.86</v>
      </c>
      <c r="Z322">
        <v>12.18</v>
      </c>
      <c r="AA322">
        <v>12.67</v>
      </c>
      <c r="AB322">
        <v>12.33</v>
      </c>
      <c r="AC322">
        <v>74.7</v>
      </c>
      <c r="AD322">
        <v>66.5</v>
      </c>
      <c r="AE322">
        <v>70.92</v>
      </c>
      <c r="AF322">
        <v>2.15</v>
      </c>
      <c r="AG322">
        <v>3.83</v>
      </c>
      <c r="AH322">
        <v>2.78</v>
      </c>
      <c r="AI322">
        <v>72.12</v>
      </c>
      <c r="AJ322">
        <v>77.430000000000007</v>
      </c>
      <c r="AK322">
        <v>74.709999999999994</v>
      </c>
      <c r="AL322">
        <v>89.18</v>
      </c>
      <c r="AM322">
        <v>57.8</v>
      </c>
      <c r="AN322">
        <v>73.489999999999995</v>
      </c>
      <c r="AO322">
        <v>449211</v>
      </c>
    </row>
    <row r="323" spans="1:41" x14ac:dyDescent="0.35">
      <c r="A323" t="s">
        <v>323</v>
      </c>
      <c r="B323">
        <v>8.8699999999999992</v>
      </c>
      <c r="C323">
        <v>8.35</v>
      </c>
      <c r="D323">
        <v>8.52</v>
      </c>
      <c r="E323">
        <v>14.1</v>
      </c>
      <c r="F323">
        <v>13.83</v>
      </c>
      <c r="G323">
        <v>13.84</v>
      </c>
      <c r="H323">
        <v>74.48</v>
      </c>
      <c r="I323">
        <v>71.88</v>
      </c>
      <c r="J323">
        <v>72.73</v>
      </c>
      <c r="K323">
        <v>3.27</v>
      </c>
      <c r="L323">
        <v>2.62</v>
      </c>
      <c r="M323">
        <v>2.95</v>
      </c>
      <c r="N323">
        <v>71.040000000000006</v>
      </c>
      <c r="O323">
        <v>75.180000000000007</v>
      </c>
      <c r="P323">
        <v>73.06</v>
      </c>
      <c r="Q323">
        <v>76.7</v>
      </c>
      <c r="R323">
        <v>67.459999999999994</v>
      </c>
      <c r="S323">
        <v>72.08</v>
      </c>
      <c r="T323">
        <v>284165</v>
      </c>
      <c r="V323" t="str">
        <v>Kapuas Hulu</v>
      </c>
      <c r="W323">
        <v>8.43</v>
      </c>
      <c r="X323">
        <v>7.77</v>
      </c>
      <c r="Y323">
        <v>8.0399999999999991</v>
      </c>
      <c r="Z323">
        <v>12.76</v>
      </c>
      <c r="AA323">
        <v>12.24</v>
      </c>
      <c r="AB323">
        <v>12.24</v>
      </c>
      <c r="AC323">
        <v>74.02</v>
      </c>
      <c r="AD323">
        <v>64.569999999999993</v>
      </c>
      <c r="AE323">
        <v>69.239999999999995</v>
      </c>
      <c r="AF323">
        <v>2</v>
      </c>
      <c r="AG323">
        <v>2.2200000000000002</v>
      </c>
      <c r="AH323">
        <v>2.09</v>
      </c>
      <c r="AI323">
        <v>71.45</v>
      </c>
      <c r="AJ323">
        <v>76.040000000000006</v>
      </c>
      <c r="AK323">
        <v>73.69</v>
      </c>
      <c r="AL323">
        <v>87.32</v>
      </c>
      <c r="AM323">
        <v>60.38</v>
      </c>
      <c r="AN323">
        <v>73.849999999999994</v>
      </c>
      <c r="AO323">
        <v>269049</v>
      </c>
    </row>
    <row r="324" spans="1:41" x14ac:dyDescent="0.35">
      <c r="A324" t="s">
        <v>324</v>
      </c>
      <c r="B324">
        <v>8.85</v>
      </c>
      <c r="C324">
        <v>8.77</v>
      </c>
      <c r="D324">
        <v>8.84</v>
      </c>
      <c r="E324">
        <v>12.45</v>
      </c>
      <c r="F324">
        <v>13.08</v>
      </c>
      <c r="G324">
        <v>12.76</v>
      </c>
      <c r="H324">
        <v>74.53</v>
      </c>
      <c r="I324">
        <v>72.53</v>
      </c>
      <c r="J324">
        <v>72.53</v>
      </c>
      <c r="K324">
        <v>2.48</v>
      </c>
      <c r="L324">
        <v>2.73</v>
      </c>
      <c r="M324">
        <v>2.6</v>
      </c>
      <c r="N324">
        <v>72.319999999999993</v>
      </c>
      <c r="O324">
        <v>77.58</v>
      </c>
      <c r="P324">
        <v>74.89</v>
      </c>
      <c r="Q324">
        <v>82.01</v>
      </c>
      <c r="R324">
        <v>72.91</v>
      </c>
      <c r="S324">
        <v>77.459999999999994</v>
      </c>
      <c r="T324">
        <v>176462</v>
      </c>
      <c r="V324" t="str">
        <v>Sekadau</v>
      </c>
      <c r="W324">
        <v>8.11</v>
      </c>
      <c r="X324">
        <v>6.91</v>
      </c>
      <c r="Y324">
        <v>7.53</v>
      </c>
      <c r="Z324">
        <v>11.92</v>
      </c>
      <c r="AA324">
        <v>12.47</v>
      </c>
      <c r="AB324">
        <v>12.02</v>
      </c>
      <c r="AC324">
        <v>73.540000000000006</v>
      </c>
      <c r="AD324">
        <v>62.36</v>
      </c>
      <c r="AE324">
        <v>68.73</v>
      </c>
      <c r="AF324">
        <v>2.2799999999999998</v>
      </c>
      <c r="AG324">
        <v>2.94</v>
      </c>
      <c r="AH324">
        <v>2.54</v>
      </c>
      <c r="AI324">
        <v>71.849999999999994</v>
      </c>
      <c r="AJ324">
        <v>76.87</v>
      </c>
      <c r="AK324">
        <v>74.3</v>
      </c>
      <c r="AL324">
        <v>90.9</v>
      </c>
      <c r="AM324">
        <v>63.76</v>
      </c>
      <c r="AN324">
        <v>77.33</v>
      </c>
      <c r="AO324">
        <v>225219</v>
      </c>
    </row>
    <row r="325" spans="1:41" x14ac:dyDescent="0.35">
      <c r="A325" t="s">
        <v>325</v>
      </c>
      <c r="B325">
        <v>8.7799999999999994</v>
      </c>
      <c r="C325">
        <v>7.66</v>
      </c>
      <c r="D325">
        <v>8.17</v>
      </c>
      <c r="E325">
        <v>13.51</v>
      </c>
      <c r="F325">
        <v>14.32</v>
      </c>
      <c r="G325">
        <v>13.74</v>
      </c>
      <c r="H325">
        <v>74.599999999999994</v>
      </c>
      <c r="I325">
        <v>66.86</v>
      </c>
      <c r="J325">
        <v>70.099999999999994</v>
      </c>
      <c r="K325">
        <v>1.59</v>
      </c>
      <c r="L325">
        <v>1.54</v>
      </c>
      <c r="M325">
        <v>1.56</v>
      </c>
      <c r="N325">
        <v>70.790000000000006</v>
      </c>
      <c r="O325">
        <v>74.819999999999993</v>
      </c>
      <c r="P325">
        <v>72.760000000000005</v>
      </c>
      <c r="Q325">
        <v>84.37</v>
      </c>
      <c r="R325">
        <v>72.86</v>
      </c>
      <c r="S325">
        <v>78.62</v>
      </c>
      <c r="T325">
        <v>340153</v>
      </c>
      <c r="V325" t="str">
        <v>Melawi</v>
      </c>
      <c r="W325">
        <v>8.49</v>
      </c>
      <c r="X325">
        <v>7.51</v>
      </c>
      <c r="Y325">
        <v>8.0500000000000007</v>
      </c>
      <c r="Z325">
        <v>11.28</v>
      </c>
      <c r="AA325">
        <v>11.73</v>
      </c>
      <c r="AB325">
        <v>11.55</v>
      </c>
      <c r="AC325">
        <v>74.84</v>
      </c>
      <c r="AD325">
        <v>61.69</v>
      </c>
      <c r="AE325">
        <v>69.8</v>
      </c>
      <c r="AF325">
        <v>2.41</v>
      </c>
      <c r="AG325">
        <v>3.74</v>
      </c>
      <c r="AH325">
        <v>2.94</v>
      </c>
      <c r="AI325">
        <v>71.63</v>
      </c>
      <c r="AJ325">
        <v>76.41</v>
      </c>
      <c r="AK325">
        <v>73.959999999999994</v>
      </c>
      <c r="AL325">
        <v>87.52</v>
      </c>
      <c r="AM325">
        <v>60.81</v>
      </c>
      <c r="AN325">
        <v>74.17</v>
      </c>
      <c r="AO325">
        <v>246920</v>
      </c>
    </row>
    <row r="326" spans="1:41" x14ac:dyDescent="0.35">
      <c r="A326" t="s">
        <v>326</v>
      </c>
      <c r="B326">
        <v>8.33</v>
      </c>
      <c r="C326">
        <v>7.71</v>
      </c>
      <c r="D326">
        <v>7.84</v>
      </c>
      <c r="E326">
        <v>13.36</v>
      </c>
      <c r="F326">
        <v>13.08</v>
      </c>
      <c r="G326">
        <v>13.24</v>
      </c>
      <c r="H326">
        <v>72.19</v>
      </c>
      <c r="I326">
        <v>62.25</v>
      </c>
      <c r="J326">
        <v>67.010000000000005</v>
      </c>
      <c r="K326">
        <v>1.7</v>
      </c>
      <c r="L326">
        <v>2.8</v>
      </c>
      <c r="M326">
        <v>2.1800000000000002</v>
      </c>
      <c r="N326">
        <v>68.25</v>
      </c>
      <c r="O326">
        <v>72.19</v>
      </c>
      <c r="P326">
        <v>70.17</v>
      </c>
      <c r="Q326">
        <v>79.64</v>
      </c>
      <c r="R326">
        <v>61.6</v>
      </c>
      <c r="S326">
        <v>70.62</v>
      </c>
      <c r="T326">
        <v>155371</v>
      </c>
      <c r="V326" t="str">
        <v>Kayong Utara</v>
      </c>
      <c r="W326">
        <v>7.06</v>
      </c>
      <c r="X326">
        <v>6.02</v>
      </c>
      <c r="Y326">
        <v>6.55</v>
      </c>
      <c r="Z326">
        <v>12.35</v>
      </c>
      <c r="AA326">
        <v>12.2</v>
      </c>
      <c r="AB326">
        <v>12.21</v>
      </c>
      <c r="AC326">
        <v>72.05</v>
      </c>
      <c r="AD326">
        <v>62.78</v>
      </c>
      <c r="AE326">
        <v>67.599999999999994</v>
      </c>
      <c r="AF326">
        <v>4.0999999999999996</v>
      </c>
      <c r="AG326">
        <v>3.15</v>
      </c>
      <c r="AH326">
        <v>3.77</v>
      </c>
      <c r="AI326">
        <v>71.02</v>
      </c>
      <c r="AJ326">
        <v>75.12</v>
      </c>
      <c r="AK326">
        <v>73.02</v>
      </c>
      <c r="AL326">
        <v>86.23</v>
      </c>
      <c r="AM326">
        <v>48.28</v>
      </c>
      <c r="AN326">
        <v>67.260000000000005</v>
      </c>
      <c r="AO326">
        <v>137290</v>
      </c>
    </row>
    <row r="327" spans="1:41" x14ac:dyDescent="0.35">
      <c r="A327" t="s">
        <v>327</v>
      </c>
      <c r="B327">
        <v>8.57</v>
      </c>
      <c r="C327">
        <v>7.93</v>
      </c>
      <c r="D327">
        <v>8.26</v>
      </c>
      <c r="E327">
        <v>12.76</v>
      </c>
      <c r="F327">
        <v>12.55</v>
      </c>
      <c r="G327">
        <v>12.62</v>
      </c>
      <c r="H327">
        <v>74.12</v>
      </c>
      <c r="I327">
        <v>66.06</v>
      </c>
      <c r="J327">
        <v>69.2</v>
      </c>
      <c r="K327">
        <v>3.27</v>
      </c>
      <c r="L327">
        <v>3.37</v>
      </c>
      <c r="M327">
        <v>3.32</v>
      </c>
      <c r="N327">
        <v>71.16</v>
      </c>
      <c r="O327">
        <v>75.42</v>
      </c>
      <c r="P327">
        <v>73.239999999999995</v>
      </c>
      <c r="Q327">
        <v>81.88</v>
      </c>
      <c r="R327">
        <v>62.34</v>
      </c>
      <c r="S327">
        <v>72.11</v>
      </c>
      <c r="T327">
        <v>281692</v>
      </c>
      <c r="V327" t="str">
        <v>Kubu Raya</v>
      </c>
      <c r="W327">
        <v>7.8</v>
      </c>
      <c r="X327">
        <v>7.18</v>
      </c>
      <c r="Y327">
        <v>7.35</v>
      </c>
      <c r="Z327">
        <v>13.88</v>
      </c>
      <c r="AA327">
        <v>14.33</v>
      </c>
      <c r="AB327">
        <v>13.91</v>
      </c>
      <c r="AC327">
        <v>76.81</v>
      </c>
      <c r="AD327">
        <v>66.709999999999994</v>
      </c>
      <c r="AE327">
        <v>72.010000000000005</v>
      </c>
      <c r="AF327">
        <v>6.99</v>
      </c>
      <c r="AG327">
        <v>6.64</v>
      </c>
      <c r="AH327">
        <v>6.86</v>
      </c>
      <c r="AI327">
        <v>71.430000000000007</v>
      </c>
      <c r="AJ327">
        <v>76</v>
      </c>
      <c r="AK327">
        <v>73.66</v>
      </c>
      <c r="AL327">
        <v>86.02</v>
      </c>
      <c r="AM327">
        <v>51.51</v>
      </c>
      <c r="AN327">
        <v>68.77</v>
      </c>
      <c r="AO327">
        <v>660374</v>
      </c>
    </row>
    <row r="328" spans="1:41" x14ac:dyDescent="0.35">
      <c r="A328" t="s">
        <v>328</v>
      </c>
      <c r="B328">
        <v>7.63</v>
      </c>
      <c r="C328">
        <v>7.42</v>
      </c>
      <c r="D328">
        <v>7.5</v>
      </c>
      <c r="E328">
        <v>13.11</v>
      </c>
      <c r="F328">
        <v>13.44</v>
      </c>
      <c r="G328">
        <v>13.15</v>
      </c>
      <c r="H328">
        <v>68.87</v>
      </c>
      <c r="I328">
        <v>63.09</v>
      </c>
      <c r="J328">
        <v>65.290000000000006</v>
      </c>
      <c r="K328">
        <v>1.84</v>
      </c>
      <c r="L328">
        <v>3.34</v>
      </c>
      <c r="M328">
        <v>2.4900000000000002</v>
      </c>
      <c r="N328">
        <v>67.84</v>
      </c>
      <c r="O328">
        <v>71.790000000000006</v>
      </c>
      <c r="P328">
        <v>69.77</v>
      </c>
      <c r="Q328">
        <v>84.98</v>
      </c>
      <c r="R328">
        <v>69.33</v>
      </c>
      <c r="S328">
        <v>77.16</v>
      </c>
      <c r="T328">
        <v>94187</v>
      </c>
      <c r="V328" t="str">
        <v>Kota Pontianak</v>
      </c>
      <c r="W328">
        <v>10.74</v>
      </c>
      <c r="X328">
        <v>10.18</v>
      </c>
      <c r="Y328">
        <v>10.48</v>
      </c>
      <c r="Z328">
        <v>15.33</v>
      </c>
      <c r="AA328">
        <v>15.06</v>
      </c>
      <c r="AB328">
        <v>15.07</v>
      </c>
      <c r="AC328">
        <v>86.08</v>
      </c>
      <c r="AD328">
        <v>82.17</v>
      </c>
      <c r="AE328">
        <v>82.8</v>
      </c>
      <c r="AF328">
        <v>7.93</v>
      </c>
      <c r="AG328">
        <v>7.89</v>
      </c>
      <c r="AH328">
        <v>7.91</v>
      </c>
      <c r="AI328">
        <v>73.13</v>
      </c>
      <c r="AJ328">
        <v>78.92</v>
      </c>
      <c r="AK328">
        <v>75.959999999999994</v>
      </c>
      <c r="AL328">
        <v>76.25</v>
      </c>
      <c r="AM328">
        <v>47.5</v>
      </c>
      <c r="AN328">
        <v>61.88</v>
      </c>
      <c r="AO328">
        <v>686019</v>
      </c>
    </row>
    <row r="329" spans="1:41" x14ac:dyDescent="0.35">
      <c r="A329" t="s">
        <v>329</v>
      </c>
      <c r="B329">
        <v>6.57</v>
      </c>
      <c r="C329">
        <v>6.44</v>
      </c>
      <c r="D329">
        <v>6.47</v>
      </c>
      <c r="E329">
        <v>13.09</v>
      </c>
      <c r="F329">
        <v>13.51</v>
      </c>
      <c r="G329">
        <v>13.12</v>
      </c>
      <c r="H329">
        <v>65.64</v>
      </c>
      <c r="I329">
        <v>64.52</v>
      </c>
      <c r="J329">
        <v>64.819999999999993</v>
      </c>
      <c r="K329">
        <v>1.39</v>
      </c>
      <c r="L329">
        <v>2.0499999999999998</v>
      </c>
      <c r="M329">
        <v>1.7</v>
      </c>
      <c r="N329">
        <v>67.53</v>
      </c>
      <c r="O329">
        <v>71.489999999999995</v>
      </c>
      <c r="P329">
        <v>69.459999999999994</v>
      </c>
      <c r="Q329">
        <v>86.66</v>
      </c>
      <c r="R329">
        <v>77.88</v>
      </c>
      <c r="S329">
        <v>82.27</v>
      </c>
      <c r="T329">
        <v>335500</v>
      </c>
      <c r="V329" t="str">
        <v>Kota Singkawang</v>
      </c>
      <c r="W329">
        <v>8.68</v>
      </c>
      <c r="X329">
        <v>8.43</v>
      </c>
      <c r="Y329">
        <v>8.58</v>
      </c>
      <c r="Z329">
        <v>12.92</v>
      </c>
      <c r="AA329">
        <v>13.35</v>
      </c>
      <c r="AB329">
        <v>12.96</v>
      </c>
      <c r="AC329">
        <v>78.88</v>
      </c>
      <c r="AD329">
        <v>74.2</v>
      </c>
      <c r="AE329">
        <v>75.67</v>
      </c>
      <c r="AF329">
        <v>8.18</v>
      </c>
      <c r="AG329">
        <v>6.13</v>
      </c>
      <c r="AH329">
        <v>7.42</v>
      </c>
      <c r="AI329">
        <v>72.53</v>
      </c>
      <c r="AJ329">
        <v>78.06</v>
      </c>
      <c r="AK329">
        <v>75.23</v>
      </c>
      <c r="AL329">
        <v>81.17</v>
      </c>
      <c r="AM329">
        <v>49.96</v>
      </c>
      <c r="AN329">
        <v>65.569999999999993</v>
      </c>
      <c r="AO329">
        <v>253812</v>
      </c>
    </row>
    <row r="330" spans="1:41" x14ac:dyDescent="0.35">
      <c r="A330" t="s">
        <v>330</v>
      </c>
      <c r="B330">
        <v>8.5399999999999991</v>
      </c>
      <c r="C330">
        <v>8.39</v>
      </c>
      <c r="D330">
        <v>8.4700000000000006</v>
      </c>
      <c r="E330">
        <v>13.07</v>
      </c>
      <c r="F330">
        <v>12.7</v>
      </c>
      <c r="G330">
        <v>12.74</v>
      </c>
      <c r="H330">
        <v>71.2</v>
      </c>
      <c r="I330">
        <v>70.11</v>
      </c>
      <c r="J330">
        <v>70.48</v>
      </c>
      <c r="K330">
        <v>0.81</v>
      </c>
      <c r="L330">
        <v>1.92</v>
      </c>
      <c r="M330">
        <v>1.31</v>
      </c>
      <c r="N330">
        <v>70.92</v>
      </c>
      <c r="O330">
        <v>74.959999999999994</v>
      </c>
      <c r="P330">
        <v>72.89</v>
      </c>
      <c r="Q330">
        <v>81.02</v>
      </c>
      <c r="R330">
        <v>62.39</v>
      </c>
      <c r="S330">
        <v>71.709999999999994</v>
      </c>
      <c r="T330">
        <v>170669</v>
      </c>
      <c r="V330" t="str">
        <v>Kotawaringin Barat</v>
      </c>
      <c r="W330">
        <v>9</v>
      </c>
      <c r="X330">
        <v>8.7200000000000006</v>
      </c>
      <c r="Y330">
        <v>8.8699999999999992</v>
      </c>
      <c r="Z330">
        <v>12.91</v>
      </c>
      <c r="AA330">
        <v>12.95</v>
      </c>
      <c r="AB330">
        <v>12.92</v>
      </c>
      <c r="AC330">
        <v>79.790000000000006</v>
      </c>
      <c r="AD330">
        <v>74.38</v>
      </c>
      <c r="AE330">
        <v>76.02</v>
      </c>
      <c r="AF330">
        <v>3.58</v>
      </c>
      <c r="AG330">
        <v>5.84</v>
      </c>
      <c r="AH330">
        <v>4.3899999999999997</v>
      </c>
      <c r="AI330">
        <v>71.349999999999994</v>
      </c>
      <c r="AJ330">
        <v>75.819999999999993</v>
      </c>
      <c r="AK330">
        <v>73.53</v>
      </c>
      <c r="AL330">
        <v>86.56</v>
      </c>
      <c r="AM330">
        <v>51.44</v>
      </c>
      <c r="AN330">
        <v>69</v>
      </c>
      <c r="AO330">
        <v>285737</v>
      </c>
    </row>
    <row r="331" spans="1:41" x14ac:dyDescent="0.35">
      <c r="A331" t="s">
        <v>331</v>
      </c>
      <c r="B331">
        <v>8.2899999999999991</v>
      </c>
      <c r="C331">
        <v>7.85</v>
      </c>
      <c r="D331">
        <v>8.11</v>
      </c>
      <c r="E331">
        <v>12.67</v>
      </c>
      <c r="F331">
        <v>12.86</v>
      </c>
      <c r="G331">
        <v>12.67</v>
      </c>
      <c r="H331">
        <v>70.510000000000005</v>
      </c>
      <c r="I331">
        <v>64.819999999999993</v>
      </c>
      <c r="J331">
        <v>66.63</v>
      </c>
      <c r="K331">
        <v>0.85</v>
      </c>
      <c r="L331">
        <v>1.69</v>
      </c>
      <c r="M331">
        <v>1.24</v>
      </c>
      <c r="N331">
        <v>71.13</v>
      </c>
      <c r="O331">
        <v>75.36</v>
      </c>
      <c r="P331">
        <v>73.19</v>
      </c>
      <c r="Q331">
        <v>87.85</v>
      </c>
      <c r="R331">
        <v>78.83</v>
      </c>
      <c r="S331">
        <v>83.34</v>
      </c>
      <c r="T331">
        <v>301525</v>
      </c>
      <c r="V331" t="str">
        <v>Kotawaringin Timur</v>
      </c>
      <c r="W331">
        <v>8.6</v>
      </c>
      <c r="X331">
        <v>7.84</v>
      </c>
      <c r="Y331">
        <v>8.25</v>
      </c>
      <c r="Z331">
        <v>12.95</v>
      </c>
      <c r="AA331">
        <v>12.9</v>
      </c>
      <c r="AB331">
        <v>12.9</v>
      </c>
      <c r="AC331">
        <v>79.42</v>
      </c>
      <c r="AD331">
        <v>71.11</v>
      </c>
      <c r="AE331">
        <v>74.959999999999994</v>
      </c>
      <c r="AF331">
        <v>4.2300000000000004</v>
      </c>
      <c r="AG331">
        <v>5.33</v>
      </c>
      <c r="AH331">
        <v>4.5599999999999996</v>
      </c>
      <c r="AI331">
        <v>72.05</v>
      </c>
      <c r="AJ331">
        <v>77.290000000000006</v>
      </c>
      <c r="AK331">
        <v>74.61</v>
      </c>
      <c r="AL331">
        <v>86.65</v>
      </c>
      <c r="AM331">
        <v>39.840000000000003</v>
      </c>
      <c r="AN331">
        <v>63.25</v>
      </c>
      <c r="AO331">
        <v>452867</v>
      </c>
    </row>
    <row r="332" spans="1:41" x14ac:dyDescent="0.35">
      <c r="A332" t="s">
        <v>332</v>
      </c>
      <c r="B332">
        <v>7.1</v>
      </c>
      <c r="C332">
        <v>7.26</v>
      </c>
      <c r="D332">
        <v>7.1</v>
      </c>
      <c r="E332">
        <v>13.2</v>
      </c>
      <c r="F332">
        <v>13.41</v>
      </c>
      <c r="G332">
        <v>13.2</v>
      </c>
      <c r="H332">
        <v>66</v>
      </c>
      <c r="I332">
        <v>61.52</v>
      </c>
      <c r="J332">
        <v>62.74</v>
      </c>
      <c r="K332">
        <v>2.67</v>
      </c>
      <c r="L332">
        <v>3.65</v>
      </c>
      <c r="M332">
        <v>3.12</v>
      </c>
      <c r="N332">
        <v>64.959999999999994</v>
      </c>
      <c r="O332">
        <v>68.900000000000006</v>
      </c>
      <c r="P332">
        <v>66.88</v>
      </c>
      <c r="Q332">
        <v>79.73</v>
      </c>
      <c r="R332">
        <v>70.37</v>
      </c>
      <c r="S332">
        <v>75.05</v>
      </c>
      <c r="T332">
        <v>96259</v>
      </c>
      <c r="V332" t="str">
        <v>Kapuas</v>
      </c>
      <c r="W332">
        <v>8.36</v>
      </c>
      <c r="X332">
        <v>7.89</v>
      </c>
      <c r="Y332">
        <v>8.0399999999999991</v>
      </c>
      <c r="Z332">
        <v>12.96</v>
      </c>
      <c r="AA332">
        <v>13.29</v>
      </c>
      <c r="AB332">
        <v>13.02</v>
      </c>
      <c r="AC332">
        <v>75.84</v>
      </c>
      <c r="AD332">
        <v>72.680000000000007</v>
      </c>
      <c r="AE332">
        <v>73.47</v>
      </c>
      <c r="AF332">
        <v>3.9</v>
      </c>
      <c r="AG332">
        <v>2.84</v>
      </c>
      <c r="AH332">
        <v>3.51</v>
      </c>
      <c r="AI332">
        <v>71.02</v>
      </c>
      <c r="AJ332">
        <v>75.12</v>
      </c>
      <c r="AK332">
        <v>73.02</v>
      </c>
      <c r="AL332">
        <v>83.09</v>
      </c>
      <c r="AM332">
        <v>51.82</v>
      </c>
      <c r="AN332">
        <v>67.459999999999994</v>
      </c>
      <c r="AO332">
        <v>435066</v>
      </c>
    </row>
    <row r="333" spans="1:41" x14ac:dyDescent="0.35">
      <c r="A333" t="s">
        <v>333</v>
      </c>
      <c r="B333">
        <v>7.49</v>
      </c>
      <c r="C333">
        <v>7.3</v>
      </c>
      <c r="D333">
        <v>7.38</v>
      </c>
      <c r="E333">
        <v>12.46</v>
      </c>
      <c r="F333">
        <v>13.1</v>
      </c>
      <c r="G333">
        <v>12.84</v>
      </c>
      <c r="H333">
        <v>69.48</v>
      </c>
      <c r="I333">
        <v>63.71</v>
      </c>
      <c r="J333">
        <v>65.84</v>
      </c>
      <c r="K333">
        <v>2.0699999999999998</v>
      </c>
      <c r="L333">
        <v>2.06</v>
      </c>
      <c r="M333">
        <v>2.0699999999999998</v>
      </c>
      <c r="N333">
        <v>69.78</v>
      </c>
      <c r="O333">
        <v>73.760000000000005</v>
      </c>
      <c r="P333">
        <v>71.72</v>
      </c>
      <c r="Q333">
        <v>87.83</v>
      </c>
      <c r="R333">
        <v>82.07</v>
      </c>
      <c r="S333">
        <v>84.95</v>
      </c>
      <c r="T333">
        <v>196008</v>
      </c>
      <c r="V333" t="str">
        <v>Barito Selatan</v>
      </c>
      <c r="W333">
        <v>9.7799999999999994</v>
      </c>
      <c r="X333">
        <v>9.1</v>
      </c>
      <c r="Y333">
        <v>9.35</v>
      </c>
      <c r="Z333">
        <v>13</v>
      </c>
      <c r="AA333">
        <v>13.15</v>
      </c>
      <c r="AB333">
        <v>13.01</v>
      </c>
      <c r="AC333">
        <v>79.12</v>
      </c>
      <c r="AD333">
        <v>73.41</v>
      </c>
      <c r="AE333">
        <v>75.209999999999994</v>
      </c>
      <c r="AF333">
        <v>4.3499999999999996</v>
      </c>
      <c r="AG333">
        <v>4.22</v>
      </c>
      <c r="AH333">
        <v>4.3</v>
      </c>
      <c r="AI333">
        <v>71.010000000000005</v>
      </c>
      <c r="AJ333">
        <v>75.099999999999994</v>
      </c>
      <c r="AK333">
        <v>73</v>
      </c>
      <c r="AL333">
        <v>82.03</v>
      </c>
      <c r="AM333">
        <v>48.32</v>
      </c>
      <c r="AN333">
        <v>65.180000000000007</v>
      </c>
      <c r="AO333">
        <v>137055</v>
      </c>
    </row>
    <row r="334" spans="1:41" x14ac:dyDescent="0.35">
      <c r="A334" t="s">
        <v>334</v>
      </c>
      <c r="B334">
        <v>12.06</v>
      </c>
      <c r="C334">
        <v>11.57</v>
      </c>
      <c r="D334">
        <v>11.66</v>
      </c>
      <c r="E334">
        <v>16.45</v>
      </c>
      <c r="F334">
        <v>17.11</v>
      </c>
      <c r="G334">
        <v>16.55</v>
      </c>
      <c r="H334">
        <v>85.83</v>
      </c>
      <c r="I334">
        <v>83.64</v>
      </c>
      <c r="J334">
        <v>83.65</v>
      </c>
      <c r="K334">
        <v>7.65</v>
      </c>
      <c r="L334">
        <v>10</v>
      </c>
      <c r="M334">
        <v>8.61</v>
      </c>
      <c r="N334">
        <v>72.66</v>
      </c>
      <c r="O334">
        <v>78.239999999999995</v>
      </c>
      <c r="P334">
        <v>75.38</v>
      </c>
      <c r="Q334">
        <v>80.87</v>
      </c>
      <c r="R334">
        <v>55.76</v>
      </c>
      <c r="S334">
        <v>68.319999999999993</v>
      </c>
      <c r="T334">
        <v>482734</v>
      </c>
      <c r="V334" t="str">
        <v>Barito Utara</v>
      </c>
      <c r="W334">
        <v>9.15</v>
      </c>
      <c r="X334">
        <v>8.6300000000000008</v>
      </c>
      <c r="Y334">
        <v>8.93</v>
      </c>
      <c r="Z334">
        <v>13.21</v>
      </c>
      <c r="AA334">
        <v>12.46</v>
      </c>
      <c r="AB334">
        <v>12.56</v>
      </c>
      <c r="AC334">
        <v>78.209999999999994</v>
      </c>
      <c r="AD334">
        <v>69.25</v>
      </c>
      <c r="AE334">
        <v>73.58</v>
      </c>
      <c r="AF334">
        <v>3.06</v>
      </c>
      <c r="AG334">
        <v>6.87</v>
      </c>
      <c r="AH334">
        <v>4.54</v>
      </c>
      <c r="AI334">
        <v>71.489999999999995</v>
      </c>
      <c r="AJ334">
        <v>76.12</v>
      </c>
      <c r="AK334">
        <v>73.75</v>
      </c>
      <c r="AL334">
        <v>86.41</v>
      </c>
      <c r="AM334">
        <v>59.61</v>
      </c>
      <c r="AN334">
        <v>73.010000000000005</v>
      </c>
      <c r="AO334">
        <v>164621</v>
      </c>
    </row>
    <row r="335" spans="1:41" x14ac:dyDescent="0.35">
      <c r="A335" t="s">
        <v>335</v>
      </c>
      <c r="B335">
        <v>8.39</v>
      </c>
      <c r="C335">
        <v>7.73</v>
      </c>
      <c r="D335">
        <v>8.07</v>
      </c>
      <c r="E335">
        <v>12.67</v>
      </c>
      <c r="F335">
        <v>13.02</v>
      </c>
      <c r="G335">
        <v>12.69</v>
      </c>
      <c r="H335">
        <v>76.3</v>
      </c>
      <c r="I335">
        <v>67.87</v>
      </c>
      <c r="J335">
        <v>72.09</v>
      </c>
      <c r="K335">
        <v>5.0199999999999996</v>
      </c>
      <c r="L335">
        <v>4.4800000000000004</v>
      </c>
      <c r="M335">
        <v>4.82</v>
      </c>
      <c r="N335">
        <v>71.84</v>
      </c>
      <c r="O335">
        <v>76.84</v>
      </c>
      <c r="P335">
        <v>74.28</v>
      </c>
      <c r="Q335">
        <v>85.32</v>
      </c>
      <c r="R335">
        <v>55.7</v>
      </c>
      <c r="S335">
        <v>70.510000000000005</v>
      </c>
      <c r="T335">
        <v>5766030</v>
      </c>
      <c r="V335" t="str">
        <v>Sukamara</v>
      </c>
      <c r="W335">
        <v>8.6199999999999992</v>
      </c>
      <c r="X335">
        <v>7.97</v>
      </c>
      <c r="Y335">
        <v>8.23</v>
      </c>
      <c r="Z335">
        <v>12.47</v>
      </c>
      <c r="AA335">
        <v>12.18</v>
      </c>
      <c r="AB335">
        <v>12.18</v>
      </c>
      <c r="AC335">
        <v>75.16</v>
      </c>
      <c r="AD335">
        <v>69.86</v>
      </c>
      <c r="AE335">
        <v>71.45</v>
      </c>
      <c r="AF335">
        <v>2.2400000000000002</v>
      </c>
      <c r="AG335">
        <v>8.48</v>
      </c>
      <c r="AH335">
        <v>4.47</v>
      </c>
      <c r="AI335">
        <v>72.14</v>
      </c>
      <c r="AJ335">
        <v>77.48</v>
      </c>
      <c r="AK335">
        <v>74.75</v>
      </c>
      <c r="AL335">
        <v>85.85</v>
      </c>
      <c r="AM335">
        <v>52.84</v>
      </c>
      <c r="AN335">
        <v>69.349999999999994</v>
      </c>
      <c r="AO335">
        <v>68978</v>
      </c>
    </row>
    <row r="336" spans="1:41" x14ac:dyDescent="0.35">
      <c r="A336" t="s">
        <v>336</v>
      </c>
      <c r="B336">
        <v>7.41</v>
      </c>
      <c r="C336">
        <v>6.42</v>
      </c>
      <c r="D336">
        <v>7</v>
      </c>
      <c r="E336">
        <v>12.77</v>
      </c>
      <c r="F336">
        <v>13.39</v>
      </c>
      <c r="G336">
        <v>12.77</v>
      </c>
      <c r="H336">
        <v>76.22</v>
      </c>
      <c r="I336">
        <v>68.42</v>
      </c>
      <c r="J336">
        <v>72.08</v>
      </c>
      <c r="K336">
        <v>6.67</v>
      </c>
      <c r="L336">
        <v>2.41</v>
      </c>
      <c r="M336">
        <v>4.91</v>
      </c>
      <c r="N336">
        <v>72.19</v>
      </c>
      <c r="O336">
        <v>77.55</v>
      </c>
      <c r="P336">
        <v>74.8</v>
      </c>
      <c r="Q336">
        <v>84.35</v>
      </c>
      <c r="R336">
        <v>61.45</v>
      </c>
      <c r="S336">
        <v>72.900000000000006</v>
      </c>
      <c r="T336">
        <v>661452</v>
      </c>
      <c r="V336" t="str">
        <v>Lamandau</v>
      </c>
      <c r="W336">
        <v>9.0399999999999991</v>
      </c>
      <c r="X336">
        <v>8.5399999999999991</v>
      </c>
      <c r="Y336">
        <v>8.83</v>
      </c>
      <c r="Z336">
        <v>12.33</v>
      </c>
      <c r="AA336">
        <v>12.7</v>
      </c>
      <c r="AB336">
        <v>12.65</v>
      </c>
      <c r="AC336">
        <v>77.66</v>
      </c>
      <c r="AD336">
        <v>72.180000000000007</v>
      </c>
      <c r="AE336">
        <v>74.459999999999994</v>
      </c>
      <c r="AF336">
        <v>2.34</v>
      </c>
      <c r="AG336">
        <v>4.5199999999999996</v>
      </c>
      <c r="AH336">
        <v>3.07</v>
      </c>
      <c r="AI336">
        <v>71.66</v>
      </c>
      <c r="AJ336">
        <v>76.47</v>
      </c>
      <c r="AK336">
        <v>74.010000000000005</v>
      </c>
      <c r="AL336">
        <v>88.94</v>
      </c>
      <c r="AM336">
        <v>52.75</v>
      </c>
      <c r="AN336">
        <v>70.849999999999994</v>
      </c>
      <c r="AO336">
        <v>105206</v>
      </c>
    </row>
    <row r="337" spans="1:41" x14ac:dyDescent="0.35">
      <c r="A337" t="s">
        <v>337</v>
      </c>
      <c r="B337">
        <v>7.96</v>
      </c>
      <c r="C337">
        <v>7.17</v>
      </c>
      <c r="D337">
        <v>7.62</v>
      </c>
      <c r="E337">
        <v>12.17</v>
      </c>
      <c r="F337">
        <v>12.55</v>
      </c>
      <c r="G337">
        <v>12.24</v>
      </c>
      <c r="H337">
        <v>74.959999999999994</v>
      </c>
      <c r="I337">
        <v>63.48</v>
      </c>
      <c r="J337">
        <v>70.989999999999995</v>
      </c>
      <c r="K337">
        <v>3.77</v>
      </c>
      <c r="L337">
        <v>1.75</v>
      </c>
      <c r="M337">
        <v>2.95</v>
      </c>
      <c r="N337">
        <v>72.86</v>
      </c>
      <c r="O337">
        <v>77.48</v>
      </c>
      <c r="P337">
        <v>74.739999999999995</v>
      </c>
      <c r="Q337">
        <v>89.05</v>
      </c>
      <c r="R337">
        <v>66.12</v>
      </c>
      <c r="S337">
        <v>77.59</v>
      </c>
      <c r="T337">
        <v>307823</v>
      </c>
      <c r="V337" t="str">
        <v>Seruyan</v>
      </c>
      <c r="W337">
        <v>8.4499999999999993</v>
      </c>
      <c r="X337">
        <v>7.76</v>
      </c>
      <c r="Y337">
        <v>8.08</v>
      </c>
      <c r="Z337">
        <v>12.13</v>
      </c>
      <c r="AA337">
        <v>12.43</v>
      </c>
      <c r="AB337">
        <v>12.24</v>
      </c>
      <c r="AC337">
        <v>75.63</v>
      </c>
      <c r="AD337">
        <v>68.040000000000006</v>
      </c>
      <c r="AE337">
        <v>71.239999999999995</v>
      </c>
      <c r="AF337">
        <v>3.46</v>
      </c>
      <c r="AG337">
        <v>3.39</v>
      </c>
      <c r="AH337">
        <v>3.44</v>
      </c>
      <c r="AI337">
        <v>71.39</v>
      </c>
      <c r="AJ337">
        <v>75.900000000000006</v>
      </c>
      <c r="AK337">
        <v>73.59</v>
      </c>
      <c r="AL337">
        <v>87.12</v>
      </c>
      <c r="AM337">
        <v>48.75</v>
      </c>
      <c r="AN337">
        <v>67.94</v>
      </c>
      <c r="AO337">
        <v>177322</v>
      </c>
    </row>
    <row r="338" spans="1:41" x14ac:dyDescent="0.35">
      <c r="A338" t="s">
        <v>338</v>
      </c>
      <c r="B338">
        <v>8.5399999999999991</v>
      </c>
      <c r="C338">
        <v>7.46</v>
      </c>
      <c r="D338">
        <v>7.76</v>
      </c>
      <c r="E338">
        <v>12.55</v>
      </c>
      <c r="F338">
        <v>12.98</v>
      </c>
      <c r="G338">
        <v>12.55</v>
      </c>
      <c r="H338">
        <v>74.17</v>
      </c>
      <c r="I338">
        <v>66.64</v>
      </c>
      <c r="J338">
        <v>69.92</v>
      </c>
      <c r="K338">
        <v>2.69</v>
      </c>
      <c r="L338">
        <v>2.68</v>
      </c>
      <c r="M338">
        <v>2.69</v>
      </c>
      <c r="N338">
        <v>71.91</v>
      </c>
      <c r="O338">
        <v>77.010000000000005</v>
      </c>
      <c r="P338">
        <v>74.400000000000006</v>
      </c>
      <c r="Q338">
        <v>86.21</v>
      </c>
      <c r="R338">
        <v>57.34</v>
      </c>
      <c r="S338">
        <v>71.78</v>
      </c>
      <c r="T338">
        <v>424472</v>
      </c>
      <c r="V338" t="str">
        <v>Katingan</v>
      </c>
      <c r="W338">
        <v>9.0399999999999991</v>
      </c>
      <c r="X338">
        <v>8.9</v>
      </c>
      <c r="Y338">
        <v>8.9600000000000009</v>
      </c>
      <c r="Z338">
        <v>12.8</v>
      </c>
      <c r="AA338">
        <v>13.31</v>
      </c>
      <c r="AB338">
        <v>13.09</v>
      </c>
      <c r="AC338">
        <v>78.540000000000006</v>
      </c>
      <c r="AD338">
        <v>68.83</v>
      </c>
      <c r="AE338">
        <v>74.680000000000007</v>
      </c>
      <c r="AF338">
        <v>4.9400000000000004</v>
      </c>
      <c r="AG338">
        <v>3.91</v>
      </c>
      <c r="AH338">
        <v>4.59</v>
      </c>
      <c r="AI338">
        <v>71.91</v>
      </c>
      <c r="AJ338">
        <v>76.989999999999995</v>
      </c>
      <c r="AK338">
        <v>74.39</v>
      </c>
      <c r="AL338">
        <v>86.93</v>
      </c>
      <c r="AM338">
        <v>47.87</v>
      </c>
      <c r="AN338">
        <v>67.400000000000006</v>
      </c>
      <c r="AO338">
        <v>174341</v>
      </c>
    </row>
    <row r="339" spans="1:41" x14ac:dyDescent="0.35">
      <c r="A339" t="s">
        <v>339</v>
      </c>
      <c r="B339">
        <v>7.74</v>
      </c>
      <c r="C339">
        <v>7.17</v>
      </c>
      <c r="D339">
        <v>7.4</v>
      </c>
      <c r="E339">
        <v>12.89</v>
      </c>
      <c r="F339">
        <v>13.47</v>
      </c>
      <c r="G339">
        <v>13</v>
      </c>
      <c r="H339">
        <v>74.89</v>
      </c>
      <c r="I339">
        <v>67.3</v>
      </c>
      <c r="J339">
        <v>70.59</v>
      </c>
      <c r="K339">
        <v>4.87</v>
      </c>
      <c r="L339">
        <v>4.53</v>
      </c>
      <c r="M339">
        <v>4.74</v>
      </c>
      <c r="N339">
        <v>72.2</v>
      </c>
      <c r="O339">
        <v>77.569999999999993</v>
      </c>
      <c r="P339">
        <v>74.819999999999993</v>
      </c>
      <c r="Q339">
        <v>87.71</v>
      </c>
      <c r="R339">
        <v>54.07</v>
      </c>
      <c r="S339">
        <v>70.89</v>
      </c>
      <c r="T339">
        <v>320630</v>
      </c>
      <c r="V339" t="str">
        <v>Pulang Pisau</v>
      </c>
      <c r="W339">
        <v>8.74</v>
      </c>
      <c r="X339">
        <v>8.2899999999999991</v>
      </c>
      <c r="Y339">
        <v>8.4700000000000006</v>
      </c>
      <c r="Z339">
        <v>12.59</v>
      </c>
      <c r="AA339">
        <v>12.98</v>
      </c>
      <c r="AB339">
        <v>12.61</v>
      </c>
      <c r="AC339">
        <v>76.58</v>
      </c>
      <c r="AD339">
        <v>70.790000000000006</v>
      </c>
      <c r="AE339">
        <v>72.989999999999995</v>
      </c>
      <c r="AF339">
        <v>1.95</v>
      </c>
      <c r="AG339">
        <v>2.69</v>
      </c>
      <c r="AH339">
        <v>2.23</v>
      </c>
      <c r="AI339">
        <v>71.41</v>
      </c>
      <c r="AJ339">
        <v>75.94</v>
      </c>
      <c r="AK339">
        <v>73.62</v>
      </c>
      <c r="AL339">
        <v>88.79</v>
      </c>
      <c r="AM339">
        <v>57.96</v>
      </c>
      <c r="AN339">
        <v>73.38</v>
      </c>
      <c r="AO339">
        <v>140776</v>
      </c>
    </row>
    <row r="340" spans="1:41" x14ac:dyDescent="0.35">
      <c r="A340" t="s">
        <v>340</v>
      </c>
      <c r="B340">
        <v>8.3000000000000007</v>
      </c>
      <c r="C340">
        <v>7.4</v>
      </c>
      <c r="D340">
        <v>7.81</v>
      </c>
      <c r="E340">
        <v>11.89</v>
      </c>
      <c r="F340">
        <v>12.19</v>
      </c>
      <c r="G340">
        <v>12.02</v>
      </c>
      <c r="H340">
        <v>74.91</v>
      </c>
      <c r="I340">
        <v>62.84</v>
      </c>
      <c r="J340">
        <v>70.36</v>
      </c>
      <c r="K340">
        <v>3.72</v>
      </c>
      <c r="L340">
        <v>4.1500000000000004</v>
      </c>
      <c r="M340">
        <v>3.89</v>
      </c>
      <c r="N340">
        <v>71.89</v>
      </c>
      <c r="O340">
        <v>76.95</v>
      </c>
      <c r="P340">
        <v>74.36</v>
      </c>
      <c r="Q340">
        <v>85.57</v>
      </c>
      <c r="R340">
        <v>62.67</v>
      </c>
      <c r="S340">
        <v>74.12</v>
      </c>
      <c r="T340">
        <v>516710</v>
      </c>
      <c r="V340" t="str">
        <v>Gunung Mas</v>
      </c>
      <c r="W340">
        <v>9.4499999999999993</v>
      </c>
      <c r="X340">
        <v>9.4</v>
      </c>
      <c r="Y340">
        <v>9.4</v>
      </c>
      <c r="Z340">
        <v>12</v>
      </c>
      <c r="AA340">
        <v>12.88</v>
      </c>
      <c r="AB340">
        <v>12.19</v>
      </c>
      <c r="AC340">
        <v>77.739999999999995</v>
      </c>
      <c r="AD340">
        <v>72.36</v>
      </c>
      <c r="AE340">
        <v>74.459999999999994</v>
      </c>
      <c r="AF340">
        <v>2.56</v>
      </c>
      <c r="AG340">
        <v>4.95</v>
      </c>
      <c r="AH340">
        <v>3.31</v>
      </c>
      <c r="AI340">
        <v>71.63</v>
      </c>
      <c r="AJ340">
        <v>76.42</v>
      </c>
      <c r="AK340">
        <v>73.97</v>
      </c>
      <c r="AL340">
        <v>87.81</v>
      </c>
      <c r="AM340">
        <v>44.89</v>
      </c>
      <c r="AN340">
        <v>66.349999999999994</v>
      </c>
      <c r="AO340">
        <v>148233</v>
      </c>
    </row>
    <row r="341" spans="1:41" x14ac:dyDescent="0.35">
      <c r="A341" t="s">
        <v>341</v>
      </c>
      <c r="B341">
        <v>8.44</v>
      </c>
      <c r="C341">
        <v>7.66</v>
      </c>
      <c r="D341">
        <v>7.99</v>
      </c>
      <c r="E341">
        <v>12.25</v>
      </c>
      <c r="F341">
        <v>12.01</v>
      </c>
      <c r="G341">
        <v>12.09</v>
      </c>
      <c r="H341">
        <v>75.3</v>
      </c>
      <c r="I341">
        <v>67.790000000000006</v>
      </c>
      <c r="J341">
        <v>71.3</v>
      </c>
      <c r="K341">
        <v>6.55</v>
      </c>
      <c r="L341">
        <v>7.14</v>
      </c>
      <c r="M341">
        <v>6.75</v>
      </c>
      <c r="N341">
        <v>71.61</v>
      </c>
      <c r="O341">
        <v>76.36</v>
      </c>
      <c r="P341">
        <v>73.92</v>
      </c>
      <c r="Q341">
        <v>86.29</v>
      </c>
      <c r="R341">
        <v>47.68</v>
      </c>
      <c r="S341">
        <v>66.989999999999995</v>
      </c>
      <c r="T341">
        <v>607049</v>
      </c>
      <c r="V341" t="str">
        <v>Barito Timur</v>
      </c>
      <c r="W341">
        <v>9.99</v>
      </c>
      <c r="X341">
        <v>9.66</v>
      </c>
      <c r="Y341">
        <v>9.7100000000000009</v>
      </c>
      <c r="Z341">
        <v>13.19</v>
      </c>
      <c r="AA341">
        <v>12.53</v>
      </c>
      <c r="AB341">
        <v>12.89</v>
      </c>
      <c r="AC341">
        <v>80</v>
      </c>
      <c r="AD341">
        <v>72.09</v>
      </c>
      <c r="AE341">
        <v>75.5</v>
      </c>
      <c r="AF341">
        <v>3.98</v>
      </c>
      <c r="AG341">
        <v>2.09</v>
      </c>
      <c r="AH341">
        <v>3.15</v>
      </c>
      <c r="AI341">
        <v>70.52</v>
      </c>
      <c r="AJ341">
        <v>74.540000000000006</v>
      </c>
      <c r="AK341">
        <v>72.48</v>
      </c>
      <c r="AL341">
        <v>84.96</v>
      </c>
      <c r="AM341">
        <v>69.2</v>
      </c>
      <c r="AN341">
        <v>77.08</v>
      </c>
      <c r="AO341">
        <v>120201</v>
      </c>
    </row>
    <row r="342" spans="1:41" x14ac:dyDescent="0.35">
      <c r="A342" t="s">
        <v>342</v>
      </c>
      <c r="B342">
        <v>8.09</v>
      </c>
      <c r="C342">
        <v>7.52</v>
      </c>
      <c r="D342">
        <v>7.86</v>
      </c>
      <c r="E342">
        <v>12.18</v>
      </c>
      <c r="F342">
        <v>12.67</v>
      </c>
      <c r="G342">
        <v>12.33</v>
      </c>
      <c r="H342">
        <v>74.7</v>
      </c>
      <c r="I342">
        <v>66.5</v>
      </c>
      <c r="J342">
        <v>70.92</v>
      </c>
      <c r="K342">
        <v>2.15</v>
      </c>
      <c r="L342">
        <v>3.83</v>
      </c>
      <c r="M342">
        <v>2.78</v>
      </c>
      <c r="N342">
        <v>72.12</v>
      </c>
      <c r="O342">
        <v>77.430000000000007</v>
      </c>
      <c r="P342">
        <v>74.709999999999994</v>
      </c>
      <c r="Q342">
        <v>89.18</v>
      </c>
      <c r="R342">
        <v>57.8</v>
      </c>
      <c r="S342">
        <v>73.489999999999995</v>
      </c>
      <c r="T342">
        <v>449211</v>
      </c>
      <c r="V342" t="str">
        <v>Murung Raya</v>
      </c>
      <c r="W342">
        <v>8.52</v>
      </c>
      <c r="X342">
        <v>8.0299999999999994</v>
      </c>
      <c r="Y342">
        <v>8.1199999999999992</v>
      </c>
      <c r="Z342">
        <v>12.17</v>
      </c>
      <c r="AA342">
        <v>12.21</v>
      </c>
      <c r="AB342">
        <v>12.2</v>
      </c>
      <c r="AC342">
        <v>77.25</v>
      </c>
      <c r="AD342">
        <v>66.069999999999993</v>
      </c>
      <c r="AE342">
        <v>72.34</v>
      </c>
      <c r="AF342">
        <v>1.88</v>
      </c>
      <c r="AG342">
        <v>3.66</v>
      </c>
      <c r="AH342">
        <v>2.52</v>
      </c>
      <c r="AI342">
        <v>71.48</v>
      </c>
      <c r="AJ342">
        <v>76.099999999999994</v>
      </c>
      <c r="AK342">
        <v>73.73</v>
      </c>
      <c r="AL342">
        <v>82.86</v>
      </c>
      <c r="AM342">
        <v>50.14</v>
      </c>
      <c r="AN342">
        <v>66.5</v>
      </c>
      <c r="AO342">
        <v>120222</v>
      </c>
    </row>
    <row r="343" spans="1:41" x14ac:dyDescent="0.35">
      <c r="A343" t="s">
        <v>343</v>
      </c>
      <c r="B343">
        <v>8.43</v>
      </c>
      <c r="C343">
        <v>7.77</v>
      </c>
      <c r="D343">
        <v>8.0399999999999991</v>
      </c>
      <c r="E343">
        <v>12.76</v>
      </c>
      <c r="F343">
        <v>12.24</v>
      </c>
      <c r="G343">
        <v>12.24</v>
      </c>
      <c r="H343">
        <v>74.02</v>
      </c>
      <c r="I343">
        <v>64.569999999999993</v>
      </c>
      <c r="J343">
        <v>69.239999999999995</v>
      </c>
      <c r="K343">
        <v>2</v>
      </c>
      <c r="L343">
        <v>2.2200000000000002</v>
      </c>
      <c r="M343">
        <v>2.09</v>
      </c>
      <c r="N343">
        <v>71.45</v>
      </c>
      <c r="O343">
        <v>76.040000000000006</v>
      </c>
      <c r="P343">
        <v>73.69</v>
      </c>
      <c r="Q343">
        <v>87.32</v>
      </c>
      <c r="R343">
        <v>60.38</v>
      </c>
      <c r="S343">
        <v>73.849999999999994</v>
      </c>
      <c r="T343">
        <v>269049</v>
      </c>
      <c r="V343" t="str">
        <v>Kota Palangka Raya</v>
      </c>
      <c r="W343">
        <v>11.86</v>
      </c>
      <c r="X343">
        <v>11.65</v>
      </c>
      <c r="Y343">
        <v>11.69</v>
      </c>
      <c r="Z343">
        <v>15.14</v>
      </c>
      <c r="AA343">
        <v>15.12</v>
      </c>
      <c r="AB343">
        <v>15.14</v>
      </c>
      <c r="AC343">
        <v>85.97</v>
      </c>
      <c r="AD343">
        <v>82.8</v>
      </c>
      <c r="AE343">
        <v>82.98</v>
      </c>
      <c r="AF343">
        <v>5.32</v>
      </c>
      <c r="AG343">
        <v>5.09</v>
      </c>
      <c r="AH343">
        <v>5.23</v>
      </c>
      <c r="AI343">
        <v>72.28</v>
      </c>
      <c r="AJ343">
        <v>77.69</v>
      </c>
      <c r="AK343">
        <v>74.92</v>
      </c>
      <c r="AL343">
        <v>80.56</v>
      </c>
      <c r="AM343">
        <v>51.11</v>
      </c>
      <c r="AN343">
        <v>65.84</v>
      </c>
      <c r="AO343">
        <v>314367</v>
      </c>
    </row>
    <row r="344" spans="1:41" x14ac:dyDescent="0.35">
      <c r="A344" t="s">
        <v>344</v>
      </c>
      <c r="B344">
        <v>8.11</v>
      </c>
      <c r="C344">
        <v>6.91</v>
      </c>
      <c r="D344">
        <v>7.53</v>
      </c>
      <c r="E344">
        <v>11.92</v>
      </c>
      <c r="F344">
        <v>12.47</v>
      </c>
      <c r="G344">
        <v>12.02</v>
      </c>
      <c r="H344">
        <v>73.540000000000006</v>
      </c>
      <c r="I344">
        <v>62.36</v>
      </c>
      <c r="J344">
        <v>68.73</v>
      </c>
      <c r="K344">
        <v>2.2799999999999998</v>
      </c>
      <c r="L344">
        <v>2.94</v>
      </c>
      <c r="M344">
        <v>2.54</v>
      </c>
      <c r="N344">
        <v>71.849999999999994</v>
      </c>
      <c r="O344">
        <v>76.87</v>
      </c>
      <c r="P344">
        <v>74.3</v>
      </c>
      <c r="Q344">
        <v>90.9</v>
      </c>
      <c r="R344">
        <v>63.76</v>
      </c>
      <c r="S344">
        <v>77.33</v>
      </c>
      <c r="T344">
        <v>225219</v>
      </c>
      <c r="V344" t="str">
        <v>Tanah Laut</v>
      </c>
      <c r="W344">
        <v>8.39</v>
      </c>
      <c r="X344">
        <v>7.62</v>
      </c>
      <c r="Y344">
        <v>8.09</v>
      </c>
      <c r="Z344">
        <v>12.81</v>
      </c>
      <c r="AA344">
        <v>12.69</v>
      </c>
      <c r="AB344">
        <v>12.7</v>
      </c>
      <c r="AC344">
        <v>78.459999999999994</v>
      </c>
      <c r="AD344">
        <v>70.03</v>
      </c>
      <c r="AE344">
        <v>74.319999999999993</v>
      </c>
      <c r="AF344">
        <v>3.35</v>
      </c>
      <c r="AG344">
        <v>3.23</v>
      </c>
      <c r="AH344">
        <v>3.3</v>
      </c>
      <c r="AI344">
        <v>72.25</v>
      </c>
      <c r="AJ344">
        <v>77.64</v>
      </c>
      <c r="AK344">
        <v>74.88</v>
      </c>
      <c r="AL344">
        <v>88.59</v>
      </c>
      <c r="AM344">
        <v>54.61</v>
      </c>
      <c r="AN344">
        <v>71.599999999999994</v>
      </c>
      <c r="AO344">
        <v>368914</v>
      </c>
    </row>
    <row r="345" spans="1:41" x14ac:dyDescent="0.35">
      <c r="A345" t="s">
        <v>345</v>
      </c>
      <c r="B345">
        <v>8.49</v>
      </c>
      <c r="C345">
        <v>7.51</v>
      </c>
      <c r="D345">
        <v>8.0500000000000007</v>
      </c>
      <c r="E345">
        <v>11.28</v>
      </c>
      <c r="F345">
        <v>11.73</v>
      </c>
      <c r="G345">
        <v>11.55</v>
      </c>
      <c r="H345">
        <v>74.84</v>
      </c>
      <c r="I345">
        <v>61.69</v>
      </c>
      <c r="J345">
        <v>69.8</v>
      </c>
      <c r="K345">
        <v>2.41</v>
      </c>
      <c r="L345">
        <v>3.74</v>
      </c>
      <c r="M345">
        <v>2.94</v>
      </c>
      <c r="N345">
        <v>71.63</v>
      </c>
      <c r="O345">
        <v>76.41</v>
      </c>
      <c r="P345">
        <v>73.959999999999994</v>
      </c>
      <c r="Q345">
        <v>87.52</v>
      </c>
      <c r="R345">
        <v>60.81</v>
      </c>
      <c r="S345">
        <v>74.17</v>
      </c>
      <c r="T345">
        <v>246920</v>
      </c>
      <c r="V345" t="str">
        <v>Kotabaru</v>
      </c>
      <c r="W345">
        <v>8.24</v>
      </c>
      <c r="X345">
        <v>7.51</v>
      </c>
      <c r="Y345">
        <v>7.71</v>
      </c>
      <c r="Z345">
        <v>12.23</v>
      </c>
      <c r="AA345">
        <v>12.28</v>
      </c>
      <c r="AB345">
        <v>12.23</v>
      </c>
      <c r="AC345">
        <v>77.58</v>
      </c>
      <c r="AD345">
        <v>66.77</v>
      </c>
      <c r="AE345">
        <v>73.03</v>
      </c>
      <c r="AF345">
        <v>5.87</v>
      </c>
      <c r="AG345">
        <v>6.05</v>
      </c>
      <c r="AH345">
        <v>5.93</v>
      </c>
      <c r="AI345">
        <v>71.680000000000007</v>
      </c>
      <c r="AJ345">
        <v>76.5</v>
      </c>
      <c r="AK345">
        <v>74.03</v>
      </c>
      <c r="AL345">
        <v>85.17</v>
      </c>
      <c r="AM345">
        <v>44.26</v>
      </c>
      <c r="AN345">
        <v>64.72</v>
      </c>
      <c r="AO345">
        <v>348250</v>
      </c>
    </row>
    <row r="346" spans="1:41" x14ac:dyDescent="0.35">
      <c r="A346" t="s">
        <v>346</v>
      </c>
      <c r="B346">
        <v>7.06</v>
      </c>
      <c r="C346">
        <v>6.02</v>
      </c>
      <c r="D346">
        <v>6.55</v>
      </c>
      <c r="E346">
        <v>12.35</v>
      </c>
      <c r="F346">
        <v>12.2</v>
      </c>
      <c r="G346">
        <v>12.21</v>
      </c>
      <c r="H346">
        <v>72.05</v>
      </c>
      <c r="I346">
        <v>62.78</v>
      </c>
      <c r="J346">
        <v>67.599999999999994</v>
      </c>
      <c r="K346">
        <v>4.0999999999999996</v>
      </c>
      <c r="L346">
        <v>3.15</v>
      </c>
      <c r="M346">
        <v>3.77</v>
      </c>
      <c r="N346">
        <v>71.02</v>
      </c>
      <c r="O346">
        <v>75.12</v>
      </c>
      <c r="P346">
        <v>73.02</v>
      </c>
      <c r="Q346">
        <v>86.23</v>
      </c>
      <c r="R346">
        <v>48.28</v>
      </c>
      <c r="S346">
        <v>67.260000000000005</v>
      </c>
      <c r="T346">
        <v>137290</v>
      </c>
      <c r="V346" t="str">
        <v>Banjar</v>
      </c>
      <c r="W346">
        <v>8.57</v>
      </c>
      <c r="X346">
        <v>7.74</v>
      </c>
      <c r="Y346">
        <v>8.15</v>
      </c>
      <c r="Z346">
        <v>13.03</v>
      </c>
      <c r="AA346">
        <v>13.29</v>
      </c>
      <c r="AB346">
        <v>13.05</v>
      </c>
      <c r="AC346">
        <v>79.209999999999994</v>
      </c>
      <c r="AD346">
        <v>73.599999999999994</v>
      </c>
      <c r="AE346">
        <v>75.11</v>
      </c>
      <c r="AF346">
        <v>2.83</v>
      </c>
      <c r="AG346">
        <v>2.65</v>
      </c>
      <c r="AH346">
        <v>2.76</v>
      </c>
      <c r="AI346">
        <v>71.569999999999993</v>
      </c>
      <c r="AJ346">
        <v>76.28</v>
      </c>
      <c r="AK346">
        <v>73.87</v>
      </c>
      <c r="AL346">
        <v>83.7</v>
      </c>
      <c r="AM346">
        <v>55.62</v>
      </c>
      <c r="AN346">
        <v>69.66</v>
      </c>
      <c r="AO346">
        <v>609637</v>
      </c>
    </row>
    <row r="347" spans="1:41" x14ac:dyDescent="0.35">
      <c r="A347" t="s">
        <v>347</v>
      </c>
      <c r="B347">
        <v>7.8</v>
      </c>
      <c r="C347">
        <v>7.18</v>
      </c>
      <c r="D347">
        <v>7.35</v>
      </c>
      <c r="E347">
        <v>13.88</v>
      </c>
      <c r="F347">
        <v>14.33</v>
      </c>
      <c r="G347">
        <v>13.91</v>
      </c>
      <c r="H347">
        <v>76.81</v>
      </c>
      <c r="I347">
        <v>66.709999999999994</v>
      </c>
      <c r="J347">
        <v>72.010000000000005</v>
      </c>
      <c r="K347">
        <v>6.99</v>
      </c>
      <c r="L347">
        <v>6.64</v>
      </c>
      <c r="M347">
        <v>6.86</v>
      </c>
      <c r="N347">
        <v>71.430000000000007</v>
      </c>
      <c r="O347">
        <v>76</v>
      </c>
      <c r="P347">
        <v>73.66</v>
      </c>
      <c r="Q347">
        <v>86.02</v>
      </c>
      <c r="R347">
        <v>51.51</v>
      </c>
      <c r="S347">
        <v>68.77</v>
      </c>
      <c r="T347">
        <v>660374</v>
      </c>
      <c r="V347" t="str">
        <v>Barito Kuala</v>
      </c>
      <c r="W347">
        <v>8.36</v>
      </c>
      <c r="X347">
        <v>7.62</v>
      </c>
      <c r="Y347">
        <v>7.99</v>
      </c>
      <c r="Z347">
        <v>12.68</v>
      </c>
      <c r="AA347">
        <v>12.84</v>
      </c>
      <c r="AB347">
        <v>12.69</v>
      </c>
      <c r="AC347">
        <v>76.25</v>
      </c>
      <c r="AD347">
        <v>69.05</v>
      </c>
      <c r="AE347">
        <v>72.05</v>
      </c>
      <c r="AF347">
        <v>3.32</v>
      </c>
      <c r="AG347">
        <v>3.07</v>
      </c>
      <c r="AH347">
        <v>3.23</v>
      </c>
      <c r="AI347">
        <v>70.88</v>
      </c>
      <c r="AJ347">
        <v>74.92</v>
      </c>
      <c r="AK347">
        <v>72.849999999999994</v>
      </c>
      <c r="AL347">
        <v>86.49</v>
      </c>
      <c r="AM347">
        <v>57.18</v>
      </c>
      <c r="AN347">
        <v>71.84</v>
      </c>
      <c r="AO347">
        <v>335649</v>
      </c>
    </row>
    <row r="348" spans="1:41" x14ac:dyDescent="0.35">
      <c r="A348" t="s">
        <v>348</v>
      </c>
      <c r="B348">
        <v>10.74</v>
      </c>
      <c r="C348">
        <v>10.18</v>
      </c>
      <c r="D348">
        <v>10.48</v>
      </c>
      <c r="E348">
        <v>15.33</v>
      </c>
      <c r="F348">
        <v>15.06</v>
      </c>
      <c r="G348">
        <v>15.07</v>
      </c>
      <c r="H348">
        <v>86.08</v>
      </c>
      <c r="I348">
        <v>82.17</v>
      </c>
      <c r="J348">
        <v>82.8</v>
      </c>
      <c r="K348">
        <v>7.93</v>
      </c>
      <c r="L348">
        <v>7.89</v>
      </c>
      <c r="M348">
        <v>7.91</v>
      </c>
      <c r="N348">
        <v>73.13</v>
      </c>
      <c r="O348">
        <v>78.92</v>
      </c>
      <c r="P348">
        <v>75.959999999999994</v>
      </c>
      <c r="Q348">
        <v>76.25</v>
      </c>
      <c r="R348">
        <v>47.5</v>
      </c>
      <c r="S348">
        <v>61.88</v>
      </c>
      <c r="T348">
        <v>686019</v>
      </c>
      <c r="V348" t="str">
        <v>Tapin</v>
      </c>
      <c r="W348">
        <v>8.8699999999999992</v>
      </c>
      <c r="X348">
        <v>8</v>
      </c>
      <c r="Y348">
        <v>8.3800000000000008</v>
      </c>
      <c r="Z348">
        <v>12.46</v>
      </c>
      <c r="AA348">
        <v>12.6</v>
      </c>
      <c r="AB348">
        <v>12.6</v>
      </c>
      <c r="AC348">
        <v>79.17</v>
      </c>
      <c r="AD348">
        <v>68.430000000000007</v>
      </c>
      <c r="AE348">
        <v>74.98</v>
      </c>
      <c r="AF348">
        <v>4.1100000000000003</v>
      </c>
      <c r="AG348">
        <v>3.06</v>
      </c>
      <c r="AH348">
        <v>3.69</v>
      </c>
      <c r="AI348">
        <v>72.42</v>
      </c>
      <c r="AJ348">
        <v>77.89</v>
      </c>
      <c r="AK348">
        <v>75.09</v>
      </c>
      <c r="AL348">
        <v>84.59</v>
      </c>
      <c r="AM348">
        <v>56.47</v>
      </c>
      <c r="AN348">
        <v>70.53</v>
      </c>
      <c r="AO348">
        <v>201201</v>
      </c>
    </row>
    <row r="349" spans="1:41" x14ac:dyDescent="0.35">
      <c r="A349" t="s">
        <v>349</v>
      </c>
      <c r="B349">
        <v>8.68</v>
      </c>
      <c r="C349">
        <v>8.43</v>
      </c>
      <c r="D349">
        <v>8.58</v>
      </c>
      <c r="E349">
        <v>12.92</v>
      </c>
      <c r="F349">
        <v>13.35</v>
      </c>
      <c r="G349">
        <v>12.96</v>
      </c>
      <c r="H349">
        <v>78.88</v>
      </c>
      <c r="I349">
        <v>74.2</v>
      </c>
      <c r="J349">
        <v>75.67</v>
      </c>
      <c r="K349">
        <v>8.18</v>
      </c>
      <c r="L349">
        <v>6.13</v>
      </c>
      <c r="M349">
        <v>7.42</v>
      </c>
      <c r="N349">
        <v>72.53</v>
      </c>
      <c r="O349">
        <v>78.06</v>
      </c>
      <c r="P349">
        <v>75.23</v>
      </c>
      <c r="Q349">
        <v>81.17</v>
      </c>
      <c r="R349">
        <v>49.96</v>
      </c>
      <c r="S349">
        <v>65.569999999999993</v>
      </c>
      <c r="T349">
        <v>253812</v>
      </c>
      <c r="V349" t="str">
        <v>Hulu Sungai Selatan</v>
      </c>
      <c r="W349">
        <v>8.4499999999999993</v>
      </c>
      <c r="X349">
        <v>8.1199999999999992</v>
      </c>
      <c r="Y349">
        <v>8.18</v>
      </c>
      <c r="Z349">
        <v>12.75</v>
      </c>
      <c r="AA349">
        <v>13.2</v>
      </c>
      <c r="AB349">
        <v>12.78</v>
      </c>
      <c r="AC349">
        <v>78.67</v>
      </c>
      <c r="AD349">
        <v>71.23</v>
      </c>
      <c r="AE349">
        <v>74.81</v>
      </c>
      <c r="AF349">
        <v>2.33</v>
      </c>
      <c r="AG349">
        <v>2.0099999999999998</v>
      </c>
      <c r="AH349">
        <v>2.2000000000000002</v>
      </c>
      <c r="AI349">
        <v>71.180000000000007</v>
      </c>
      <c r="AJ349">
        <v>75.459999999999994</v>
      </c>
      <c r="AK349">
        <v>73.27</v>
      </c>
      <c r="AL349">
        <v>82.3</v>
      </c>
      <c r="AM349">
        <v>59.65</v>
      </c>
      <c r="AN349">
        <v>70.98</v>
      </c>
      <c r="AO349">
        <v>241528</v>
      </c>
    </row>
    <row r="350" spans="1:41" x14ac:dyDescent="0.35">
      <c r="A350" t="s">
        <v>350</v>
      </c>
      <c r="B350">
        <v>9.1300000000000008</v>
      </c>
      <c r="C350">
        <v>8.77</v>
      </c>
      <c r="D350">
        <v>8.9600000000000009</v>
      </c>
      <c r="E350">
        <v>12.89</v>
      </c>
      <c r="F350">
        <v>12.78</v>
      </c>
      <c r="G350">
        <v>12.78</v>
      </c>
      <c r="H350">
        <v>78.7</v>
      </c>
      <c r="I350">
        <v>71.180000000000007</v>
      </c>
      <c r="J350">
        <v>74.86</v>
      </c>
      <c r="K350">
        <v>3.71</v>
      </c>
      <c r="L350">
        <v>4.43</v>
      </c>
      <c r="M350">
        <v>3.97</v>
      </c>
      <c r="N350">
        <v>71.67</v>
      </c>
      <c r="O350">
        <v>76.48</v>
      </c>
      <c r="P350">
        <v>74.010000000000005</v>
      </c>
      <c r="Q350">
        <v>85.26</v>
      </c>
      <c r="R350">
        <v>50.34</v>
      </c>
      <c r="S350">
        <v>67.8</v>
      </c>
      <c r="T350">
        <v>2844992</v>
      </c>
      <c r="V350" t="str">
        <v>Hulu Sungai Tengah</v>
      </c>
      <c r="W350">
        <v>8.75</v>
      </c>
      <c r="X350">
        <v>8.2100000000000009</v>
      </c>
      <c r="Y350">
        <v>8.4499999999999993</v>
      </c>
      <c r="Z350">
        <v>12.62</v>
      </c>
      <c r="AA350">
        <v>12.55</v>
      </c>
      <c r="AB350">
        <v>12.58</v>
      </c>
      <c r="AC350">
        <v>75.89</v>
      </c>
      <c r="AD350">
        <v>73.44</v>
      </c>
      <c r="AE350">
        <v>74.260000000000005</v>
      </c>
      <c r="AF350">
        <v>3.59</v>
      </c>
      <c r="AG350">
        <v>2.4900000000000002</v>
      </c>
      <c r="AH350">
        <v>3.12</v>
      </c>
      <c r="AI350">
        <v>71.02</v>
      </c>
      <c r="AJ350">
        <v>75.12</v>
      </c>
      <c r="AK350">
        <v>73.02</v>
      </c>
      <c r="AL350">
        <v>84.05</v>
      </c>
      <c r="AM350">
        <v>62.56</v>
      </c>
      <c r="AN350">
        <v>73.31</v>
      </c>
      <c r="AO350">
        <v>271232</v>
      </c>
    </row>
    <row r="351" spans="1:41" x14ac:dyDescent="0.35">
      <c r="A351" t="s">
        <v>351</v>
      </c>
      <c r="B351">
        <v>9</v>
      </c>
      <c r="C351">
        <v>8.7200000000000006</v>
      </c>
      <c r="D351">
        <v>8.8699999999999992</v>
      </c>
      <c r="E351">
        <v>12.91</v>
      </c>
      <c r="F351">
        <v>12.95</v>
      </c>
      <c r="G351">
        <v>12.92</v>
      </c>
      <c r="H351">
        <v>79.790000000000006</v>
      </c>
      <c r="I351">
        <v>74.38</v>
      </c>
      <c r="J351">
        <v>76.02</v>
      </c>
      <c r="K351">
        <v>3.58</v>
      </c>
      <c r="L351">
        <v>5.84</v>
      </c>
      <c r="M351">
        <v>4.3899999999999997</v>
      </c>
      <c r="N351">
        <v>71.349999999999994</v>
      </c>
      <c r="O351">
        <v>75.819999999999993</v>
      </c>
      <c r="P351">
        <v>73.53</v>
      </c>
      <c r="Q351">
        <v>86.56</v>
      </c>
      <c r="R351">
        <v>51.44</v>
      </c>
      <c r="S351">
        <v>69</v>
      </c>
      <c r="T351">
        <v>285737</v>
      </c>
      <c r="V351" t="str">
        <v>Hulu Sungai Utara</v>
      </c>
      <c r="W351">
        <v>8.42</v>
      </c>
      <c r="X351">
        <v>7.74</v>
      </c>
      <c r="Y351">
        <v>8</v>
      </c>
      <c r="Z351">
        <v>13.22</v>
      </c>
      <c r="AA351">
        <v>13.88</v>
      </c>
      <c r="AB351">
        <v>13.47</v>
      </c>
      <c r="AC351">
        <v>76.66</v>
      </c>
      <c r="AD351">
        <v>71.19</v>
      </c>
      <c r="AE351">
        <v>72.67</v>
      </c>
      <c r="AF351">
        <v>4.4400000000000004</v>
      </c>
      <c r="AG351">
        <v>2.88</v>
      </c>
      <c r="AH351">
        <v>3.79</v>
      </c>
      <c r="AI351">
        <v>70.98</v>
      </c>
      <c r="AJ351">
        <v>75.03</v>
      </c>
      <c r="AK351">
        <v>72.95</v>
      </c>
      <c r="AL351">
        <v>83.22</v>
      </c>
      <c r="AM351">
        <v>58.68</v>
      </c>
      <c r="AN351">
        <v>70.95</v>
      </c>
      <c r="AO351">
        <v>239636</v>
      </c>
    </row>
    <row r="352" spans="1:41" x14ac:dyDescent="0.35">
      <c r="A352" t="s">
        <v>352</v>
      </c>
      <c r="B352">
        <v>8.6</v>
      </c>
      <c r="C352">
        <v>7.84</v>
      </c>
      <c r="D352">
        <v>8.25</v>
      </c>
      <c r="E352">
        <v>12.95</v>
      </c>
      <c r="F352">
        <v>12.9</v>
      </c>
      <c r="G352">
        <v>12.9</v>
      </c>
      <c r="H352">
        <v>79.42</v>
      </c>
      <c r="I352">
        <v>71.11</v>
      </c>
      <c r="J352">
        <v>74.959999999999994</v>
      </c>
      <c r="K352">
        <v>4.2300000000000004</v>
      </c>
      <c r="L352">
        <v>5.33</v>
      </c>
      <c r="M352">
        <v>4.5599999999999996</v>
      </c>
      <c r="N352">
        <v>72.05</v>
      </c>
      <c r="O352">
        <v>77.290000000000006</v>
      </c>
      <c r="P352">
        <v>74.61</v>
      </c>
      <c r="Q352">
        <v>86.65</v>
      </c>
      <c r="R352">
        <v>39.840000000000003</v>
      </c>
      <c r="S352">
        <v>63.25</v>
      </c>
      <c r="T352">
        <v>452867</v>
      </c>
      <c r="V352" t="str">
        <v>Tabalong</v>
      </c>
      <c r="W352">
        <v>9.82</v>
      </c>
      <c r="X352">
        <v>9.0399999999999991</v>
      </c>
      <c r="Y352">
        <v>9.3699999999999992</v>
      </c>
      <c r="Z352">
        <v>13.15</v>
      </c>
      <c r="AA352">
        <v>13.48</v>
      </c>
      <c r="AB352">
        <v>13.18</v>
      </c>
      <c r="AC352">
        <v>81.53</v>
      </c>
      <c r="AD352">
        <v>71.67</v>
      </c>
      <c r="AE352">
        <v>76.94</v>
      </c>
      <c r="AF352">
        <v>4.25</v>
      </c>
      <c r="AG352">
        <v>2.2999999999999998</v>
      </c>
      <c r="AH352">
        <v>3.48</v>
      </c>
      <c r="AI352">
        <v>72.31</v>
      </c>
      <c r="AJ352">
        <v>77.73</v>
      </c>
      <c r="AK352">
        <v>74.95</v>
      </c>
      <c r="AL352">
        <v>85.16</v>
      </c>
      <c r="AM352">
        <v>56.63</v>
      </c>
      <c r="AN352">
        <v>70.900000000000006</v>
      </c>
      <c r="AO352">
        <v>270295</v>
      </c>
    </row>
    <row r="353" spans="1:41" x14ac:dyDescent="0.35">
      <c r="A353" t="s">
        <v>353</v>
      </c>
      <c r="B353">
        <v>8.36</v>
      </c>
      <c r="C353">
        <v>7.89</v>
      </c>
      <c r="D353">
        <v>8.0399999999999991</v>
      </c>
      <c r="E353">
        <v>12.96</v>
      </c>
      <c r="F353">
        <v>13.29</v>
      </c>
      <c r="G353">
        <v>13.02</v>
      </c>
      <c r="H353">
        <v>75.84</v>
      </c>
      <c r="I353">
        <v>72.680000000000007</v>
      </c>
      <c r="J353">
        <v>73.47</v>
      </c>
      <c r="K353">
        <v>3.9</v>
      </c>
      <c r="L353">
        <v>2.84</v>
      </c>
      <c r="M353">
        <v>3.51</v>
      </c>
      <c r="N353">
        <v>71.02</v>
      </c>
      <c r="O353">
        <v>75.12</v>
      </c>
      <c r="P353">
        <v>73.02</v>
      </c>
      <c r="Q353">
        <v>83.09</v>
      </c>
      <c r="R353">
        <v>51.82</v>
      </c>
      <c r="S353">
        <v>67.459999999999994</v>
      </c>
      <c r="T353">
        <v>435066</v>
      </c>
      <c r="V353" t="str">
        <v>Tanah Bumbu</v>
      </c>
      <c r="W353">
        <v>8.91</v>
      </c>
      <c r="X353">
        <v>8.0299999999999994</v>
      </c>
      <c r="Y353">
        <v>8.44</v>
      </c>
      <c r="Z353">
        <v>12.75</v>
      </c>
      <c r="AA353">
        <v>12.9</v>
      </c>
      <c r="AB353">
        <v>12.8</v>
      </c>
      <c r="AC353">
        <v>79.92</v>
      </c>
      <c r="AD353">
        <v>69.569999999999993</v>
      </c>
      <c r="AE353">
        <v>75.09</v>
      </c>
      <c r="AF353">
        <v>5.55</v>
      </c>
      <c r="AG353">
        <v>6.93</v>
      </c>
      <c r="AH353">
        <v>6.05</v>
      </c>
      <c r="AI353">
        <v>72.099999999999994</v>
      </c>
      <c r="AJ353">
        <v>77.400000000000006</v>
      </c>
      <c r="AK353">
        <v>74.680000000000007</v>
      </c>
      <c r="AL353">
        <v>86.96</v>
      </c>
      <c r="AM353">
        <v>51.96</v>
      </c>
      <c r="AN353">
        <v>69.459999999999994</v>
      </c>
      <c r="AO353">
        <v>347264</v>
      </c>
    </row>
    <row r="354" spans="1:41" x14ac:dyDescent="0.35">
      <c r="A354" t="s">
        <v>354</v>
      </c>
      <c r="B354">
        <v>9.7799999999999994</v>
      </c>
      <c r="C354">
        <v>9.1</v>
      </c>
      <c r="D354">
        <v>9.35</v>
      </c>
      <c r="E354">
        <v>13</v>
      </c>
      <c r="F354">
        <v>13.15</v>
      </c>
      <c r="G354">
        <v>13.01</v>
      </c>
      <c r="H354">
        <v>79.12</v>
      </c>
      <c r="I354">
        <v>73.41</v>
      </c>
      <c r="J354">
        <v>75.209999999999994</v>
      </c>
      <c r="K354">
        <v>4.3499999999999996</v>
      </c>
      <c r="L354">
        <v>4.22</v>
      </c>
      <c r="M354">
        <v>4.3</v>
      </c>
      <c r="N354">
        <v>71.010000000000005</v>
      </c>
      <c r="O354">
        <v>75.099999999999994</v>
      </c>
      <c r="P354">
        <v>73</v>
      </c>
      <c r="Q354">
        <v>82.03</v>
      </c>
      <c r="R354">
        <v>48.32</v>
      </c>
      <c r="S354">
        <v>65.180000000000007</v>
      </c>
      <c r="T354">
        <v>137055</v>
      </c>
      <c r="V354" t="str">
        <v>Balangan</v>
      </c>
      <c r="W354">
        <v>9.01</v>
      </c>
      <c r="X354">
        <v>7.85</v>
      </c>
      <c r="Y354">
        <v>8.34</v>
      </c>
      <c r="Z354">
        <v>13.35</v>
      </c>
      <c r="AA354">
        <v>13.55</v>
      </c>
      <c r="AB354">
        <v>13.35</v>
      </c>
      <c r="AC354">
        <v>78.88</v>
      </c>
      <c r="AD354">
        <v>74.06</v>
      </c>
      <c r="AE354">
        <v>74.78</v>
      </c>
      <c r="AF354">
        <v>3.34</v>
      </c>
      <c r="AG354">
        <v>1.98</v>
      </c>
      <c r="AH354">
        <v>2.74</v>
      </c>
      <c r="AI354">
        <v>71.75</v>
      </c>
      <c r="AJ354">
        <v>76.66</v>
      </c>
      <c r="AK354">
        <v>74.14</v>
      </c>
      <c r="AL354">
        <v>83.98</v>
      </c>
      <c r="AM354">
        <v>66.099999999999994</v>
      </c>
      <c r="AN354">
        <v>75.040000000000006</v>
      </c>
      <c r="AO354">
        <v>140093</v>
      </c>
    </row>
    <row r="355" spans="1:41" x14ac:dyDescent="0.35">
      <c r="A355" t="s">
        <v>355</v>
      </c>
      <c r="B355">
        <v>9.15</v>
      </c>
      <c r="C355">
        <v>8.6300000000000008</v>
      </c>
      <c r="D355">
        <v>8.93</v>
      </c>
      <c r="E355">
        <v>13.21</v>
      </c>
      <c r="F355">
        <v>12.46</v>
      </c>
      <c r="G355">
        <v>12.56</v>
      </c>
      <c r="H355">
        <v>78.209999999999994</v>
      </c>
      <c r="I355">
        <v>69.25</v>
      </c>
      <c r="J355">
        <v>73.58</v>
      </c>
      <c r="K355">
        <v>3.06</v>
      </c>
      <c r="L355">
        <v>6.87</v>
      </c>
      <c r="M355">
        <v>4.54</v>
      </c>
      <c r="N355">
        <v>71.489999999999995</v>
      </c>
      <c r="O355">
        <v>76.12</v>
      </c>
      <c r="P355">
        <v>73.75</v>
      </c>
      <c r="Q355">
        <v>86.41</v>
      </c>
      <c r="R355">
        <v>59.61</v>
      </c>
      <c r="S355">
        <v>73.010000000000005</v>
      </c>
      <c r="T355">
        <v>164621</v>
      </c>
      <c r="V355" t="str">
        <v>Kota Banjarmasin</v>
      </c>
      <c r="W355">
        <v>11.15</v>
      </c>
      <c r="X355">
        <v>10.08</v>
      </c>
      <c r="Y355">
        <v>10.36</v>
      </c>
      <c r="Z355">
        <v>13.98</v>
      </c>
      <c r="AA355">
        <v>14.27</v>
      </c>
      <c r="AB355">
        <v>14.02</v>
      </c>
      <c r="AC355">
        <v>83.97</v>
      </c>
      <c r="AD355">
        <v>80.180000000000007</v>
      </c>
      <c r="AE355">
        <v>80.88</v>
      </c>
      <c r="AF355">
        <v>6.92</v>
      </c>
      <c r="AG355">
        <v>5.81</v>
      </c>
      <c r="AH355">
        <v>6.49</v>
      </c>
      <c r="AI355">
        <v>72.66</v>
      </c>
      <c r="AJ355">
        <v>78.239999999999995</v>
      </c>
      <c r="AK355">
        <v>75.38</v>
      </c>
      <c r="AL355">
        <v>81.709999999999994</v>
      </c>
      <c r="AM355">
        <v>51.64</v>
      </c>
      <c r="AN355">
        <v>66.680000000000007</v>
      </c>
      <c r="AO355">
        <v>670836</v>
      </c>
    </row>
    <row r="356" spans="1:41" x14ac:dyDescent="0.35">
      <c r="A356" t="s">
        <v>356</v>
      </c>
      <c r="B356">
        <v>8.6199999999999992</v>
      </c>
      <c r="C356">
        <v>7.97</v>
      </c>
      <c r="D356">
        <v>8.23</v>
      </c>
      <c r="E356">
        <v>12.47</v>
      </c>
      <c r="F356">
        <v>12.18</v>
      </c>
      <c r="G356">
        <v>12.18</v>
      </c>
      <c r="H356">
        <v>75.16</v>
      </c>
      <c r="I356">
        <v>69.86</v>
      </c>
      <c r="J356">
        <v>71.45</v>
      </c>
      <c r="K356">
        <v>2.2400000000000002</v>
      </c>
      <c r="L356">
        <v>8.48</v>
      </c>
      <c r="M356">
        <v>4.47</v>
      </c>
      <c r="N356">
        <v>72.14</v>
      </c>
      <c r="O356">
        <v>77.48</v>
      </c>
      <c r="P356">
        <v>74.75</v>
      </c>
      <c r="Q356">
        <v>85.85</v>
      </c>
      <c r="R356">
        <v>52.84</v>
      </c>
      <c r="S356">
        <v>69.349999999999994</v>
      </c>
      <c r="T356">
        <v>68978</v>
      </c>
      <c r="V356" t="str">
        <v>Kota Banjar Baru</v>
      </c>
      <c r="W356">
        <v>11.45</v>
      </c>
      <c r="X356">
        <v>10.87</v>
      </c>
      <c r="Y356">
        <v>11.07</v>
      </c>
      <c r="Z356">
        <v>15.75</v>
      </c>
      <c r="AA356">
        <v>14.87</v>
      </c>
      <c r="AB356">
        <v>14.87</v>
      </c>
      <c r="AC356">
        <v>86.82</v>
      </c>
      <c r="AD356">
        <v>81.64</v>
      </c>
      <c r="AE356">
        <v>82.2</v>
      </c>
      <c r="AF356">
        <v>5.58</v>
      </c>
      <c r="AG356">
        <v>3.52</v>
      </c>
      <c r="AH356">
        <v>4.75</v>
      </c>
      <c r="AI356">
        <v>72.709999999999994</v>
      </c>
      <c r="AJ356">
        <v>78.31</v>
      </c>
      <c r="AK356">
        <v>75.44</v>
      </c>
      <c r="AL356">
        <v>83.92</v>
      </c>
      <c r="AM356">
        <v>56.17</v>
      </c>
      <c r="AN356">
        <v>70.05</v>
      </c>
      <c r="AO356">
        <v>278795</v>
      </c>
    </row>
    <row r="357" spans="1:41" x14ac:dyDescent="0.35">
      <c r="A357" t="s">
        <v>357</v>
      </c>
      <c r="B357">
        <v>9.0399999999999991</v>
      </c>
      <c r="C357">
        <v>8.5399999999999991</v>
      </c>
      <c r="D357">
        <v>8.83</v>
      </c>
      <c r="E357">
        <v>12.33</v>
      </c>
      <c r="F357">
        <v>12.7</v>
      </c>
      <c r="G357">
        <v>12.65</v>
      </c>
      <c r="H357">
        <v>77.66</v>
      </c>
      <c r="I357">
        <v>72.180000000000007</v>
      </c>
      <c r="J357">
        <v>74.459999999999994</v>
      </c>
      <c r="K357">
        <v>2.34</v>
      </c>
      <c r="L357">
        <v>4.5199999999999996</v>
      </c>
      <c r="M357">
        <v>3.07</v>
      </c>
      <c r="N357">
        <v>71.66</v>
      </c>
      <c r="O357">
        <v>76.47</v>
      </c>
      <c r="P357">
        <v>74.010000000000005</v>
      </c>
      <c r="Q357">
        <v>88.94</v>
      </c>
      <c r="R357">
        <v>52.75</v>
      </c>
      <c r="S357">
        <v>70.849999999999994</v>
      </c>
      <c r="T357">
        <v>105206</v>
      </c>
      <c r="V357" t="str">
        <v>Paser</v>
      </c>
      <c r="W357">
        <v>9.3000000000000007</v>
      </c>
      <c r="X357">
        <v>8.77</v>
      </c>
      <c r="Y357">
        <v>9.0399999999999991</v>
      </c>
      <c r="Z357">
        <v>13.22</v>
      </c>
      <c r="AA357">
        <v>13.63</v>
      </c>
      <c r="AB357">
        <v>13.39</v>
      </c>
      <c r="AC357">
        <v>80.36</v>
      </c>
      <c r="AD357">
        <v>60.09</v>
      </c>
      <c r="AE357">
        <v>75.849999999999994</v>
      </c>
      <c r="AF357">
        <v>4.42</v>
      </c>
      <c r="AG357">
        <v>5.07</v>
      </c>
      <c r="AH357">
        <v>4.62</v>
      </c>
      <c r="AI357">
        <v>71.91</v>
      </c>
      <c r="AJ357">
        <v>77</v>
      </c>
      <c r="AK357">
        <v>74.39</v>
      </c>
      <c r="AL357">
        <v>85.11</v>
      </c>
      <c r="AM357">
        <v>41.43</v>
      </c>
      <c r="AN357">
        <v>63.27</v>
      </c>
      <c r="AO357">
        <v>289748</v>
      </c>
    </row>
    <row r="358" spans="1:41" x14ac:dyDescent="0.35">
      <c r="A358" t="s">
        <v>358</v>
      </c>
      <c r="B358">
        <v>8.4499999999999993</v>
      </c>
      <c r="C358">
        <v>7.76</v>
      </c>
      <c r="D358">
        <v>8.08</v>
      </c>
      <c r="E358">
        <v>12.13</v>
      </c>
      <c r="F358">
        <v>12.43</v>
      </c>
      <c r="G358">
        <v>12.24</v>
      </c>
      <c r="H358">
        <v>75.63</v>
      </c>
      <c r="I358">
        <v>68.040000000000006</v>
      </c>
      <c r="J358">
        <v>71.239999999999995</v>
      </c>
      <c r="K358">
        <v>3.46</v>
      </c>
      <c r="L358">
        <v>3.39</v>
      </c>
      <c r="M358">
        <v>3.44</v>
      </c>
      <c r="N358">
        <v>71.39</v>
      </c>
      <c r="O358">
        <v>75.900000000000006</v>
      </c>
      <c r="P358">
        <v>73.59</v>
      </c>
      <c r="Q358">
        <v>87.12</v>
      </c>
      <c r="R358">
        <v>48.75</v>
      </c>
      <c r="S358">
        <v>67.94</v>
      </c>
      <c r="T358">
        <v>177322</v>
      </c>
      <c r="V358" t="str">
        <v>Kutai Barat</v>
      </c>
      <c r="W358">
        <v>9.5399999999999991</v>
      </c>
      <c r="X358">
        <v>8.6300000000000008</v>
      </c>
      <c r="Y358">
        <v>9.01</v>
      </c>
      <c r="Z358">
        <v>13.4</v>
      </c>
      <c r="AA358">
        <v>13.4</v>
      </c>
      <c r="AB358">
        <v>13.4</v>
      </c>
      <c r="AC358">
        <v>79.86</v>
      </c>
      <c r="AD358">
        <v>69.45</v>
      </c>
      <c r="AE358">
        <v>75.38</v>
      </c>
      <c r="AF358">
        <v>5.28</v>
      </c>
      <c r="AG358">
        <v>5.0999999999999996</v>
      </c>
      <c r="AH358">
        <v>5.21</v>
      </c>
      <c r="AI358">
        <v>71.81</v>
      </c>
      <c r="AJ358">
        <v>76.78</v>
      </c>
      <c r="AK358">
        <v>74.23</v>
      </c>
      <c r="AL358">
        <v>85.16</v>
      </c>
      <c r="AM358">
        <v>56.76</v>
      </c>
      <c r="AN358">
        <v>70.959999999999994</v>
      </c>
      <c r="AO358">
        <v>180305</v>
      </c>
    </row>
    <row r="359" spans="1:41" x14ac:dyDescent="0.35">
      <c r="A359" t="s">
        <v>359</v>
      </c>
      <c r="B359">
        <v>9.0399999999999991</v>
      </c>
      <c r="C359">
        <v>8.9</v>
      </c>
      <c r="D359">
        <v>8.9600000000000009</v>
      </c>
      <c r="E359">
        <v>12.8</v>
      </c>
      <c r="F359">
        <v>13.31</v>
      </c>
      <c r="G359">
        <v>13.09</v>
      </c>
      <c r="H359">
        <v>78.540000000000006</v>
      </c>
      <c r="I359">
        <v>68.83</v>
      </c>
      <c r="J359">
        <v>74.680000000000007</v>
      </c>
      <c r="K359">
        <v>4.9400000000000004</v>
      </c>
      <c r="L359">
        <v>3.91</v>
      </c>
      <c r="M359">
        <v>4.59</v>
      </c>
      <c r="N359">
        <v>71.91</v>
      </c>
      <c r="O359">
        <v>76.989999999999995</v>
      </c>
      <c r="P359">
        <v>74.39</v>
      </c>
      <c r="Q359">
        <v>86.93</v>
      </c>
      <c r="R359">
        <v>47.87</v>
      </c>
      <c r="S359">
        <v>67.400000000000006</v>
      </c>
      <c r="T359">
        <v>174341</v>
      </c>
      <c r="V359" t="str">
        <v>Kutai Kartanegara</v>
      </c>
      <c r="W359">
        <v>9.6300000000000008</v>
      </c>
      <c r="X359">
        <v>8.85</v>
      </c>
      <c r="Y359">
        <v>9.2799999999999994</v>
      </c>
      <c r="Z359">
        <v>13.71</v>
      </c>
      <c r="AA359">
        <v>14.18</v>
      </c>
      <c r="AB359">
        <v>13.85</v>
      </c>
      <c r="AC359">
        <v>81.75</v>
      </c>
      <c r="AD359">
        <v>67.37</v>
      </c>
      <c r="AE359">
        <v>77.25</v>
      </c>
      <c r="AF359">
        <v>4.59</v>
      </c>
      <c r="AG359">
        <v>4</v>
      </c>
      <c r="AH359">
        <v>4.4000000000000004</v>
      </c>
      <c r="AI359">
        <v>72.08</v>
      </c>
      <c r="AJ359">
        <v>77.349999999999994</v>
      </c>
      <c r="AK359">
        <v>74.650000000000006</v>
      </c>
      <c r="AL359">
        <v>84.69</v>
      </c>
      <c r="AM359">
        <v>44.38</v>
      </c>
      <c r="AN359">
        <v>64.540000000000006</v>
      </c>
      <c r="AO359">
        <v>845621</v>
      </c>
    </row>
    <row r="360" spans="1:41" x14ac:dyDescent="0.35">
      <c r="A360" t="s">
        <v>360</v>
      </c>
      <c r="B360">
        <v>8.74</v>
      </c>
      <c r="C360">
        <v>8.2899999999999991</v>
      </c>
      <c r="D360">
        <v>8.4700000000000006</v>
      </c>
      <c r="E360">
        <v>12.59</v>
      </c>
      <c r="F360">
        <v>12.98</v>
      </c>
      <c r="G360">
        <v>12.61</v>
      </c>
      <c r="H360">
        <v>76.58</v>
      </c>
      <c r="I360">
        <v>70.790000000000006</v>
      </c>
      <c r="J360">
        <v>72.989999999999995</v>
      </c>
      <c r="K360">
        <v>1.95</v>
      </c>
      <c r="L360">
        <v>2.69</v>
      </c>
      <c r="M360">
        <v>2.23</v>
      </c>
      <c r="N360">
        <v>71.41</v>
      </c>
      <c r="O360">
        <v>75.94</v>
      </c>
      <c r="P360">
        <v>73.62</v>
      </c>
      <c r="Q360">
        <v>88.79</v>
      </c>
      <c r="R360">
        <v>57.96</v>
      </c>
      <c r="S360">
        <v>73.38</v>
      </c>
      <c r="T360">
        <v>140776</v>
      </c>
      <c r="V360" t="str">
        <v>Kutai Timur</v>
      </c>
      <c r="W360">
        <v>9.93</v>
      </c>
      <c r="X360">
        <v>9.02</v>
      </c>
      <c r="Y360">
        <v>9.48</v>
      </c>
      <c r="Z360">
        <v>13.06</v>
      </c>
      <c r="AA360">
        <v>13.34</v>
      </c>
      <c r="AB360">
        <v>13.22</v>
      </c>
      <c r="AC360">
        <v>81.16</v>
      </c>
      <c r="AD360">
        <v>64.47</v>
      </c>
      <c r="AE360">
        <v>76.48</v>
      </c>
      <c r="AF360">
        <v>5.23</v>
      </c>
      <c r="AG360">
        <v>8.26</v>
      </c>
      <c r="AH360">
        <v>6.2</v>
      </c>
      <c r="AI360">
        <v>72.239999999999995</v>
      </c>
      <c r="AJ360">
        <v>77.63</v>
      </c>
      <c r="AK360">
        <v>74.87</v>
      </c>
      <c r="AL360">
        <v>83.53</v>
      </c>
      <c r="AM360">
        <v>46.27</v>
      </c>
      <c r="AN360">
        <v>64.900000000000006</v>
      </c>
      <c r="AO360">
        <v>470396</v>
      </c>
    </row>
    <row r="361" spans="1:41" x14ac:dyDescent="0.35">
      <c r="A361" t="s">
        <v>361</v>
      </c>
      <c r="B361">
        <v>9.4499999999999993</v>
      </c>
      <c r="C361">
        <v>9.4</v>
      </c>
      <c r="D361">
        <v>9.4</v>
      </c>
      <c r="E361">
        <v>12</v>
      </c>
      <c r="F361">
        <v>12.88</v>
      </c>
      <c r="G361">
        <v>12.19</v>
      </c>
      <c r="H361">
        <v>77.739999999999995</v>
      </c>
      <c r="I361">
        <v>72.36</v>
      </c>
      <c r="J361">
        <v>74.459999999999994</v>
      </c>
      <c r="K361">
        <v>2.56</v>
      </c>
      <c r="L361">
        <v>4.95</v>
      </c>
      <c r="M361">
        <v>3.31</v>
      </c>
      <c r="N361">
        <v>71.63</v>
      </c>
      <c r="O361">
        <v>76.42</v>
      </c>
      <c r="P361">
        <v>73.97</v>
      </c>
      <c r="Q361">
        <v>87.81</v>
      </c>
      <c r="R361">
        <v>44.89</v>
      </c>
      <c r="S361">
        <v>66.349999999999994</v>
      </c>
      <c r="T361">
        <v>148233</v>
      </c>
      <c r="V361" t="str">
        <v>Berau</v>
      </c>
      <c r="W361">
        <v>10.06</v>
      </c>
      <c r="X361">
        <v>9.32</v>
      </c>
      <c r="Y361">
        <v>9.58</v>
      </c>
      <c r="Z361">
        <v>13.29</v>
      </c>
      <c r="AA361">
        <v>14.27</v>
      </c>
      <c r="AB361">
        <v>13.44</v>
      </c>
      <c r="AC361">
        <v>82.13</v>
      </c>
      <c r="AD361">
        <v>73.23</v>
      </c>
      <c r="AE361">
        <v>77.72</v>
      </c>
      <c r="AF361">
        <v>4</v>
      </c>
      <c r="AG361">
        <v>5.0999999999999996</v>
      </c>
      <c r="AH361">
        <v>4.4000000000000004</v>
      </c>
      <c r="AI361">
        <v>71.62</v>
      </c>
      <c r="AJ361">
        <v>76.39</v>
      </c>
      <c r="AK361">
        <v>73.95</v>
      </c>
      <c r="AL361">
        <v>85.51</v>
      </c>
      <c r="AM361">
        <v>56.66</v>
      </c>
      <c r="AN361">
        <v>71.09</v>
      </c>
      <c r="AO361">
        <v>265300</v>
      </c>
    </row>
    <row r="362" spans="1:41" x14ac:dyDescent="0.35">
      <c r="A362" t="s">
        <v>362</v>
      </c>
      <c r="B362">
        <v>9.99</v>
      </c>
      <c r="C362">
        <v>9.66</v>
      </c>
      <c r="D362">
        <v>9.7100000000000009</v>
      </c>
      <c r="E362">
        <v>13.19</v>
      </c>
      <c r="F362">
        <v>12.53</v>
      </c>
      <c r="G362">
        <v>12.89</v>
      </c>
      <c r="H362">
        <v>80</v>
      </c>
      <c r="I362">
        <v>72.09</v>
      </c>
      <c r="J362">
        <v>75.5</v>
      </c>
      <c r="K362">
        <v>3.98</v>
      </c>
      <c r="L362">
        <v>2.09</v>
      </c>
      <c r="M362">
        <v>3.15</v>
      </c>
      <c r="N362">
        <v>70.52</v>
      </c>
      <c r="O362">
        <v>74.540000000000006</v>
      </c>
      <c r="P362">
        <v>72.48</v>
      </c>
      <c r="Q362">
        <v>84.96</v>
      </c>
      <c r="R362">
        <v>69.2</v>
      </c>
      <c r="S362">
        <v>77.08</v>
      </c>
      <c r="T362">
        <v>120201</v>
      </c>
      <c r="V362" t="str">
        <v>Penajam Paser Utara</v>
      </c>
      <c r="W362">
        <v>9</v>
      </c>
      <c r="X362">
        <v>8.43</v>
      </c>
      <c r="Y362">
        <v>8.7200000000000006</v>
      </c>
      <c r="Z362">
        <v>13</v>
      </c>
      <c r="AA362">
        <v>12.9</v>
      </c>
      <c r="AB362">
        <v>13</v>
      </c>
      <c r="AC362">
        <v>79.7</v>
      </c>
      <c r="AD362">
        <v>70.39</v>
      </c>
      <c r="AE362">
        <v>75.819999999999993</v>
      </c>
      <c r="AF362">
        <v>4.09</v>
      </c>
      <c r="AG362">
        <v>4.54</v>
      </c>
      <c r="AH362">
        <v>4.26</v>
      </c>
      <c r="AI362">
        <v>72.05</v>
      </c>
      <c r="AJ362">
        <v>77.28</v>
      </c>
      <c r="AK362">
        <v>74.599999999999994</v>
      </c>
      <c r="AL362">
        <v>85.57</v>
      </c>
      <c r="AM362">
        <v>57.34</v>
      </c>
      <c r="AN362">
        <v>71.459999999999994</v>
      </c>
      <c r="AO362">
        <v>400031</v>
      </c>
    </row>
    <row r="363" spans="1:41" x14ac:dyDescent="0.35">
      <c r="A363" t="s">
        <v>363</v>
      </c>
      <c r="B363">
        <v>8.52</v>
      </c>
      <c r="C363">
        <v>8.0299999999999994</v>
      </c>
      <c r="D363">
        <v>8.1199999999999992</v>
      </c>
      <c r="E363">
        <v>12.17</v>
      </c>
      <c r="F363">
        <v>12.21</v>
      </c>
      <c r="G363">
        <v>12.2</v>
      </c>
      <c r="H363">
        <v>77.25</v>
      </c>
      <c r="I363">
        <v>66.069999999999993</v>
      </c>
      <c r="J363">
        <v>72.34</v>
      </c>
      <c r="K363">
        <v>1.88</v>
      </c>
      <c r="L363">
        <v>3.66</v>
      </c>
      <c r="M363">
        <v>2.52</v>
      </c>
      <c r="N363">
        <v>71.48</v>
      </c>
      <c r="O363">
        <v>76.099999999999994</v>
      </c>
      <c r="P363">
        <v>73.73</v>
      </c>
      <c r="Q363">
        <v>82.86</v>
      </c>
      <c r="R363">
        <v>50.14</v>
      </c>
      <c r="S363">
        <v>66.5</v>
      </c>
      <c r="T363">
        <v>120222</v>
      </c>
      <c r="V363" t="str">
        <v>Mahakam Ulu</v>
      </c>
      <c r="W363">
        <v>9.1999999999999993</v>
      </c>
      <c r="X363">
        <v>8.58</v>
      </c>
      <c r="Y363">
        <v>8.7100000000000009</v>
      </c>
      <c r="Z363">
        <v>13.27</v>
      </c>
      <c r="AA363">
        <v>12.84</v>
      </c>
      <c r="AB363">
        <v>12.85</v>
      </c>
      <c r="AC363">
        <v>77.13</v>
      </c>
      <c r="AD363">
        <v>65.06</v>
      </c>
      <c r="AE363">
        <v>71.53</v>
      </c>
      <c r="AF363">
        <v>1.19</v>
      </c>
      <c r="AG363">
        <v>5.19</v>
      </c>
      <c r="AH363">
        <v>2.84</v>
      </c>
      <c r="AI363">
        <v>71.599999999999994</v>
      </c>
      <c r="AJ363">
        <v>76.34</v>
      </c>
      <c r="AK363">
        <v>73.91</v>
      </c>
      <c r="AL363">
        <v>87.64</v>
      </c>
      <c r="AM363">
        <v>66.25</v>
      </c>
      <c r="AN363">
        <v>76.95</v>
      </c>
      <c r="AO363">
        <v>34743</v>
      </c>
    </row>
    <row r="364" spans="1:41" x14ac:dyDescent="0.35">
      <c r="A364" t="s">
        <v>364</v>
      </c>
      <c r="B364">
        <v>11.86</v>
      </c>
      <c r="C364">
        <v>11.65</v>
      </c>
      <c r="D364">
        <v>11.69</v>
      </c>
      <c r="E364">
        <v>15.14</v>
      </c>
      <c r="F364">
        <v>15.12</v>
      </c>
      <c r="G364">
        <v>15.14</v>
      </c>
      <c r="H364">
        <v>85.97</v>
      </c>
      <c r="I364">
        <v>82.8</v>
      </c>
      <c r="J364">
        <v>82.98</v>
      </c>
      <c r="K364">
        <v>5.32</v>
      </c>
      <c r="L364">
        <v>5.09</v>
      </c>
      <c r="M364">
        <v>5.23</v>
      </c>
      <c r="N364">
        <v>72.28</v>
      </c>
      <c r="O364">
        <v>77.69</v>
      </c>
      <c r="P364">
        <v>74.92</v>
      </c>
      <c r="Q364">
        <v>80.56</v>
      </c>
      <c r="R364">
        <v>51.11</v>
      </c>
      <c r="S364">
        <v>65.84</v>
      </c>
      <c r="T364">
        <v>314367</v>
      </c>
      <c r="V364" t="str">
        <v>Kota Balikpapan</v>
      </c>
      <c r="W364">
        <v>11.49</v>
      </c>
      <c r="X364">
        <v>10.82</v>
      </c>
      <c r="Y364">
        <v>11.04</v>
      </c>
      <c r="Z364">
        <v>14.26</v>
      </c>
      <c r="AA364">
        <v>14.63</v>
      </c>
      <c r="AB364">
        <v>14.26</v>
      </c>
      <c r="AC364">
        <v>87.84</v>
      </c>
      <c r="AD364">
        <v>80.56</v>
      </c>
      <c r="AE364">
        <v>83.23</v>
      </c>
      <c r="AF364">
        <v>6.38</v>
      </c>
      <c r="AG364">
        <v>4.93</v>
      </c>
      <c r="AH364">
        <v>5.84</v>
      </c>
      <c r="AI364">
        <v>74.13</v>
      </c>
      <c r="AJ364">
        <v>79.25</v>
      </c>
      <c r="AK364">
        <v>76.239999999999995</v>
      </c>
      <c r="AL364">
        <v>81.81</v>
      </c>
      <c r="AM364">
        <v>50.66</v>
      </c>
      <c r="AN364">
        <v>66.239999999999995</v>
      </c>
      <c r="AO364">
        <v>725442</v>
      </c>
    </row>
    <row r="365" spans="1:41" x14ac:dyDescent="0.35">
      <c r="A365" t="s">
        <v>365</v>
      </c>
      <c r="B365">
        <v>9.1</v>
      </c>
      <c r="C365">
        <v>8.5299999999999994</v>
      </c>
      <c r="D365">
        <v>8.81</v>
      </c>
      <c r="E365">
        <v>12.89</v>
      </c>
      <c r="F365">
        <v>13.37</v>
      </c>
      <c r="G365">
        <v>13.12</v>
      </c>
      <c r="H365">
        <v>79.89</v>
      </c>
      <c r="I365">
        <v>72.680000000000007</v>
      </c>
      <c r="J365">
        <v>76.099999999999994</v>
      </c>
      <c r="K365">
        <v>4.4400000000000004</v>
      </c>
      <c r="L365">
        <v>3.72</v>
      </c>
      <c r="M365">
        <v>4.16</v>
      </c>
      <c r="N365">
        <v>71.97</v>
      </c>
      <c r="O365">
        <v>77.13</v>
      </c>
      <c r="P365">
        <v>74.489999999999995</v>
      </c>
      <c r="Q365">
        <v>84.48</v>
      </c>
      <c r="R365">
        <v>55.18</v>
      </c>
      <c r="S365">
        <v>69.83</v>
      </c>
      <c r="T365">
        <v>4323330</v>
      </c>
      <c r="V365" t="str">
        <v>Kota Samarinda</v>
      </c>
      <c r="W365">
        <v>11.56</v>
      </c>
      <c r="X365">
        <v>10.71</v>
      </c>
      <c r="Y365">
        <v>11.04</v>
      </c>
      <c r="Z365">
        <v>15.22</v>
      </c>
      <c r="AA365">
        <v>15.77</v>
      </c>
      <c r="AB365">
        <v>15.41</v>
      </c>
      <c r="AC365">
        <v>87.64</v>
      </c>
      <c r="AD365">
        <v>79.88</v>
      </c>
      <c r="AE365">
        <v>83.53</v>
      </c>
      <c r="AF365">
        <v>5.81</v>
      </c>
      <c r="AG365">
        <v>4.42</v>
      </c>
      <c r="AH365">
        <v>5.31</v>
      </c>
      <c r="AI365">
        <v>73.78</v>
      </c>
      <c r="AJ365">
        <v>78.84</v>
      </c>
      <c r="AK365">
        <v>75.89</v>
      </c>
      <c r="AL365">
        <v>79.989999999999995</v>
      </c>
      <c r="AM365">
        <v>46.7</v>
      </c>
      <c r="AN365">
        <v>63.35</v>
      </c>
      <c r="AO365">
        <v>865306</v>
      </c>
    </row>
    <row r="366" spans="1:41" x14ac:dyDescent="0.35">
      <c r="A366" t="s">
        <v>366</v>
      </c>
      <c r="B366">
        <v>8.39</v>
      </c>
      <c r="C366">
        <v>7.62</v>
      </c>
      <c r="D366">
        <v>8.09</v>
      </c>
      <c r="E366">
        <v>12.81</v>
      </c>
      <c r="F366">
        <v>12.69</v>
      </c>
      <c r="G366">
        <v>12.7</v>
      </c>
      <c r="H366">
        <v>78.459999999999994</v>
      </c>
      <c r="I366">
        <v>70.03</v>
      </c>
      <c r="J366">
        <v>74.319999999999993</v>
      </c>
      <c r="K366">
        <v>3.35</v>
      </c>
      <c r="L366">
        <v>3.23</v>
      </c>
      <c r="M366">
        <v>3.3</v>
      </c>
      <c r="N366">
        <v>72.25</v>
      </c>
      <c r="O366">
        <v>77.64</v>
      </c>
      <c r="P366">
        <v>74.88</v>
      </c>
      <c r="Q366">
        <v>88.59</v>
      </c>
      <c r="R366">
        <v>54.61</v>
      </c>
      <c r="S366">
        <v>71.599999999999994</v>
      </c>
      <c r="T366">
        <v>368914</v>
      </c>
      <c r="V366" t="str">
        <v>Kota Bontang</v>
      </c>
      <c r="W366">
        <v>11.25</v>
      </c>
      <c r="X366">
        <v>11</v>
      </c>
      <c r="Y366">
        <v>11.03</v>
      </c>
      <c r="Z366">
        <v>13.81</v>
      </c>
      <c r="AA366">
        <v>13.74</v>
      </c>
      <c r="AB366">
        <v>13.8</v>
      </c>
      <c r="AC366">
        <v>86.76</v>
      </c>
      <c r="AD366">
        <v>77.64</v>
      </c>
      <c r="AE366">
        <v>83.04</v>
      </c>
      <c r="AF366">
        <v>5.94</v>
      </c>
      <c r="AG366">
        <v>7.02</v>
      </c>
      <c r="AH366">
        <v>6.36</v>
      </c>
      <c r="AI366">
        <v>73.459999999999994</v>
      </c>
      <c r="AJ366">
        <v>78.209999999999994</v>
      </c>
      <c r="AK366">
        <v>75.36</v>
      </c>
      <c r="AL366">
        <v>82.95</v>
      </c>
      <c r="AM366">
        <v>54.37</v>
      </c>
      <c r="AN366">
        <v>68.66</v>
      </c>
      <c r="AO366">
        <v>190706</v>
      </c>
    </row>
    <row r="367" spans="1:41" x14ac:dyDescent="0.35">
      <c r="A367" t="s">
        <v>367</v>
      </c>
      <c r="B367">
        <v>8.24</v>
      </c>
      <c r="C367">
        <v>7.51</v>
      </c>
      <c r="D367">
        <v>7.71</v>
      </c>
      <c r="E367">
        <v>12.23</v>
      </c>
      <c r="F367">
        <v>12.28</v>
      </c>
      <c r="G367">
        <v>12.23</v>
      </c>
      <c r="H367">
        <v>77.58</v>
      </c>
      <c r="I367">
        <v>66.77</v>
      </c>
      <c r="J367">
        <v>73.03</v>
      </c>
      <c r="K367">
        <v>5.87</v>
      </c>
      <c r="L367">
        <v>6.05</v>
      </c>
      <c r="M367">
        <v>5.93</v>
      </c>
      <c r="N367">
        <v>71.680000000000007</v>
      </c>
      <c r="O367">
        <v>76.5</v>
      </c>
      <c r="P367">
        <v>74.03</v>
      </c>
      <c r="Q367">
        <v>85.17</v>
      </c>
      <c r="R367">
        <v>44.26</v>
      </c>
      <c r="S367">
        <v>64.72</v>
      </c>
      <c r="T367">
        <v>348250</v>
      </c>
      <c r="V367" t="str">
        <v>Malinau</v>
      </c>
      <c r="W367">
        <v>9.91</v>
      </c>
      <c r="X367">
        <v>9.0500000000000007</v>
      </c>
      <c r="Y367">
        <v>9.64</v>
      </c>
      <c r="Z367">
        <v>13.47</v>
      </c>
      <c r="AA367">
        <v>13.88</v>
      </c>
      <c r="AB367">
        <v>13.58</v>
      </c>
      <c r="AC367">
        <v>79.75</v>
      </c>
      <c r="AD367">
        <v>67.61</v>
      </c>
      <c r="AE367">
        <v>75.209999999999994</v>
      </c>
      <c r="AF367">
        <v>3.23</v>
      </c>
      <c r="AG367">
        <v>3.72</v>
      </c>
      <c r="AH367">
        <v>3.42</v>
      </c>
      <c r="AI367">
        <v>72.02</v>
      </c>
      <c r="AJ367">
        <v>75.55</v>
      </c>
      <c r="AK367">
        <v>73.33</v>
      </c>
      <c r="AL367">
        <v>87.63</v>
      </c>
      <c r="AM367">
        <v>63.74</v>
      </c>
      <c r="AN367">
        <v>75.69</v>
      </c>
      <c r="AO367">
        <v>87492</v>
      </c>
    </row>
    <row r="368" spans="1:41" x14ac:dyDescent="0.35">
      <c r="A368" t="s">
        <v>368</v>
      </c>
      <c r="B368">
        <v>8.57</v>
      </c>
      <c r="C368">
        <v>7.74</v>
      </c>
      <c r="D368">
        <v>8.15</v>
      </c>
      <c r="E368">
        <v>13.03</v>
      </c>
      <c r="F368">
        <v>13.29</v>
      </c>
      <c r="G368">
        <v>13.05</v>
      </c>
      <c r="H368">
        <v>79.209999999999994</v>
      </c>
      <c r="I368">
        <v>73.599999999999994</v>
      </c>
      <c r="J368">
        <v>75.11</v>
      </c>
      <c r="K368">
        <v>2.83</v>
      </c>
      <c r="L368">
        <v>2.65</v>
      </c>
      <c r="M368">
        <v>2.76</v>
      </c>
      <c r="N368">
        <v>71.569999999999993</v>
      </c>
      <c r="O368">
        <v>76.28</v>
      </c>
      <c r="P368">
        <v>73.87</v>
      </c>
      <c r="Q368">
        <v>83.7</v>
      </c>
      <c r="R368">
        <v>55.62</v>
      </c>
      <c r="S368">
        <v>69.66</v>
      </c>
      <c r="T368">
        <v>609637</v>
      </c>
      <c r="V368" t="str">
        <v>Bulungan</v>
      </c>
      <c r="W368">
        <v>9.81</v>
      </c>
      <c r="X368">
        <v>9.2200000000000006</v>
      </c>
      <c r="Y368">
        <v>9.42</v>
      </c>
      <c r="Z368">
        <v>13.33</v>
      </c>
      <c r="AA368">
        <v>13.26</v>
      </c>
      <c r="AB368">
        <v>13.26</v>
      </c>
      <c r="AC368">
        <v>79.599999999999994</v>
      </c>
      <c r="AD368">
        <v>69.78</v>
      </c>
      <c r="AE368">
        <v>74.53</v>
      </c>
      <c r="AF368">
        <v>3.97</v>
      </c>
      <c r="AG368">
        <v>4.43</v>
      </c>
      <c r="AH368">
        <v>4.1399999999999997</v>
      </c>
      <c r="AI368">
        <v>72.38</v>
      </c>
      <c r="AJ368">
        <v>76.44</v>
      </c>
      <c r="AK368">
        <v>73.989999999999995</v>
      </c>
      <c r="AL368">
        <v>86.78</v>
      </c>
      <c r="AM368">
        <v>57.08</v>
      </c>
      <c r="AN368">
        <v>71.930000000000007</v>
      </c>
      <c r="AO368">
        <v>162405</v>
      </c>
    </row>
    <row r="369" spans="1:41" x14ac:dyDescent="0.35">
      <c r="A369" t="s">
        <v>369</v>
      </c>
      <c r="B369">
        <v>8.36</v>
      </c>
      <c r="C369">
        <v>7.62</v>
      </c>
      <c r="D369">
        <v>7.99</v>
      </c>
      <c r="E369">
        <v>12.68</v>
      </c>
      <c r="F369">
        <v>12.84</v>
      </c>
      <c r="G369">
        <v>12.69</v>
      </c>
      <c r="H369">
        <v>76.25</v>
      </c>
      <c r="I369">
        <v>69.05</v>
      </c>
      <c r="J369">
        <v>72.05</v>
      </c>
      <c r="K369">
        <v>3.32</v>
      </c>
      <c r="L369">
        <v>3.07</v>
      </c>
      <c r="M369">
        <v>3.23</v>
      </c>
      <c r="N369">
        <v>70.88</v>
      </c>
      <c r="O369">
        <v>74.92</v>
      </c>
      <c r="P369">
        <v>72.849999999999994</v>
      </c>
      <c r="Q369">
        <v>86.49</v>
      </c>
      <c r="R369">
        <v>57.18</v>
      </c>
      <c r="S369">
        <v>71.84</v>
      </c>
      <c r="T369">
        <v>335649</v>
      </c>
      <c r="V369" t="str">
        <v>Tana Tidung</v>
      </c>
      <c r="W369">
        <v>9.9600000000000009</v>
      </c>
      <c r="X369">
        <v>8.9</v>
      </c>
      <c r="Y369">
        <v>9.41</v>
      </c>
      <c r="Z369">
        <v>12.85</v>
      </c>
      <c r="AA369">
        <v>12.75</v>
      </c>
      <c r="AB369">
        <v>12.85</v>
      </c>
      <c r="AC369">
        <v>76.540000000000006</v>
      </c>
      <c r="AD369">
        <v>62.67</v>
      </c>
      <c r="AE369">
        <v>71.86</v>
      </c>
      <c r="AF369">
        <v>3.84</v>
      </c>
      <c r="AG369">
        <v>3.41</v>
      </c>
      <c r="AH369">
        <v>3.68</v>
      </c>
      <c r="AI369">
        <v>71.42</v>
      </c>
      <c r="AJ369">
        <v>75.98</v>
      </c>
      <c r="AK369">
        <v>73.64</v>
      </c>
      <c r="AL369">
        <v>85.82</v>
      </c>
      <c r="AM369">
        <v>59.71</v>
      </c>
      <c r="AN369">
        <v>72.77</v>
      </c>
      <c r="AO369">
        <v>28824</v>
      </c>
    </row>
    <row r="370" spans="1:41" x14ac:dyDescent="0.35">
      <c r="A370" t="s">
        <v>370</v>
      </c>
      <c r="B370">
        <v>8.8699999999999992</v>
      </c>
      <c r="C370">
        <v>8</v>
      </c>
      <c r="D370">
        <v>8.3800000000000008</v>
      </c>
      <c r="E370">
        <v>12.46</v>
      </c>
      <c r="F370">
        <v>12.6</v>
      </c>
      <c r="G370">
        <v>12.6</v>
      </c>
      <c r="H370">
        <v>79.17</v>
      </c>
      <c r="I370">
        <v>68.430000000000007</v>
      </c>
      <c r="J370">
        <v>74.98</v>
      </c>
      <c r="K370">
        <v>4.1100000000000003</v>
      </c>
      <c r="L370">
        <v>3.06</v>
      </c>
      <c r="M370">
        <v>3.69</v>
      </c>
      <c r="N370">
        <v>72.42</v>
      </c>
      <c r="O370">
        <v>77.89</v>
      </c>
      <c r="P370">
        <v>75.09</v>
      </c>
      <c r="Q370">
        <v>84.59</v>
      </c>
      <c r="R370">
        <v>56.47</v>
      </c>
      <c r="S370">
        <v>70.53</v>
      </c>
      <c r="T370">
        <v>201201</v>
      </c>
      <c r="V370" t="str">
        <v>Nunukan</v>
      </c>
      <c r="W370">
        <v>8.64</v>
      </c>
      <c r="X370">
        <v>8.34</v>
      </c>
      <c r="Y370">
        <v>8.4</v>
      </c>
      <c r="Z370">
        <v>12.91</v>
      </c>
      <c r="AA370">
        <v>12.76</v>
      </c>
      <c r="AB370">
        <v>12.81</v>
      </c>
      <c r="AC370">
        <v>74.17</v>
      </c>
      <c r="AD370">
        <v>64.17</v>
      </c>
      <c r="AE370">
        <v>69.87</v>
      </c>
      <c r="AF370">
        <v>2.17</v>
      </c>
      <c r="AG370">
        <v>3.43</v>
      </c>
      <c r="AH370">
        <v>2.61</v>
      </c>
      <c r="AI370">
        <v>71.14</v>
      </c>
      <c r="AJ370">
        <v>75.38</v>
      </c>
      <c r="AK370">
        <v>73.209999999999994</v>
      </c>
      <c r="AL370">
        <v>87.93</v>
      </c>
      <c r="AM370">
        <v>54.32</v>
      </c>
      <c r="AN370">
        <v>71.13</v>
      </c>
      <c r="AO370">
        <v>213976</v>
      </c>
    </row>
    <row r="371" spans="1:41" x14ac:dyDescent="0.35">
      <c r="A371" t="s">
        <v>371</v>
      </c>
      <c r="B371">
        <v>8.4499999999999993</v>
      </c>
      <c r="C371">
        <v>8.1199999999999992</v>
      </c>
      <c r="D371">
        <v>8.18</v>
      </c>
      <c r="E371">
        <v>12.75</v>
      </c>
      <c r="F371">
        <v>13.2</v>
      </c>
      <c r="G371">
        <v>12.78</v>
      </c>
      <c r="H371">
        <v>78.67</v>
      </c>
      <c r="I371">
        <v>71.23</v>
      </c>
      <c r="J371">
        <v>74.81</v>
      </c>
      <c r="K371">
        <v>2.33</v>
      </c>
      <c r="L371">
        <v>2.0099999999999998</v>
      </c>
      <c r="M371">
        <v>2.2000000000000002</v>
      </c>
      <c r="N371">
        <v>71.180000000000007</v>
      </c>
      <c r="O371">
        <v>75.459999999999994</v>
      </c>
      <c r="P371">
        <v>73.27</v>
      </c>
      <c r="Q371">
        <v>82.3</v>
      </c>
      <c r="R371">
        <v>59.65</v>
      </c>
      <c r="S371">
        <v>70.98</v>
      </c>
      <c r="T371">
        <v>241528</v>
      </c>
      <c r="V371" t="str">
        <v>Kota Tarakan</v>
      </c>
      <c r="W371">
        <v>10.68</v>
      </c>
      <c r="X371">
        <v>10.39</v>
      </c>
      <c r="Y371">
        <v>10.46</v>
      </c>
      <c r="Z371">
        <v>13.58</v>
      </c>
      <c r="AA371">
        <v>14.78</v>
      </c>
      <c r="AB371">
        <v>14.23</v>
      </c>
      <c r="AC371">
        <v>82.3</v>
      </c>
      <c r="AD371">
        <v>77.63</v>
      </c>
      <c r="AE371">
        <v>78.62</v>
      </c>
      <c r="AF371">
        <v>4.63</v>
      </c>
      <c r="AG371">
        <v>5.9</v>
      </c>
      <c r="AH371">
        <v>5.0599999999999996</v>
      </c>
      <c r="AI371">
        <v>73.67</v>
      </c>
      <c r="AJ371">
        <v>77.010000000000005</v>
      </c>
      <c r="AK371">
        <v>74.400000000000006</v>
      </c>
      <c r="AL371">
        <v>80.06</v>
      </c>
      <c r="AM371">
        <v>42.97</v>
      </c>
      <c r="AN371">
        <v>61.52</v>
      </c>
      <c r="AO371">
        <v>256670</v>
      </c>
    </row>
    <row r="372" spans="1:41" x14ac:dyDescent="0.35">
      <c r="A372" t="s">
        <v>372</v>
      </c>
      <c r="B372">
        <v>8.75</v>
      </c>
      <c r="C372">
        <v>8.2100000000000009</v>
      </c>
      <c r="D372">
        <v>8.4499999999999993</v>
      </c>
      <c r="E372">
        <v>12.62</v>
      </c>
      <c r="F372">
        <v>12.55</v>
      </c>
      <c r="G372">
        <v>12.58</v>
      </c>
      <c r="H372">
        <v>75.89</v>
      </c>
      <c r="I372">
        <v>73.44</v>
      </c>
      <c r="J372">
        <v>74.260000000000005</v>
      </c>
      <c r="K372">
        <v>3.59</v>
      </c>
      <c r="L372">
        <v>2.4900000000000002</v>
      </c>
      <c r="M372">
        <v>3.12</v>
      </c>
      <c r="N372">
        <v>71.02</v>
      </c>
      <c r="O372">
        <v>75.12</v>
      </c>
      <c r="P372">
        <v>73.02</v>
      </c>
      <c r="Q372">
        <v>84.05</v>
      </c>
      <c r="R372">
        <v>62.56</v>
      </c>
      <c r="S372">
        <v>73.31</v>
      </c>
      <c r="T372">
        <v>271232</v>
      </c>
      <c r="V372" t="str">
        <v>Bolaang Mongondow</v>
      </c>
      <c r="W372">
        <v>8.41</v>
      </c>
      <c r="X372">
        <v>8.51</v>
      </c>
      <c r="Y372">
        <v>8.49</v>
      </c>
      <c r="Z372">
        <v>11.66</v>
      </c>
      <c r="AA372">
        <v>12.52</v>
      </c>
      <c r="AB372">
        <v>11.82</v>
      </c>
      <c r="AC372">
        <v>75.38</v>
      </c>
      <c r="AD372">
        <v>67.28</v>
      </c>
      <c r="AE372">
        <v>71.83</v>
      </c>
      <c r="AF372">
        <v>4.7</v>
      </c>
      <c r="AG372">
        <v>5.46</v>
      </c>
      <c r="AH372">
        <v>4.97</v>
      </c>
      <c r="AI372">
        <v>70.52</v>
      </c>
      <c r="AJ372">
        <v>74.53</v>
      </c>
      <c r="AK372">
        <v>72.48</v>
      </c>
      <c r="AL372">
        <v>87.6</v>
      </c>
      <c r="AM372">
        <v>54.19</v>
      </c>
      <c r="AN372">
        <v>70.900000000000006</v>
      </c>
      <c r="AO372">
        <v>259359</v>
      </c>
    </row>
    <row r="373" spans="1:41" x14ac:dyDescent="0.35">
      <c r="A373" t="s">
        <v>373</v>
      </c>
      <c r="B373">
        <v>8.42</v>
      </c>
      <c r="C373">
        <v>7.74</v>
      </c>
      <c r="D373">
        <v>8</v>
      </c>
      <c r="E373">
        <v>13.22</v>
      </c>
      <c r="F373">
        <v>13.88</v>
      </c>
      <c r="G373">
        <v>13.47</v>
      </c>
      <c r="H373">
        <v>76.66</v>
      </c>
      <c r="I373">
        <v>71.19</v>
      </c>
      <c r="J373">
        <v>72.67</v>
      </c>
      <c r="K373">
        <v>4.4400000000000004</v>
      </c>
      <c r="L373">
        <v>2.88</v>
      </c>
      <c r="M373">
        <v>3.79</v>
      </c>
      <c r="N373">
        <v>70.98</v>
      </c>
      <c r="O373">
        <v>75.03</v>
      </c>
      <c r="P373">
        <v>72.95</v>
      </c>
      <c r="Q373">
        <v>83.22</v>
      </c>
      <c r="R373">
        <v>58.68</v>
      </c>
      <c r="S373">
        <v>70.95</v>
      </c>
      <c r="T373">
        <v>239636</v>
      </c>
      <c r="V373" t="str">
        <v>Minahasa</v>
      </c>
      <c r="W373">
        <v>10.07</v>
      </c>
      <c r="X373">
        <v>10.46</v>
      </c>
      <c r="Y373">
        <v>10.25</v>
      </c>
      <c r="Z373">
        <v>14.19</v>
      </c>
      <c r="AA373">
        <v>14.56</v>
      </c>
      <c r="AB373">
        <v>14.2</v>
      </c>
      <c r="AC373">
        <v>81.459999999999994</v>
      </c>
      <c r="AD373">
        <v>79.73</v>
      </c>
      <c r="AE373">
        <v>79.73</v>
      </c>
      <c r="AF373">
        <v>6.89</v>
      </c>
      <c r="AG373">
        <v>9.17</v>
      </c>
      <c r="AH373">
        <v>7.74</v>
      </c>
      <c r="AI373">
        <v>72.84</v>
      </c>
      <c r="AJ373">
        <v>78.489999999999995</v>
      </c>
      <c r="AK373">
        <v>75.599999999999994</v>
      </c>
      <c r="AL373">
        <v>80.13</v>
      </c>
      <c r="AM373">
        <v>48.9</v>
      </c>
      <c r="AN373">
        <v>64.52</v>
      </c>
      <c r="AO373">
        <v>355115</v>
      </c>
    </row>
    <row r="374" spans="1:41" x14ac:dyDescent="0.35">
      <c r="A374" t="s">
        <v>374</v>
      </c>
      <c r="B374">
        <v>9.82</v>
      </c>
      <c r="C374">
        <v>9.0399999999999991</v>
      </c>
      <c r="D374">
        <v>9.3699999999999992</v>
      </c>
      <c r="E374">
        <v>13.15</v>
      </c>
      <c r="F374">
        <v>13.48</v>
      </c>
      <c r="G374">
        <v>13.18</v>
      </c>
      <c r="H374">
        <v>81.53</v>
      </c>
      <c r="I374">
        <v>71.67</v>
      </c>
      <c r="J374">
        <v>76.94</v>
      </c>
      <c r="K374">
        <v>4.25</v>
      </c>
      <c r="L374">
        <v>2.2999999999999998</v>
      </c>
      <c r="M374">
        <v>3.48</v>
      </c>
      <c r="N374">
        <v>72.31</v>
      </c>
      <c r="O374">
        <v>77.73</v>
      </c>
      <c r="P374">
        <v>74.95</v>
      </c>
      <c r="Q374">
        <v>85.16</v>
      </c>
      <c r="R374">
        <v>56.63</v>
      </c>
      <c r="S374">
        <v>70.900000000000006</v>
      </c>
      <c r="T374">
        <v>270295</v>
      </c>
      <c r="V374" t="str">
        <v>Kepulauan Sangihe</v>
      </c>
      <c r="W374">
        <v>8.4499999999999993</v>
      </c>
      <c r="X374">
        <v>9</v>
      </c>
      <c r="Y374">
        <v>8.6999999999999993</v>
      </c>
      <c r="Z374">
        <v>12.45</v>
      </c>
      <c r="AA374">
        <v>13.4</v>
      </c>
      <c r="AB374">
        <v>12.8</v>
      </c>
      <c r="AC374">
        <v>76.87</v>
      </c>
      <c r="AD374">
        <v>74.38</v>
      </c>
      <c r="AE374">
        <v>75.180000000000007</v>
      </c>
      <c r="AF374">
        <v>2.68</v>
      </c>
      <c r="AG374">
        <v>2.57</v>
      </c>
      <c r="AH374">
        <v>2.64</v>
      </c>
      <c r="AI374">
        <v>72.36</v>
      </c>
      <c r="AJ374">
        <v>77.81</v>
      </c>
      <c r="AK374">
        <v>75.02</v>
      </c>
      <c r="AL374">
        <v>81.25</v>
      </c>
      <c r="AM374">
        <v>54.52</v>
      </c>
      <c r="AN374">
        <v>67.89</v>
      </c>
      <c r="AO374">
        <v>143653</v>
      </c>
    </row>
    <row r="375" spans="1:41" x14ac:dyDescent="0.35">
      <c r="A375" t="s">
        <v>375</v>
      </c>
      <c r="B375">
        <v>8.91</v>
      </c>
      <c r="C375">
        <v>8.0299999999999994</v>
      </c>
      <c r="D375">
        <v>8.44</v>
      </c>
      <c r="E375">
        <v>12.75</v>
      </c>
      <c r="F375">
        <v>12.9</v>
      </c>
      <c r="G375">
        <v>12.8</v>
      </c>
      <c r="H375">
        <v>79.92</v>
      </c>
      <c r="I375">
        <v>69.569999999999993</v>
      </c>
      <c r="J375">
        <v>75.09</v>
      </c>
      <c r="K375">
        <v>5.55</v>
      </c>
      <c r="L375">
        <v>6.93</v>
      </c>
      <c r="M375">
        <v>6.05</v>
      </c>
      <c r="N375">
        <v>72.099999999999994</v>
      </c>
      <c r="O375">
        <v>77.400000000000006</v>
      </c>
      <c r="P375">
        <v>74.680000000000007</v>
      </c>
      <c r="Q375">
        <v>86.96</v>
      </c>
      <c r="R375">
        <v>51.96</v>
      </c>
      <c r="S375">
        <v>69.459999999999994</v>
      </c>
      <c r="T375">
        <v>347264</v>
      </c>
      <c r="V375" t="str">
        <v>Kepulauan Talaud</v>
      </c>
      <c r="W375">
        <v>10.09</v>
      </c>
      <c r="X375">
        <v>9.9700000000000006</v>
      </c>
      <c r="Y375">
        <v>9.9700000000000006</v>
      </c>
      <c r="Z375">
        <v>12.72</v>
      </c>
      <c r="AA375">
        <v>13.26</v>
      </c>
      <c r="AB375">
        <v>12.84</v>
      </c>
      <c r="AC375">
        <v>74.55</v>
      </c>
      <c r="AD375">
        <v>73.44</v>
      </c>
      <c r="AE375">
        <v>73.680000000000007</v>
      </c>
      <c r="AF375">
        <v>3.49</v>
      </c>
      <c r="AG375">
        <v>3.23</v>
      </c>
      <c r="AH375">
        <v>3.4</v>
      </c>
      <c r="AI375">
        <v>71.599999999999994</v>
      </c>
      <c r="AJ375">
        <v>76.349999999999994</v>
      </c>
      <c r="AK375">
        <v>73.92</v>
      </c>
      <c r="AL375">
        <v>80.98</v>
      </c>
      <c r="AM375">
        <v>50.82</v>
      </c>
      <c r="AN375">
        <v>65.900000000000006</v>
      </c>
      <c r="AO375">
        <v>99280</v>
      </c>
    </row>
    <row r="376" spans="1:41" x14ac:dyDescent="0.35">
      <c r="A376" t="s">
        <v>376</v>
      </c>
      <c r="B376">
        <v>9.01</v>
      </c>
      <c r="C376">
        <v>7.85</v>
      </c>
      <c r="D376">
        <v>8.34</v>
      </c>
      <c r="E376">
        <v>13.35</v>
      </c>
      <c r="F376">
        <v>13.55</v>
      </c>
      <c r="G376">
        <v>13.35</v>
      </c>
      <c r="H376">
        <v>78.88</v>
      </c>
      <c r="I376">
        <v>74.06</v>
      </c>
      <c r="J376">
        <v>74.78</v>
      </c>
      <c r="K376">
        <v>3.34</v>
      </c>
      <c r="L376">
        <v>1.98</v>
      </c>
      <c r="M376">
        <v>2.74</v>
      </c>
      <c r="N376">
        <v>71.75</v>
      </c>
      <c r="O376">
        <v>76.66</v>
      </c>
      <c r="P376">
        <v>74.14</v>
      </c>
      <c r="Q376">
        <v>83.98</v>
      </c>
      <c r="R376">
        <v>66.099999999999994</v>
      </c>
      <c r="S376">
        <v>75.040000000000006</v>
      </c>
      <c r="T376">
        <v>140093</v>
      </c>
      <c r="V376" t="str">
        <v>Minahasa Selatan</v>
      </c>
      <c r="W376">
        <v>9.51</v>
      </c>
      <c r="X376">
        <v>9.76</v>
      </c>
      <c r="Y376">
        <v>9.5299999999999994</v>
      </c>
      <c r="Z376">
        <v>12.75</v>
      </c>
      <c r="AA376">
        <v>13.42</v>
      </c>
      <c r="AB376">
        <v>13.03</v>
      </c>
      <c r="AC376">
        <v>79.63</v>
      </c>
      <c r="AD376">
        <v>72.22</v>
      </c>
      <c r="AE376">
        <v>76.47</v>
      </c>
      <c r="AF376">
        <v>4.0199999999999996</v>
      </c>
      <c r="AG376">
        <v>6.11</v>
      </c>
      <c r="AH376">
        <v>4.7699999999999996</v>
      </c>
      <c r="AI376">
        <v>72.14</v>
      </c>
      <c r="AJ376">
        <v>77.48</v>
      </c>
      <c r="AK376">
        <v>74.739999999999995</v>
      </c>
      <c r="AL376">
        <v>84.39</v>
      </c>
      <c r="AM376">
        <v>49.98</v>
      </c>
      <c r="AN376">
        <v>67.19</v>
      </c>
      <c r="AO376">
        <v>242488</v>
      </c>
    </row>
    <row r="377" spans="1:41" x14ac:dyDescent="0.35">
      <c r="A377" t="s">
        <v>377</v>
      </c>
      <c r="B377">
        <v>11.15</v>
      </c>
      <c r="C377">
        <v>10.08</v>
      </c>
      <c r="D377">
        <v>10.36</v>
      </c>
      <c r="E377">
        <v>13.98</v>
      </c>
      <c r="F377">
        <v>14.27</v>
      </c>
      <c r="G377">
        <v>14.02</v>
      </c>
      <c r="H377">
        <v>83.97</v>
      </c>
      <c r="I377">
        <v>80.180000000000007</v>
      </c>
      <c r="J377">
        <v>80.88</v>
      </c>
      <c r="K377">
        <v>6.92</v>
      </c>
      <c r="L377">
        <v>5.81</v>
      </c>
      <c r="M377">
        <v>6.49</v>
      </c>
      <c r="N377">
        <v>72.66</v>
      </c>
      <c r="O377">
        <v>78.239999999999995</v>
      </c>
      <c r="P377">
        <v>75.38</v>
      </c>
      <c r="Q377">
        <v>81.709999999999994</v>
      </c>
      <c r="R377">
        <v>51.64</v>
      </c>
      <c r="S377">
        <v>66.680000000000007</v>
      </c>
      <c r="T377">
        <v>670836</v>
      </c>
      <c r="V377" t="str">
        <v>Minahasa Utara</v>
      </c>
      <c r="W377">
        <v>10.39</v>
      </c>
      <c r="X377">
        <v>10.34</v>
      </c>
      <c r="Y377">
        <v>10.36</v>
      </c>
      <c r="Z377">
        <v>12.9</v>
      </c>
      <c r="AA377">
        <v>13.58</v>
      </c>
      <c r="AB377">
        <v>13.27</v>
      </c>
      <c r="AC377">
        <v>79.650000000000006</v>
      </c>
      <c r="AD377">
        <v>77.48</v>
      </c>
      <c r="AE377">
        <v>77.760000000000005</v>
      </c>
      <c r="AF377">
        <v>4.82</v>
      </c>
      <c r="AG377">
        <v>10.27</v>
      </c>
      <c r="AH377">
        <v>6.8</v>
      </c>
      <c r="AI377">
        <v>72.36</v>
      </c>
      <c r="AJ377">
        <v>77.81</v>
      </c>
      <c r="AK377">
        <v>75.02</v>
      </c>
      <c r="AL377">
        <v>84.92</v>
      </c>
      <c r="AM377">
        <v>49.55</v>
      </c>
      <c r="AN377">
        <v>67.239999999999995</v>
      </c>
      <c r="AO377">
        <v>235625</v>
      </c>
    </row>
    <row r="378" spans="1:41" x14ac:dyDescent="0.35">
      <c r="A378" t="s">
        <v>378</v>
      </c>
      <c r="B378">
        <v>11.45</v>
      </c>
      <c r="C378">
        <v>10.87</v>
      </c>
      <c r="D378">
        <v>11.07</v>
      </c>
      <c r="E378">
        <v>15.75</v>
      </c>
      <c r="F378">
        <v>14.87</v>
      </c>
      <c r="G378">
        <v>14.87</v>
      </c>
      <c r="H378">
        <v>86.82</v>
      </c>
      <c r="I378">
        <v>81.64</v>
      </c>
      <c r="J378">
        <v>82.2</v>
      </c>
      <c r="K378">
        <v>5.58</v>
      </c>
      <c r="L378">
        <v>3.52</v>
      </c>
      <c r="M378">
        <v>4.75</v>
      </c>
      <c r="N378">
        <v>72.709999999999994</v>
      </c>
      <c r="O378">
        <v>78.31</v>
      </c>
      <c r="P378">
        <v>75.44</v>
      </c>
      <c r="Q378">
        <v>83.92</v>
      </c>
      <c r="R378">
        <v>56.17</v>
      </c>
      <c r="S378">
        <v>70.05</v>
      </c>
      <c r="T378">
        <v>278795</v>
      </c>
      <c r="V378" t="str">
        <v>Bolaang Mongondow Utara</v>
      </c>
      <c r="W378">
        <v>8.34</v>
      </c>
      <c r="X378">
        <v>8.8800000000000008</v>
      </c>
      <c r="Y378">
        <v>8.6300000000000008</v>
      </c>
      <c r="Z378">
        <v>12.36</v>
      </c>
      <c r="AA378">
        <v>13.04</v>
      </c>
      <c r="AB378">
        <v>12.58</v>
      </c>
      <c r="AC378">
        <v>76.650000000000006</v>
      </c>
      <c r="AD378">
        <v>67.81</v>
      </c>
      <c r="AE378">
        <v>72.28</v>
      </c>
      <c r="AF378">
        <v>3.6</v>
      </c>
      <c r="AG378">
        <v>4.82</v>
      </c>
      <c r="AH378">
        <v>4.07</v>
      </c>
      <c r="AI378">
        <v>71.61</v>
      </c>
      <c r="AJ378">
        <v>76.37</v>
      </c>
      <c r="AK378">
        <v>73.930000000000007</v>
      </c>
      <c r="AL378">
        <v>87.14</v>
      </c>
      <c r="AM378">
        <v>56.62</v>
      </c>
      <c r="AN378">
        <v>71.88</v>
      </c>
      <c r="AO378">
        <v>88270</v>
      </c>
    </row>
    <row r="379" spans="1:41" x14ac:dyDescent="0.35">
      <c r="A379" t="s">
        <v>379</v>
      </c>
      <c r="B379">
        <v>10.41</v>
      </c>
      <c r="C379">
        <v>9.83</v>
      </c>
      <c r="D379">
        <v>10.1</v>
      </c>
      <c r="E379">
        <v>13.89</v>
      </c>
      <c r="F379">
        <v>14.23</v>
      </c>
      <c r="G379">
        <v>14.04</v>
      </c>
      <c r="H379">
        <v>83.74</v>
      </c>
      <c r="I379">
        <v>73.7</v>
      </c>
      <c r="J379">
        <v>79.39</v>
      </c>
      <c r="K379">
        <v>5.21</v>
      </c>
      <c r="L379">
        <v>5.13</v>
      </c>
      <c r="M379">
        <v>5.18</v>
      </c>
      <c r="N379">
        <v>73.44</v>
      </c>
      <c r="O379">
        <v>77.349999999999994</v>
      </c>
      <c r="P379">
        <v>75.28</v>
      </c>
      <c r="Q379">
        <v>83.14</v>
      </c>
      <c r="R379">
        <v>48.72</v>
      </c>
      <c r="S379">
        <v>65.930000000000007</v>
      </c>
      <c r="T379">
        <v>4267598</v>
      </c>
      <c r="V379" t="str">
        <v>Siau Tagulandang Biaro</v>
      </c>
      <c r="W379">
        <v>9.42</v>
      </c>
      <c r="X379">
        <v>9.7799999999999994</v>
      </c>
      <c r="Y379">
        <v>9.51</v>
      </c>
      <c r="Z379">
        <v>11.72</v>
      </c>
      <c r="AA379">
        <v>12.46</v>
      </c>
      <c r="AB379">
        <v>12.05</v>
      </c>
      <c r="AC379">
        <v>75.91</v>
      </c>
      <c r="AD379">
        <v>68.73</v>
      </c>
      <c r="AE379">
        <v>72.17</v>
      </c>
      <c r="AF379">
        <v>2.25</v>
      </c>
      <c r="AG379">
        <v>2.63</v>
      </c>
      <c r="AH379">
        <v>2.41</v>
      </c>
      <c r="AI379">
        <v>72.430000000000007</v>
      </c>
      <c r="AJ379">
        <v>77.91</v>
      </c>
      <c r="AK379">
        <v>75.099999999999994</v>
      </c>
      <c r="AL379">
        <v>81.11</v>
      </c>
      <c r="AM379">
        <v>62.19</v>
      </c>
      <c r="AN379">
        <v>71.650000000000006</v>
      </c>
      <c r="AO379">
        <v>74448</v>
      </c>
    </row>
    <row r="380" spans="1:41" x14ac:dyDescent="0.35">
      <c r="A380" t="s">
        <v>380</v>
      </c>
      <c r="B380">
        <v>9.3000000000000007</v>
      </c>
      <c r="C380">
        <v>8.77</v>
      </c>
      <c r="D380">
        <v>9.0399999999999991</v>
      </c>
      <c r="E380">
        <v>13.22</v>
      </c>
      <c r="F380">
        <v>13.63</v>
      </c>
      <c r="G380">
        <v>13.39</v>
      </c>
      <c r="H380">
        <v>80.36</v>
      </c>
      <c r="I380">
        <v>60.09</v>
      </c>
      <c r="J380">
        <v>75.849999999999994</v>
      </c>
      <c r="K380">
        <v>4.42</v>
      </c>
      <c r="L380">
        <v>5.07</v>
      </c>
      <c r="M380">
        <v>4.62</v>
      </c>
      <c r="N380">
        <v>71.91</v>
      </c>
      <c r="O380">
        <v>77</v>
      </c>
      <c r="P380">
        <v>74.39</v>
      </c>
      <c r="Q380">
        <v>85.11</v>
      </c>
      <c r="R380">
        <v>41.43</v>
      </c>
      <c r="S380">
        <v>63.27</v>
      </c>
      <c r="T380">
        <v>289748</v>
      </c>
      <c r="V380" t="str">
        <v>Minahasa Tenggara</v>
      </c>
      <c r="W380">
        <v>8.93</v>
      </c>
      <c r="X380">
        <v>9.31</v>
      </c>
      <c r="Y380">
        <v>9.16</v>
      </c>
      <c r="Z380">
        <v>12.45</v>
      </c>
      <c r="AA380">
        <v>13</v>
      </c>
      <c r="AB380">
        <v>12.61</v>
      </c>
      <c r="AC380">
        <v>77.400000000000006</v>
      </c>
      <c r="AD380">
        <v>72.25</v>
      </c>
      <c r="AE380">
        <v>74.28</v>
      </c>
      <c r="AF380">
        <v>3.15</v>
      </c>
      <c r="AG380">
        <v>3.81</v>
      </c>
      <c r="AH380">
        <v>3.38</v>
      </c>
      <c r="AI380">
        <v>71.47</v>
      </c>
      <c r="AJ380">
        <v>76.069999999999993</v>
      </c>
      <c r="AK380">
        <v>73.709999999999994</v>
      </c>
      <c r="AL380">
        <v>88.19</v>
      </c>
      <c r="AM380">
        <v>50.74</v>
      </c>
      <c r="AN380">
        <v>69.47</v>
      </c>
      <c r="AO380">
        <v>121523</v>
      </c>
    </row>
    <row r="381" spans="1:41" x14ac:dyDescent="0.35">
      <c r="A381" t="s">
        <v>381</v>
      </c>
      <c r="B381">
        <v>9.5399999999999991</v>
      </c>
      <c r="C381">
        <v>8.6300000000000008</v>
      </c>
      <c r="D381">
        <v>9.01</v>
      </c>
      <c r="E381">
        <v>13.4</v>
      </c>
      <c r="F381">
        <v>13.4</v>
      </c>
      <c r="G381">
        <v>13.4</v>
      </c>
      <c r="H381">
        <v>79.86</v>
      </c>
      <c r="I381">
        <v>69.45</v>
      </c>
      <c r="J381">
        <v>75.38</v>
      </c>
      <c r="K381">
        <v>5.28</v>
      </c>
      <c r="L381">
        <v>5.0999999999999996</v>
      </c>
      <c r="M381">
        <v>5.21</v>
      </c>
      <c r="N381">
        <v>71.81</v>
      </c>
      <c r="O381">
        <v>76.78</v>
      </c>
      <c r="P381">
        <v>74.23</v>
      </c>
      <c r="Q381">
        <v>85.16</v>
      </c>
      <c r="R381">
        <v>56.76</v>
      </c>
      <c r="S381">
        <v>70.959999999999994</v>
      </c>
      <c r="T381">
        <v>180305</v>
      </c>
      <c r="V381" t="str">
        <v>Bolaang Mongondow Selatan</v>
      </c>
      <c r="W381">
        <v>8.3000000000000007</v>
      </c>
      <c r="X381">
        <v>8.43</v>
      </c>
      <c r="Y381">
        <v>8.3800000000000008</v>
      </c>
      <c r="Z381">
        <v>12.25</v>
      </c>
      <c r="AA381">
        <v>12.48</v>
      </c>
      <c r="AB381">
        <v>12.35</v>
      </c>
      <c r="AC381">
        <v>75.13</v>
      </c>
      <c r="AD381">
        <v>61.82</v>
      </c>
      <c r="AE381">
        <v>70.540000000000006</v>
      </c>
      <c r="AF381">
        <v>1.42</v>
      </c>
      <c r="AG381">
        <v>5.85</v>
      </c>
      <c r="AH381">
        <v>2.91</v>
      </c>
      <c r="AI381">
        <v>69.209999999999994</v>
      </c>
      <c r="AJ381">
        <v>73.17</v>
      </c>
      <c r="AK381">
        <v>71.14</v>
      </c>
      <c r="AL381">
        <v>88.5</v>
      </c>
      <c r="AM381">
        <v>48.74</v>
      </c>
      <c r="AN381">
        <v>68.62</v>
      </c>
      <c r="AO381">
        <v>73702</v>
      </c>
    </row>
    <row r="382" spans="1:41" x14ac:dyDescent="0.35">
      <c r="A382" t="s">
        <v>382</v>
      </c>
      <c r="B382">
        <v>9.6300000000000008</v>
      </c>
      <c r="C382">
        <v>8.85</v>
      </c>
      <c r="D382">
        <v>9.2799999999999994</v>
      </c>
      <c r="E382">
        <v>13.71</v>
      </c>
      <c r="F382">
        <v>14.18</v>
      </c>
      <c r="G382">
        <v>13.85</v>
      </c>
      <c r="H382">
        <v>81.75</v>
      </c>
      <c r="I382">
        <v>67.37</v>
      </c>
      <c r="J382">
        <v>77.25</v>
      </c>
      <c r="K382">
        <v>4.59</v>
      </c>
      <c r="L382">
        <v>4</v>
      </c>
      <c r="M382">
        <v>4.4000000000000004</v>
      </c>
      <c r="N382">
        <v>72.08</v>
      </c>
      <c r="O382">
        <v>77.349999999999994</v>
      </c>
      <c r="P382">
        <v>74.650000000000006</v>
      </c>
      <c r="Q382">
        <v>84.69</v>
      </c>
      <c r="R382">
        <v>44.38</v>
      </c>
      <c r="S382">
        <v>64.540000000000006</v>
      </c>
      <c r="T382">
        <v>845621</v>
      </c>
      <c r="V382" t="str">
        <v>Bolaang Mongondow Timur</v>
      </c>
      <c r="W382">
        <v>8.2899999999999991</v>
      </c>
      <c r="X382">
        <v>8.42</v>
      </c>
      <c r="Y382">
        <v>8.3000000000000007</v>
      </c>
      <c r="Z382">
        <v>11.91</v>
      </c>
      <c r="AA382">
        <v>12.6</v>
      </c>
      <c r="AB382">
        <v>12.11</v>
      </c>
      <c r="AC382">
        <v>74.81</v>
      </c>
      <c r="AD382">
        <v>69.17</v>
      </c>
      <c r="AE382">
        <v>71.430000000000007</v>
      </c>
      <c r="AF382">
        <v>3.14</v>
      </c>
      <c r="AG382">
        <v>11.21</v>
      </c>
      <c r="AH382">
        <v>5.28</v>
      </c>
      <c r="AI382">
        <v>71.48</v>
      </c>
      <c r="AJ382">
        <v>76.09</v>
      </c>
      <c r="AK382">
        <v>73.73</v>
      </c>
      <c r="AL382">
        <v>84.94</v>
      </c>
      <c r="AM382">
        <v>33.57</v>
      </c>
      <c r="AN382">
        <v>59.26</v>
      </c>
      <c r="AO382">
        <v>93227</v>
      </c>
    </row>
    <row r="383" spans="1:41" x14ac:dyDescent="0.35">
      <c r="A383" t="s">
        <v>383</v>
      </c>
      <c r="B383">
        <v>9.93</v>
      </c>
      <c r="C383">
        <v>9.02</v>
      </c>
      <c r="D383">
        <v>9.48</v>
      </c>
      <c r="E383">
        <v>13.06</v>
      </c>
      <c r="F383">
        <v>13.34</v>
      </c>
      <c r="G383">
        <v>13.22</v>
      </c>
      <c r="H383">
        <v>81.16</v>
      </c>
      <c r="I383">
        <v>64.47</v>
      </c>
      <c r="J383">
        <v>76.48</v>
      </c>
      <c r="K383">
        <v>5.23</v>
      </c>
      <c r="L383">
        <v>8.26</v>
      </c>
      <c r="M383">
        <v>6.2</v>
      </c>
      <c r="N383">
        <v>72.239999999999995</v>
      </c>
      <c r="O383">
        <v>77.63</v>
      </c>
      <c r="P383">
        <v>74.87</v>
      </c>
      <c r="Q383">
        <v>83.53</v>
      </c>
      <c r="R383">
        <v>46.27</v>
      </c>
      <c r="S383">
        <v>64.900000000000006</v>
      </c>
      <c r="T383">
        <v>470396</v>
      </c>
      <c r="V383" t="str">
        <v>Kota Manado</v>
      </c>
      <c r="W383">
        <v>11.67</v>
      </c>
      <c r="X383">
        <v>11.52</v>
      </c>
      <c r="Y383">
        <v>11.52</v>
      </c>
      <c r="Z383">
        <v>14.14</v>
      </c>
      <c r="AA383">
        <v>14.86</v>
      </c>
      <c r="AB383">
        <v>14.21</v>
      </c>
      <c r="AC383">
        <v>84.05</v>
      </c>
      <c r="AD383">
        <v>82.37</v>
      </c>
      <c r="AE383">
        <v>82.4</v>
      </c>
      <c r="AF383">
        <v>7.38</v>
      </c>
      <c r="AG383">
        <v>10.29</v>
      </c>
      <c r="AH383">
        <v>8.51</v>
      </c>
      <c r="AI383">
        <v>72.83</v>
      </c>
      <c r="AJ383">
        <v>78.48</v>
      </c>
      <c r="AK383">
        <v>75.58</v>
      </c>
      <c r="AL383">
        <v>79.400000000000006</v>
      </c>
      <c r="AM383">
        <v>49.99</v>
      </c>
      <c r="AN383">
        <v>64.7</v>
      </c>
      <c r="AO383">
        <v>462084</v>
      </c>
    </row>
    <row r="384" spans="1:41" x14ac:dyDescent="0.35">
      <c r="A384" t="s">
        <v>384</v>
      </c>
      <c r="B384">
        <v>10.06</v>
      </c>
      <c r="C384">
        <v>9.32</v>
      </c>
      <c r="D384">
        <v>9.58</v>
      </c>
      <c r="E384">
        <v>13.29</v>
      </c>
      <c r="F384">
        <v>14.27</v>
      </c>
      <c r="G384">
        <v>13.44</v>
      </c>
      <c r="H384">
        <v>82.13</v>
      </c>
      <c r="I384">
        <v>73.23</v>
      </c>
      <c r="J384">
        <v>77.72</v>
      </c>
      <c r="K384">
        <v>4</v>
      </c>
      <c r="L384">
        <v>5.0999999999999996</v>
      </c>
      <c r="M384">
        <v>4.4000000000000004</v>
      </c>
      <c r="N384">
        <v>71.62</v>
      </c>
      <c r="O384">
        <v>76.39</v>
      </c>
      <c r="P384">
        <v>73.95</v>
      </c>
      <c r="Q384">
        <v>85.51</v>
      </c>
      <c r="R384">
        <v>56.66</v>
      </c>
      <c r="S384">
        <v>71.09</v>
      </c>
      <c r="T384">
        <v>265300</v>
      </c>
      <c r="V384" t="str">
        <v>Kota Bitung</v>
      </c>
      <c r="W384">
        <v>10.09</v>
      </c>
      <c r="X384">
        <v>10.02</v>
      </c>
      <c r="Y384">
        <v>10.050000000000001</v>
      </c>
      <c r="Z384">
        <v>12.42</v>
      </c>
      <c r="AA384">
        <v>13.25</v>
      </c>
      <c r="AB384">
        <v>12.88</v>
      </c>
      <c r="AC384">
        <v>79.849999999999994</v>
      </c>
      <c r="AD384">
        <v>76.37</v>
      </c>
      <c r="AE384">
        <v>77.569999999999993</v>
      </c>
      <c r="AF384">
        <v>7.35</v>
      </c>
      <c r="AG384">
        <v>7.33</v>
      </c>
      <c r="AH384">
        <v>7.35</v>
      </c>
      <c r="AI384">
        <v>72.150000000000006</v>
      </c>
      <c r="AJ384">
        <v>77.5</v>
      </c>
      <c r="AK384">
        <v>74.760000000000005</v>
      </c>
      <c r="AL384">
        <v>84.3</v>
      </c>
      <c r="AM384">
        <v>46.64</v>
      </c>
      <c r="AN384">
        <v>65.47</v>
      </c>
      <c r="AO384">
        <v>237434</v>
      </c>
    </row>
    <row r="385" spans="1:41" x14ac:dyDescent="0.35">
      <c r="A385" t="s">
        <v>385</v>
      </c>
      <c r="B385">
        <v>9</v>
      </c>
      <c r="C385">
        <v>8.43</v>
      </c>
      <c r="D385">
        <v>8.7200000000000006</v>
      </c>
      <c r="E385">
        <v>13</v>
      </c>
      <c r="F385">
        <v>12.9</v>
      </c>
      <c r="G385">
        <v>13</v>
      </c>
      <c r="H385">
        <v>79.7</v>
      </c>
      <c r="I385">
        <v>70.39</v>
      </c>
      <c r="J385">
        <v>75.819999999999993</v>
      </c>
      <c r="K385">
        <v>4.09</v>
      </c>
      <c r="L385">
        <v>4.54</v>
      </c>
      <c r="M385">
        <v>4.26</v>
      </c>
      <c r="N385">
        <v>72.05</v>
      </c>
      <c r="O385">
        <v>77.28</v>
      </c>
      <c r="P385">
        <v>74.599999999999994</v>
      </c>
      <c r="Q385">
        <v>85.57</v>
      </c>
      <c r="R385">
        <v>57.34</v>
      </c>
      <c r="S385">
        <v>71.459999999999994</v>
      </c>
      <c r="T385">
        <v>400031</v>
      </c>
      <c r="V385" t="str">
        <v>Kota Tomohon</v>
      </c>
      <c r="W385">
        <v>10.92</v>
      </c>
      <c r="X385">
        <v>11.22</v>
      </c>
      <c r="Y385">
        <v>11.04</v>
      </c>
      <c r="Z385">
        <v>13.76</v>
      </c>
      <c r="AA385">
        <v>14.89</v>
      </c>
      <c r="AB385">
        <v>14.39</v>
      </c>
      <c r="AC385">
        <v>80.56</v>
      </c>
      <c r="AD385">
        <v>81.17</v>
      </c>
      <c r="AE385">
        <v>80.650000000000006</v>
      </c>
      <c r="AF385">
        <v>7.25</v>
      </c>
      <c r="AG385">
        <v>8.69</v>
      </c>
      <c r="AH385">
        <v>7.8</v>
      </c>
      <c r="AI385">
        <v>73.16</v>
      </c>
      <c r="AJ385">
        <v>78.97</v>
      </c>
      <c r="AK385">
        <v>75.989999999999995</v>
      </c>
      <c r="AL385">
        <v>79.58</v>
      </c>
      <c r="AM385">
        <v>49.15</v>
      </c>
      <c r="AN385">
        <v>64.37</v>
      </c>
      <c r="AO385">
        <v>104822</v>
      </c>
    </row>
    <row r="386" spans="1:41" x14ac:dyDescent="0.35">
      <c r="A386" t="s">
        <v>386</v>
      </c>
      <c r="B386">
        <v>9.1999999999999993</v>
      </c>
      <c r="C386">
        <v>8.58</v>
      </c>
      <c r="D386">
        <v>8.7100000000000009</v>
      </c>
      <c r="E386">
        <v>13.27</v>
      </c>
      <c r="F386">
        <v>12.84</v>
      </c>
      <c r="G386">
        <v>12.85</v>
      </c>
      <c r="H386">
        <v>77.13</v>
      </c>
      <c r="I386">
        <v>65.06</v>
      </c>
      <c r="J386">
        <v>71.53</v>
      </c>
      <c r="K386">
        <v>1.19</v>
      </c>
      <c r="L386">
        <v>5.19</v>
      </c>
      <c r="M386">
        <v>2.84</v>
      </c>
      <c r="N386">
        <v>71.599999999999994</v>
      </c>
      <c r="O386">
        <v>76.34</v>
      </c>
      <c r="P386">
        <v>73.91</v>
      </c>
      <c r="Q386">
        <v>87.64</v>
      </c>
      <c r="R386">
        <v>66.25</v>
      </c>
      <c r="S386">
        <v>76.95</v>
      </c>
      <c r="T386">
        <v>34743</v>
      </c>
      <c r="V386" t="str">
        <v>Kota Kotamobagu</v>
      </c>
      <c r="W386">
        <v>10.37</v>
      </c>
      <c r="X386">
        <v>10.3</v>
      </c>
      <c r="Y386">
        <v>10.36</v>
      </c>
      <c r="Z386">
        <v>12.95</v>
      </c>
      <c r="AA386">
        <v>13.92</v>
      </c>
      <c r="AB386">
        <v>13.25</v>
      </c>
      <c r="AC386">
        <v>80.02</v>
      </c>
      <c r="AD386">
        <v>77.319999999999993</v>
      </c>
      <c r="AE386">
        <v>77.489999999999995</v>
      </c>
      <c r="AF386">
        <v>5.12</v>
      </c>
      <c r="AG386">
        <v>7.3</v>
      </c>
      <c r="AH386">
        <v>5.97</v>
      </c>
      <c r="AI386">
        <v>72.650000000000006</v>
      </c>
      <c r="AJ386">
        <v>78.22</v>
      </c>
      <c r="AK386">
        <v>75.37</v>
      </c>
      <c r="AL386">
        <v>86.45</v>
      </c>
      <c r="AM386">
        <v>57.59</v>
      </c>
      <c r="AN386">
        <v>72.02</v>
      </c>
      <c r="AO386">
        <v>130408</v>
      </c>
    </row>
    <row r="387" spans="1:41" x14ac:dyDescent="0.35">
      <c r="A387" t="s">
        <v>387</v>
      </c>
      <c r="B387">
        <v>11.49</v>
      </c>
      <c r="C387">
        <v>10.82</v>
      </c>
      <c r="D387">
        <v>11.04</v>
      </c>
      <c r="E387">
        <v>14.26</v>
      </c>
      <c r="F387">
        <v>14.63</v>
      </c>
      <c r="G387">
        <v>14.26</v>
      </c>
      <c r="H387">
        <v>87.84</v>
      </c>
      <c r="I387">
        <v>80.56</v>
      </c>
      <c r="J387">
        <v>83.23</v>
      </c>
      <c r="K387">
        <v>6.38</v>
      </c>
      <c r="L387">
        <v>4.93</v>
      </c>
      <c r="M387">
        <v>5.84</v>
      </c>
      <c r="N387">
        <v>74.13</v>
      </c>
      <c r="O387">
        <v>79.25</v>
      </c>
      <c r="P387">
        <v>76.239999999999995</v>
      </c>
      <c r="Q387">
        <v>81.81</v>
      </c>
      <c r="R387">
        <v>50.66</v>
      </c>
      <c r="S387">
        <v>66.239999999999995</v>
      </c>
      <c r="T387">
        <v>725442</v>
      </c>
      <c r="V387" t="str">
        <v>Banggai Kepulauan</v>
      </c>
      <c r="W387">
        <v>9.25</v>
      </c>
      <c r="X387">
        <v>8.76</v>
      </c>
      <c r="Y387">
        <v>8.8800000000000008</v>
      </c>
      <c r="Z387">
        <v>13.13</v>
      </c>
      <c r="AA387">
        <v>12.96</v>
      </c>
      <c r="AB387">
        <v>13.12</v>
      </c>
      <c r="AC387">
        <v>72.75</v>
      </c>
      <c r="AD387">
        <v>67.739999999999995</v>
      </c>
      <c r="AE387">
        <v>68.44</v>
      </c>
      <c r="AF387">
        <v>0.9</v>
      </c>
      <c r="AG387">
        <v>2.76</v>
      </c>
      <c r="AH387">
        <v>1.67</v>
      </c>
      <c r="AI387">
        <v>65.89</v>
      </c>
      <c r="AJ387">
        <v>69.87</v>
      </c>
      <c r="AK387">
        <v>67.83</v>
      </c>
      <c r="AL387">
        <v>84.88</v>
      </c>
      <c r="AM387">
        <v>61.61</v>
      </c>
      <c r="AN387">
        <v>73.25</v>
      </c>
      <c r="AO387">
        <v>125719</v>
      </c>
    </row>
    <row r="388" spans="1:41" x14ac:dyDescent="0.35">
      <c r="A388" t="s">
        <v>388</v>
      </c>
      <c r="B388">
        <v>11.56</v>
      </c>
      <c r="C388">
        <v>10.71</v>
      </c>
      <c r="D388">
        <v>11.04</v>
      </c>
      <c r="E388">
        <v>15.22</v>
      </c>
      <c r="F388">
        <v>15.77</v>
      </c>
      <c r="G388">
        <v>15.41</v>
      </c>
      <c r="H388">
        <v>87.64</v>
      </c>
      <c r="I388">
        <v>79.88</v>
      </c>
      <c r="J388">
        <v>83.53</v>
      </c>
      <c r="K388">
        <v>5.81</v>
      </c>
      <c r="L388">
        <v>4.42</v>
      </c>
      <c r="M388">
        <v>5.31</v>
      </c>
      <c r="N388">
        <v>73.78</v>
      </c>
      <c r="O388">
        <v>78.84</v>
      </c>
      <c r="P388">
        <v>75.89</v>
      </c>
      <c r="Q388">
        <v>79.989999999999995</v>
      </c>
      <c r="R388">
        <v>46.7</v>
      </c>
      <c r="S388">
        <v>63.35</v>
      </c>
      <c r="T388">
        <v>865306</v>
      </c>
      <c r="V388" t="str">
        <v>Banggai</v>
      </c>
      <c r="W388">
        <v>9.15</v>
      </c>
      <c r="X388">
        <v>8.81</v>
      </c>
      <c r="Y388">
        <v>8.94</v>
      </c>
      <c r="Z388">
        <v>13.12</v>
      </c>
      <c r="AA388">
        <v>13.63</v>
      </c>
      <c r="AB388">
        <v>13.43</v>
      </c>
      <c r="AC388">
        <v>77.349999999999994</v>
      </c>
      <c r="AD388">
        <v>70.98</v>
      </c>
      <c r="AE388">
        <v>73.44</v>
      </c>
      <c r="AF388">
        <v>3.37</v>
      </c>
      <c r="AG388">
        <v>2.62</v>
      </c>
      <c r="AH388">
        <v>3.07</v>
      </c>
      <c r="AI388">
        <v>70.56</v>
      </c>
      <c r="AJ388">
        <v>74.58</v>
      </c>
      <c r="AK388">
        <v>72.52</v>
      </c>
      <c r="AL388">
        <v>89.45</v>
      </c>
      <c r="AM388">
        <v>59.54</v>
      </c>
      <c r="AN388">
        <v>74.5</v>
      </c>
      <c r="AO388">
        <v>381405</v>
      </c>
    </row>
    <row r="389" spans="1:41" x14ac:dyDescent="0.35">
      <c r="A389" t="s">
        <v>389</v>
      </c>
      <c r="B389">
        <v>11.25</v>
      </c>
      <c r="C389">
        <v>11</v>
      </c>
      <c r="D389">
        <v>11.03</v>
      </c>
      <c r="E389">
        <v>13.81</v>
      </c>
      <c r="F389">
        <v>13.74</v>
      </c>
      <c r="G389">
        <v>13.8</v>
      </c>
      <c r="H389">
        <v>86.76</v>
      </c>
      <c r="I389">
        <v>77.64</v>
      </c>
      <c r="J389">
        <v>83.04</v>
      </c>
      <c r="K389">
        <v>5.94</v>
      </c>
      <c r="L389">
        <v>7.02</v>
      </c>
      <c r="M389">
        <v>6.36</v>
      </c>
      <c r="N389">
        <v>73.459999999999994</v>
      </c>
      <c r="O389">
        <v>78.209999999999994</v>
      </c>
      <c r="P389">
        <v>75.36</v>
      </c>
      <c r="Q389">
        <v>82.95</v>
      </c>
      <c r="R389">
        <v>54.37</v>
      </c>
      <c r="S389">
        <v>68.66</v>
      </c>
      <c r="T389">
        <v>190706</v>
      </c>
      <c r="V389" t="str">
        <v>Morowali</v>
      </c>
      <c r="W389">
        <v>9.76</v>
      </c>
      <c r="X389">
        <v>9.27</v>
      </c>
      <c r="Y389">
        <v>9.39</v>
      </c>
      <c r="Z389">
        <v>13.65</v>
      </c>
      <c r="AA389">
        <v>13.4</v>
      </c>
      <c r="AB389">
        <v>13.4</v>
      </c>
      <c r="AC389">
        <v>79.709999999999994</v>
      </c>
      <c r="AD389">
        <v>68.63</v>
      </c>
      <c r="AE389">
        <v>74.7</v>
      </c>
      <c r="AF389">
        <v>1.23</v>
      </c>
      <c r="AG389">
        <v>7.67</v>
      </c>
      <c r="AH389">
        <v>2.81</v>
      </c>
      <c r="AI389">
        <v>69.41</v>
      </c>
      <c r="AJ389">
        <v>73.38</v>
      </c>
      <c r="AK389">
        <v>71.34</v>
      </c>
      <c r="AL389">
        <v>88.29</v>
      </c>
      <c r="AM389">
        <v>36.950000000000003</v>
      </c>
      <c r="AN389">
        <v>62.62</v>
      </c>
      <c r="AO389">
        <v>176083</v>
      </c>
    </row>
    <row r="390" spans="1:41" x14ac:dyDescent="0.35">
      <c r="A390" t="s">
        <v>390</v>
      </c>
      <c r="B390">
        <v>9.8000000000000007</v>
      </c>
      <c r="C390">
        <v>9.3000000000000007</v>
      </c>
      <c r="D390">
        <v>9.44</v>
      </c>
      <c r="E390">
        <v>13.01</v>
      </c>
      <c r="F390">
        <v>13.74</v>
      </c>
      <c r="G390">
        <v>13.31</v>
      </c>
      <c r="H390">
        <v>77.77</v>
      </c>
      <c r="I390">
        <v>69.510000000000005</v>
      </c>
      <c r="J390">
        <v>74.040000000000006</v>
      </c>
      <c r="K390">
        <v>3.54</v>
      </c>
      <c r="L390">
        <v>4.41</v>
      </c>
      <c r="M390">
        <v>3.85</v>
      </c>
      <c r="N390">
        <v>71.45</v>
      </c>
      <c r="O390">
        <v>76.02</v>
      </c>
      <c r="P390">
        <v>73.680000000000007</v>
      </c>
      <c r="Q390">
        <v>84.95</v>
      </c>
      <c r="R390">
        <v>52.26</v>
      </c>
      <c r="S390">
        <v>68.61</v>
      </c>
      <c r="T390">
        <v>749367</v>
      </c>
      <c r="V390" t="str">
        <v>Poso</v>
      </c>
      <c r="W390">
        <v>9.91</v>
      </c>
      <c r="X390">
        <v>9.77</v>
      </c>
      <c r="Y390">
        <v>9.84</v>
      </c>
      <c r="Z390">
        <v>13.52</v>
      </c>
      <c r="AA390">
        <v>14.34</v>
      </c>
      <c r="AB390">
        <v>13.76</v>
      </c>
      <c r="AC390">
        <v>76.03</v>
      </c>
      <c r="AD390">
        <v>74.069999999999993</v>
      </c>
      <c r="AE390">
        <v>74.55</v>
      </c>
      <c r="AF390">
        <v>1.61</v>
      </c>
      <c r="AG390">
        <v>2.0099999999999998</v>
      </c>
      <c r="AH390">
        <v>1.76</v>
      </c>
      <c r="AI390">
        <v>71.23</v>
      </c>
      <c r="AJ390">
        <v>75.56</v>
      </c>
      <c r="AK390">
        <v>73.34</v>
      </c>
      <c r="AL390">
        <v>85.03</v>
      </c>
      <c r="AM390">
        <v>55.5</v>
      </c>
      <c r="AN390">
        <v>70.27</v>
      </c>
      <c r="AO390">
        <v>256435</v>
      </c>
    </row>
    <row r="391" spans="1:41" x14ac:dyDescent="0.35">
      <c r="A391" t="s">
        <v>391</v>
      </c>
      <c r="B391">
        <v>9.91</v>
      </c>
      <c r="C391">
        <v>9.0500000000000007</v>
      </c>
      <c r="D391">
        <v>9.64</v>
      </c>
      <c r="E391">
        <v>13.47</v>
      </c>
      <c r="F391">
        <v>13.88</v>
      </c>
      <c r="G391">
        <v>13.58</v>
      </c>
      <c r="H391">
        <v>79.75</v>
      </c>
      <c r="I391">
        <v>67.61</v>
      </c>
      <c r="J391">
        <v>75.209999999999994</v>
      </c>
      <c r="K391">
        <v>3.23</v>
      </c>
      <c r="L391">
        <v>3.72</v>
      </c>
      <c r="M391">
        <v>3.42</v>
      </c>
      <c r="N391">
        <v>72.02</v>
      </c>
      <c r="O391">
        <v>75.55</v>
      </c>
      <c r="P391">
        <v>73.33</v>
      </c>
      <c r="Q391">
        <v>87.63</v>
      </c>
      <c r="R391">
        <v>63.74</v>
      </c>
      <c r="S391">
        <v>75.69</v>
      </c>
      <c r="T391">
        <v>87492</v>
      </c>
      <c r="V391" t="str">
        <v>Donggala</v>
      </c>
      <c r="W391">
        <v>8.5299999999999994</v>
      </c>
      <c r="X391">
        <v>7.87</v>
      </c>
      <c r="Y391">
        <v>8.01</v>
      </c>
      <c r="Z391">
        <v>12.45</v>
      </c>
      <c r="AA391">
        <v>13.13</v>
      </c>
      <c r="AB391">
        <v>12.75</v>
      </c>
      <c r="AC391">
        <v>73.2</v>
      </c>
      <c r="AD391">
        <v>65.56</v>
      </c>
      <c r="AE391">
        <v>69.23</v>
      </c>
      <c r="AF391">
        <v>1.95</v>
      </c>
      <c r="AG391">
        <v>4.25</v>
      </c>
      <c r="AH391">
        <v>2.78</v>
      </c>
      <c r="AI391">
        <v>69.099999999999994</v>
      </c>
      <c r="AJ391">
        <v>73.06</v>
      </c>
      <c r="AK391">
        <v>71.03</v>
      </c>
      <c r="AL391">
        <v>86.24</v>
      </c>
      <c r="AM391">
        <v>52.51</v>
      </c>
      <c r="AN391">
        <v>69.38</v>
      </c>
      <c r="AO391">
        <v>313620</v>
      </c>
    </row>
    <row r="392" spans="1:41" x14ac:dyDescent="0.35">
      <c r="A392" t="s">
        <v>392</v>
      </c>
      <c r="B392">
        <v>9.81</v>
      </c>
      <c r="C392">
        <v>9.2200000000000006</v>
      </c>
      <c r="D392">
        <v>9.42</v>
      </c>
      <c r="E392">
        <v>13.33</v>
      </c>
      <c r="F392">
        <v>13.26</v>
      </c>
      <c r="G392">
        <v>13.26</v>
      </c>
      <c r="H392">
        <v>79.599999999999994</v>
      </c>
      <c r="I392">
        <v>69.78</v>
      </c>
      <c r="J392">
        <v>74.53</v>
      </c>
      <c r="K392">
        <v>3.97</v>
      </c>
      <c r="L392">
        <v>4.43</v>
      </c>
      <c r="M392">
        <v>4.1399999999999997</v>
      </c>
      <c r="N392">
        <v>72.38</v>
      </c>
      <c r="O392">
        <v>76.44</v>
      </c>
      <c r="P392">
        <v>73.989999999999995</v>
      </c>
      <c r="Q392">
        <v>86.78</v>
      </c>
      <c r="R392">
        <v>57.08</v>
      </c>
      <c r="S392">
        <v>71.930000000000007</v>
      </c>
      <c r="T392">
        <v>162405</v>
      </c>
      <c r="V392" t="str">
        <v>Toli-Toli</v>
      </c>
      <c r="W392">
        <v>9.06</v>
      </c>
      <c r="X392">
        <v>8.8000000000000007</v>
      </c>
      <c r="Y392">
        <v>9</v>
      </c>
      <c r="Z392">
        <v>13.16</v>
      </c>
      <c r="AA392">
        <v>13.56</v>
      </c>
      <c r="AB392">
        <v>13.18</v>
      </c>
      <c r="AC392">
        <v>74.900000000000006</v>
      </c>
      <c r="AD392">
        <v>68.11</v>
      </c>
      <c r="AE392">
        <v>71.09</v>
      </c>
      <c r="AF392">
        <v>2.71</v>
      </c>
      <c r="AG392">
        <v>3.76</v>
      </c>
      <c r="AH392">
        <v>3.09</v>
      </c>
      <c r="AI392">
        <v>69.680000000000007</v>
      </c>
      <c r="AJ392">
        <v>73.66</v>
      </c>
      <c r="AK392">
        <v>71.62</v>
      </c>
      <c r="AL392">
        <v>85.67</v>
      </c>
      <c r="AM392">
        <v>51.65</v>
      </c>
      <c r="AN392">
        <v>68.66</v>
      </c>
      <c r="AO392">
        <v>236021</v>
      </c>
    </row>
    <row r="393" spans="1:41" x14ac:dyDescent="0.35">
      <c r="A393" t="s">
        <v>393</v>
      </c>
      <c r="B393">
        <v>9.9600000000000009</v>
      </c>
      <c r="C393">
        <v>8.9</v>
      </c>
      <c r="D393">
        <v>9.41</v>
      </c>
      <c r="E393">
        <v>12.85</v>
      </c>
      <c r="F393">
        <v>12.75</v>
      </c>
      <c r="G393">
        <v>12.85</v>
      </c>
      <c r="H393">
        <v>76.540000000000006</v>
      </c>
      <c r="I393">
        <v>62.67</v>
      </c>
      <c r="J393">
        <v>71.86</v>
      </c>
      <c r="K393">
        <v>3.84</v>
      </c>
      <c r="L393">
        <v>3.41</v>
      </c>
      <c r="M393">
        <v>3.68</v>
      </c>
      <c r="N393">
        <v>71.42</v>
      </c>
      <c r="O393">
        <v>75.98</v>
      </c>
      <c r="P393">
        <v>73.64</v>
      </c>
      <c r="Q393">
        <v>85.82</v>
      </c>
      <c r="R393">
        <v>59.71</v>
      </c>
      <c r="S393">
        <v>72.77</v>
      </c>
      <c r="T393">
        <v>28824</v>
      </c>
      <c r="V393" t="str">
        <v>Buol</v>
      </c>
      <c r="W393">
        <v>9.25</v>
      </c>
      <c r="X393">
        <v>9.2100000000000009</v>
      </c>
      <c r="Y393">
        <v>9.2100000000000009</v>
      </c>
      <c r="Z393">
        <v>13.17</v>
      </c>
      <c r="AA393">
        <v>14.51</v>
      </c>
      <c r="AB393">
        <v>13.19</v>
      </c>
      <c r="AC393">
        <v>75.53</v>
      </c>
      <c r="AD393">
        <v>68.62</v>
      </c>
      <c r="AE393">
        <v>71.47</v>
      </c>
      <c r="AF393">
        <v>3.09</v>
      </c>
      <c r="AG393">
        <v>3.13</v>
      </c>
      <c r="AH393">
        <v>3.11</v>
      </c>
      <c r="AI393">
        <v>69.680000000000007</v>
      </c>
      <c r="AJ393">
        <v>73.66</v>
      </c>
      <c r="AK393">
        <v>71.62</v>
      </c>
      <c r="AL393">
        <v>87.34</v>
      </c>
      <c r="AM393">
        <v>56.55</v>
      </c>
      <c r="AN393">
        <v>71.95</v>
      </c>
      <c r="AO393">
        <v>154156</v>
      </c>
    </row>
    <row r="394" spans="1:41" x14ac:dyDescent="0.35">
      <c r="A394" t="s">
        <v>394</v>
      </c>
      <c r="B394">
        <v>8.64</v>
      </c>
      <c r="C394">
        <v>8.34</v>
      </c>
      <c r="D394">
        <v>8.4</v>
      </c>
      <c r="E394">
        <v>12.91</v>
      </c>
      <c r="F394">
        <v>12.76</v>
      </c>
      <c r="G394">
        <v>12.81</v>
      </c>
      <c r="H394">
        <v>74.17</v>
      </c>
      <c r="I394">
        <v>64.17</v>
      </c>
      <c r="J394">
        <v>69.87</v>
      </c>
      <c r="K394">
        <v>2.17</v>
      </c>
      <c r="L394">
        <v>3.43</v>
      </c>
      <c r="M394">
        <v>2.61</v>
      </c>
      <c r="N394">
        <v>71.14</v>
      </c>
      <c r="O394">
        <v>75.38</v>
      </c>
      <c r="P394">
        <v>73.209999999999994</v>
      </c>
      <c r="Q394">
        <v>87.93</v>
      </c>
      <c r="R394">
        <v>54.32</v>
      </c>
      <c r="S394">
        <v>71.13</v>
      </c>
      <c r="T394">
        <v>213976</v>
      </c>
      <c r="V394" t="str">
        <v>Parigi Moutong</v>
      </c>
      <c r="W394">
        <v>8.31</v>
      </c>
      <c r="X394">
        <v>8.0399999999999991</v>
      </c>
      <c r="Y394">
        <v>8.07</v>
      </c>
      <c r="Z394">
        <v>12.09</v>
      </c>
      <c r="AA394">
        <v>13.04</v>
      </c>
      <c r="AB394">
        <v>12.53</v>
      </c>
      <c r="AC394">
        <v>72.67</v>
      </c>
      <c r="AD394">
        <v>67.599999999999994</v>
      </c>
      <c r="AE394">
        <v>69.989999999999995</v>
      </c>
      <c r="AF394">
        <v>2.15</v>
      </c>
      <c r="AG394">
        <v>2.02</v>
      </c>
      <c r="AH394">
        <v>2.1</v>
      </c>
      <c r="AI394">
        <v>67.150000000000006</v>
      </c>
      <c r="AJ394">
        <v>71.12</v>
      </c>
      <c r="AK394">
        <v>69.09</v>
      </c>
      <c r="AL394">
        <v>87.17</v>
      </c>
      <c r="AM394">
        <v>65.44</v>
      </c>
      <c r="AN394">
        <v>76.31</v>
      </c>
      <c r="AO394">
        <v>464772</v>
      </c>
    </row>
    <row r="395" spans="1:41" x14ac:dyDescent="0.35">
      <c r="A395" t="s">
        <v>395</v>
      </c>
      <c r="B395">
        <v>10.68</v>
      </c>
      <c r="C395">
        <v>10.39</v>
      </c>
      <c r="D395">
        <v>10.46</v>
      </c>
      <c r="E395">
        <v>13.58</v>
      </c>
      <c r="F395">
        <v>14.78</v>
      </c>
      <c r="G395">
        <v>14.23</v>
      </c>
      <c r="H395">
        <v>82.3</v>
      </c>
      <c r="I395">
        <v>77.63</v>
      </c>
      <c r="J395">
        <v>78.62</v>
      </c>
      <c r="K395">
        <v>4.63</v>
      </c>
      <c r="L395">
        <v>5.9</v>
      </c>
      <c r="M395">
        <v>5.0599999999999996</v>
      </c>
      <c r="N395">
        <v>73.67</v>
      </c>
      <c r="O395">
        <v>77.010000000000005</v>
      </c>
      <c r="P395">
        <v>74.400000000000006</v>
      </c>
      <c r="Q395">
        <v>80.06</v>
      </c>
      <c r="R395">
        <v>42.97</v>
      </c>
      <c r="S395">
        <v>61.52</v>
      </c>
      <c r="T395">
        <v>256670</v>
      </c>
      <c r="V395" t="str">
        <v>Tojo Una-Una</v>
      </c>
      <c r="W395">
        <v>8.58</v>
      </c>
      <c r="X395">
        <v>8.75</v>
      </c>
      <c r="Y395">
        <v>8.58</v>
      </c>
      <c r="Z395">
        <v>12.6</v>
      </c>
      <c r="AA395">
        <v>13.1</v>
      </c>
      <c r="AB395">
        <v>12.62</v>
      </c>
      <c r="AC395">
        <v>73.989999999999995</v>
      </c>
      <c r="AD395">
        <v>68.319999999999993</v>
      </c>
      <c r="AE395">
        <v>69.760000000000005</v>
      </c>
      <c r="AF395">
        <v>2.77</v>
      </c>
      <c r="AG395">
        <v>2.67</v>
      </c>
      <c r="AH395">
        <v>2.73</v>
      </c>
      <c r="AI395">
        <v>69.37</v>
      </c>
      <c r="AJ395">
        <v>73.33</v>
      </c>
      <c r="AK395">
        <v>71.3</v>
      </c>
      <c r="AL395">
        <v>86.97</v>
      </c>
      <c r="AM395">
        <v>62.19</v>
      </c>
      <c r="AN395">
        <v>74.58</v>
      </c>
      <c r="AO395">
        <v>172601</v>
      </c>
    </row>
    <row r="396" spans="1:41" x14ac:dyDescent="0.35">
      <c r="A396" t="s">
        <v>396</v>
      </c>
      <c r="B396">
        <v>9.7899999999999991</v>
      </c>
      <c r="C396">
        <v>10.039999999999999</v>
      </c>
      <c r="D396">
        <v>9.91</v>
      </c>
      <c r="E396">
        <v>12.81</v>
      </c>
      <c r="F396">
        <v>13.53</v>
      </c>
      <c r="G396">
        <v>12.98</v>
      </c>
      <c r="H396">
        <v>79.150000000000006</v>
      </c>
      <c r="I396">
        <v>76.13</v>
      </c>
      <c r="J396">
        <v>76.319999999999993</v>
      </c>
      <c r="K396">
        <v>5.23</v>
      </c>
      <c r="L396">
        <v>7.31</v>
      </c>
      <c r="M396">
        <v>5.99</v>
      </c>
      <c r="N396">
        <v>71.94</v>
      </c>
      <c r="O396">
        <v>77.06</v>
      </c>
      <c r="P396">
        <v>74.44</v>
      </c>
      <c r="Q396">
        <v>83.26</v>
      </c>
      <c r="R396">
        <v>50.51</v>
      </c>
      <c r="S396">
        <v>66.89</v>
      </c>
      <c r="T396">
        <v>2721438</v>
      </c>
      <c r="V396" t="str">
        <v>Sigi</v>
      </c>
      <c r="W396">
        <v>9.0500000000000007</v>
      </c>
      <c r="X396">
        <v>9.1</v>
      </c>
      <c r="Y396">
        <v>9.0500000000000007</v>
      </c>
      <c r="Z396">
        <v>13.04</v>
      </c>
      <c r="AA396">
        <v>13.49</v>
      </c>
      <c r="AB396">
        <v>13.3</v>
      </c>
      <c r="AC396">
        <v>74.66</v>
      </c>
      <c r="AD396">
        <v>70.72</v>
      </c>
      <c r="AE396">
        <v>71.680000000000007</v>
      </c>
      <c r="AF396">
        <v>1.9</v>
      </c>
      <c r="AG396">
        <v>2.88</v>
      </c>
      <c r="AH396">
        <v>2.2999999999999998</v>
      </c>
      <c r="AI396">
        <v>69.69</v>
      </c>
      <c r="AJ396">
        <v>73.67</v>
      </c>
      <c r="AK396">
        <v>71.63</v>
      </c>
      <c r="AL396">
        <v>87.92</v>
      </c>
      <c r="AM396">
        <v>63.64</v>
      </c>
      <c r="AN396">
        <v>75.78</v>
      </c>
      <c r="AO396">
        <v>273243</v>
      </c>
    </row>
    <row r="397" spans="1:41" x14ac:dyDescent="0.35">
      <c r="A397" t="s">
        <v>397</v>
      </c>
      <c r="B397">
        <v>8.41</v>
      </c>
      <c r="C397">
        <v>8.51</v>
      </c>
      <c r="D397">
        <v>8.49</v>
      </c>
      <c r="E397">
        <v>11.66</v>
      </c>
      <c r="F397">
        <v>12.52</v>
      </c>
      <c r="G397">
        <v>11.82</v>
      </c>
      <c r="H397">
        <v>75.38</v>
      </c>
      <c r="I397">
        <v>67.28</v>
      </c>
      <c r="J397">
        <v>71.83</v>
      </c>
      <c r="K397">
        <v>4.7</v>
      </c>
      <c r="L397">
        <v>5.46</v>
      </c>
      <c r="M397">
        <v>4.97</v>
      </c>
      <c r="N397">
        <v>70.52</v>
      </c>
      <c r="O397">
        <v>74.53</v>
      </c>
      <c r="P397">
        <v>72.48</v>
      </c>
      <c r="Q397">
        <v>87.6</v>
      </c>
      <c r="R397">
        <v>54.19</v>
      </c>
      <c r="S397">
        <v>70.900000000000006</v>
      </c>
      <c r="T397">
        <v>259359</v>
      </c>
      <c r="V397" t="str">
        <v>Banggai Laut</v>
      </c>
      <c r="W397">
        <v>9.18</v>
      </c>
      <c r="X397">
        <v>8.36</v>
      </c>
      <c r="Y397">
        <v>8.66</v>
      </c>
      <c r="Z397">
        <v>13.08</v>
      </c>
      <c r="AA397">
        <v>13.19</v>
      </c>
      <c r="AB397">
        <v>13.17</v>
      </c>
      <c r="AC397">
        <v>74.540000000000006</v>
      </c>
      <c r="AD397">
        <v>69.400000000000006</v>
      </c>
      <c r="AE397">
        <v>70.459999999999994</v>
      </c>
      <c r="AF397">
        <v>3.21</v>
      </c>
      <c r="AG397">
        <v>4.4000000000000004</v>
      </c>
      <c r="AH397">
        <v>3.69</v>
      </c>
      <c r="AI397">
        <v>69.510000000000005</v>
      </c>
      <c r="AJ397">
        <v>73.489999999999995</v>
      </c>
      <c r="AK397">
        <v>71.45</v>
      </c>
      <c r="AL397">
        <v>81.64</v>
      </c>
      <c r="AM397">
        <v>55.34</v>
      </c>
      <c r="AN397">
        <v>68.489999999999995</v>
      </c>
      <c r="AO397">
        <v>74937</v>
      </c>
    </row>
    <row r="398" spans="1:41" x14ac:dyDescent="0.35">
      <c r="A398" t="s">
        <v>398</v>
      </c>
      <c r="B398">
        <v>10.07</v>
      </c>
      <c r="C398">
        <v>10.46</v>
      </c>
      <c r="D398">
        <v>10.25</v>
      </c>
      <c r="E398">
        <v>14.19</v>
      </c>
      <c r="F398">
        <v>14.56</v>
      </c>
      <c r="G398">
        <v>14.2</v>
      </c>
      <c r="H398">
        <v>81.459999999999994</v>
      </c>
      <c r="I398">
        <v>79.73</v>
      </c>
      <c r="J398">
        <v>79.73</v>
      </c>
      <c r="K398">
        <v>6.89</v>
      </c>
      <c r="L398">
        <v>9.17</v>
      </c>
      <c r="M398">
        <v>7.74</v>
      </c>
      <c r="N398">
        <v>72.84</v>
      </c>
      <c r="O398">
        <v>78.489999999999995</v>
      </c>
      <c r="P398">
        <v>75.599999999999994</v>
      </c>
      <c r="Q398">
        <v>80.13</v>
      </c>
      <c r="R398">
        <v>48.9</v>
      </c>
      <c r="S398">
        <v>64.52</v>
      </c>
      <c r="T398">
        <v>355115</v>
      </c>
      <c r="V398" t="str">
        <v>Morowali Utara</v>
      </c>
      <c r="W398">
        <v>9.39</v>
      </c>
      <c r="X398">
        <v>9.09</v>
      </c>
      <c r="Y398">
        <v>9.14</v>
      </c>
      <c r="Z398">
        <v>12.33</v>
      </c>
      <c r="AA398">
        <v>13</v>
      </c>
      <c r="AB398">
        <v>12.6</v>
      </c>
      <c r="AC398">
        <v>74.11</v>
      </c>
      <c r="AD398">
        <v>72.05</v>
      </c>
      <c r="AE398">
        <v>72.16</v>
      </c>
      <c r="AF398">
        <v>2.0299999999999998</v>
      </c>
      <c r="AG398">
        <v>3.01</v>
      </c>
      <c r="AH398">
        <v>2.38</v>
      </c>
      <c r="AI398">
        <v>70.64</v>
      </c>
      <c r="AJ398">
        <v>74.67</v>
      </c>
      <c r="AK398">
        <v>72.61</v>
      </c>
      <c r="AL398">
        <v>86.28</v>
      </c>
      <c r="AM398">
        <v>52.88</v>
      </c>
      <c r="AN398">
        <v>69.58</v>
      </c>
      <c r="AO398">
        <v>129638</v>
      </c>
    </row>
    <row r="399" spans="1:41" x14ac:dyDescent="0.35">
      <c r="A399" t="s">
        <v>399</v>
      </c>
      <c r="B399">
        <v>8.4499999999999993</v>
      </c>
      <c r="C399">
        <v>9</v>
      </c>
      <c r="D399">
        <v>8.6999999999999993</v>
      </c>
      <c r="E399">
        <v>12.45</v>
      </c>
      <c r="F399">
        <v>13.4</v>
      </c>
      <c r="G399">
        <v>12.8</v>
      </c>
      <c r="H399">
        <v>76.87</v>
      </c>
      <c r="I399">
        <v>74.38</v>
      </c>
      <c r="J399">
        <v>75.180000000000007</v>
      </c>
      <c r="K399">
        <v>2.68</v>
      </c>
      <c r="L399">
        <v>2.57</v>
      </c>
      <c r="M399">
        <v>2.64</v>
      </c>
      <c r="N399">
        <v>72.36</v>
      </c>
      <c r="O399">
        <v>77.81</v>
      </c>
      <c r="P399">
        <v>75.02</v>
      </c>
      <c r="Q399">
        <v>81.25</v>
      </c>
      <c r="R399">
        <v>54.52</v>
      </c>
      <c r="S399">
        <v>67.89</v>
      </c>
      <c r="T399">
        <v>143653</v>
      </c>
      <c r="V399" t="str">
        <v>Kota Palu</v>
      </c>
      <c r="W399">
        <v>12.12</v>
      </c>
      <c r="X399">
        <v>11.4</v>
      </c>
      <c r="Y399">
        <v>11.76</v>
      </c>
      <c r="Z399">
        <v>16.100000000000001</v>
      </c>
      <c r="AA399">
        <v>16.98</v>
      </c>
      <c r="AB399">
        <v>16.53</v>
      </c>
      <c r="AC399">
        <v>85.07</v>
      </c>
      <c r="AD399">
        <v>84.38</v>
      </c>
      <c r="AE399">
        <v>84.53</v>
      </c>
      <c r="AF399">
        <v>6.05</v>
      </c>
      <c r="AG399">
        <v>5</v>
      </c>
      <c r="AH399">
        <v>5.59</v>
      </c>
      <c r="AI399">
        <v>71.819999999999993</v>
      </c>
      <c r="AJ399">
        <v>76.8</v>
      </c>
      <c r="AK399">
        <v>74.25</v>
      </c>
      <c r="AL399">
        <v>79.56</v>
      </c>
      <c r="AM399">
        <v>61.63</v>
      </c>
      <c r="AN399">
        <v>70.599999999999994</v>
      </c>
      <c r="AO399">
        <v>397472</v>
      </c>
    </row>
    <row r="400" spans="1:41" x14ac:dyDescent="0.35">
      <c r="A400" t="s">
        <v>400</v>
      </c>
      <c r="B400">
        <v>10.09</v>
      </c>
      <c r="C400">
        <v>9.9700000000000006</v>
      </c>
      <c r="D400">
        <v>9.9700000000000006</v>
      </c>
      <c r="E400">
        <v>12.72</v>
      </c>
      <c r="F400">
        <v>13.26</v>
      </c>
      <c r="G400">
        <v>12.84</v>
      </c>
      <c r="H400">
        <v>74.55</v>
      </c>
      <c r="I400">
        <v>73.44</v>
      </c>
      <c r="J400">
        <v>73.680000000000007</v>
      </c>
      <c r="K400">
        <v>3.49</v>
      </c>
      <c r="L400">
        <v>3.23</v>
      </c>
      <c r="M400">
        <v>3.4</v>
      </c>
      <c r="N400">
        <v>71.599999999999994</v>
      </c>
      <c r="O400">
        <v>76.349999999999994</v>
      </c>
      <c r="P400">
        <v>73.92</v>
      </c>
      <c r="Q400">
        <v>80.98</v>
      </c>
      <c r="R400">
        <v>50.82</v>
      </c>
      <c r="S400">
        <v>65.900000000000006</v>
      </c>
      <c r="T400">
        <v>99280</v>
      </c>
      <c r="V400" t="str">
        <v>Kepulauan Selayar</v>
      </c>
      <c r="W400">
        <v>8.85</v>
      </c>
      <c r="X400">
        <v>8.6300000000000008</v>
      </c>
      <c r="Y400">
        <v>8.64</v>
      </c>
      <c r="Z400">
        <v>12.64</v>
      </c>
      <c r="AA400">
        <v>13.89</v>
      </c>
      <c r="AB400">
        <v>12.96</v>
      </c>
      <c r="AC400">
        <v>77.239999999999995</v>
      </c>
      <c r="AD400">
        <v>72.209999999999994</v>
      </c>
      <c r="AE400">
        <v>72.78</v>
      </c>
      <c r="AF400">
        <v>2.76</v>
      </c>
      <c r="AG400">
        <v>2.08</v>
      </c>
      <c r="AH400">
        <v>2.48</v>
      </c>
      <c r="AI400">
        <v>71.52</v>
      </c>
      <c r="AJ400">
        <v>76.180000000000007</v>
      </c>
      <c r="AK400">
        <v>73.790000000000006</v>
      </c>
      <c r="AL400">
        <v>81.95</v>
      </c>
      <c r="AM400">
        <v>53.73</v>
      </c>
      <c r="AN400">
        <v>67.84</v>
      </c>
      <c r="AO400">
        <v>144232</v>
      </c>
    </row>
    <row r="401" spans="1:41" x14ac:dyDescent="0.35">
      <c r="A401" t="s">
        <v>401</v>
      </c>
      <c r="B401">
        <v>9.51</v>
      </c>
      <c r="C401">
        <v>9.76</v>
      </c>
      <c r="D401">
        <v>9.5299999999999994</v>
      </c>
      <c r="E401">
        <v>12.75</v>
      </c>
      <c r="F401">
        <v>13.42</v>
      </c>
      <c r="G401">
        <v>13.03</v>
      </c>
      <c r="H401">
        <v>79.63</v>
      </c>
      <c r="I401">
        <v>72.22</v>
      </c>
      <c r="J401">
        <v>76.47</v>
      </c>
      <c r="K401">
        <v>4.0199999999999996</v>
      </c>
      <c r="L401">
        <v>6.11</v>
      </c>
      <c r="M401">
        <v>4.7699999999999996</v>
      </c>
      <c r="N401">
        <v>72.14</v>
      </c>
      <c r="O401">
        <v>77.48</v>
      </c>
      <c r="P401">
        <v>74.739999999999995</v>
      </c>
      <c r="Q401">
        <v>84.39</v>
      </c>
      <c r="R401">
        <v>49.98</v>
      </c>
      <c r="S401">
        <v>67.19</v>
      </c>
      <c r="T401">
        <v>242488</v>
      </c>
      <c r="V401" t="str">
        <v>Bulukumba</v>
      </c>
      <c r="W401">
        <v>8.76</v>
      </c>
      <c r="X401">
        <v>8.61</v>
      </c>
      <c r="Y401">
        <v>8.66</v>
      </c>
      <c r="Z401">
        <v>13.23</v>
      </c>
      <c r="AA401">
        <v>13.64</v>
      </c>
      <c r="AB401">
        <v>13.46</v>
      </c>
      <c r="AC401">
        <v>77.59</v>
      </c>
      <c r="AD401">
        <v>75.180000000000007</v>
      </c>
      <c r="AE401">
        <v>75.260000000000005</v>
      </c>
      <c r="AF401">
        <v>2.75</v>
      </c>
      <c r="AG401">
        <v>1.32</v>
      </c>
      <c r="AH401">
        <v>2.12</v>
      </c>
      <c r="AI401">
        <v>71.94</v>
      </c>
      <c r="AJ401">
        <v>77.05</v>
      </c>
      <c r="AK401">
        <v>74.430000000000007</v>
      </c>
      <c r="AL401">
        <v>87.28</v>
      </c>
      <c r="AM401">
        <v>63.86</v>
      </c>
      <c r="AN401">
        <v>75.569999999999993</v>
      </c>
      <c r="AO401">
        <v>458997</v>
      </c>
    </row>
    <row r="402" spans="1:41" x14ac:dyDescent="0.35">
      <c r="A402" t="s">
        <v>402</v>
      </c>
      <c r="B402">
        <v>10.39</v>
      </c>
      <c r="C402">
        <v>10.34</v>
      </c>
      <c r="D402">
        <v>10.36</v>
      </c>
      <c r="E402">
        <v>12.9</v>
      </c>
      <c r="F402">
        <v>13.58</v>
      </c>
      <c r="G402">
        <v>13.27</v>
      </c>
      <c r="H402">
        <v>79.650000000000006</v>
      </c>
      <c r="I402">
        <v>77.48</v>
      </c>
      <c r="J402">
        <v>77.760000000000005</v>
      </c>
      <c r="K402">
        <v>4.82</v>
      </c>
      <c r="L402">
        <v>10.27</v>
      </c>
      <c r="M402">
        <v>6.8</v>
      </c>
      <c r="N402">
        <v>72.36</v>
      </c>
      <c r="O402">
        <v>77.81</v>
      </c>
      <c r="P402">
        <v>75.02</v>
      </c>
      <c r="Q402">
        <v>84.92</v>
      </c>
      <c r="R402">
        <v>49.55</v>
      </c>
      <c r="S402">
        <v>67.239999999999995</v>
      </c>
      <c r="T402">
        <v>235625</v>
      </c>
      <c r="V402" t="str">
        <v>Bantaeng</v>
      </c>
      <c r="W402">
        <v>7.66</v>
      </c>
      <c r="X402">
        <v>7.43</v>
      </c>
      <c r="Y402">
        <v>7.43</v>
      </c>
      <c r="Z402">
        <v>12.87</v>
      </c>
      <c r="AA402">
        <v>12.93</v>
      </c>
      <c r="AB402">
        <v>12.92</v>
      </c>
      <c r="AC402">
        <v>73.94</v>
      </c>
      <c r="AD402">
        <v>70.77</v>
      </c>
      <c r="AE402">
        <v>73.12</v>
      </c>
      <c r="AF402">
        <v>3.85</v>
      </c>
      <c r="AG402">
        <v>3.59</v>
      </c>
      <c r="AH402">
        <v>3.74</v>
      </c>
      <c r="AI402">
        <v>71.08</v>
      </c>
      <c r="AJ402">
        <v>75.25</v>
      </c>
      <c r="AK402">
        <v>73.11</v>
      </c>
      <c r="AL402">
        <v>87.65</v>
      </c>
      <c r="AM402">
        <v>65.27</v>
      </c>
      <c r="AN402">
        <v>76.459999999999994</v>
      </c>
      <c r="AO402">
        <v>207651</v>
      </c>
    </row>
    <row r="403" spans="1:41" x14ac:dyDescent="0.35">
      <c r="A403" t="s">
        <v>403</v>
      </c>
      <c r="B403">
        <v>8.34</v>
      </c>
      <c r="C403">
        <v>8.8800000000000008</v>
      </c>
      <c r="D403">
        <v>8.6300000000000008</v>
      </c>
      <c r="E403">
        <v>12.36</v>
      </c>
      <c r="F403">
        <v>13.04</v>
      </c>
      <c r="G403">
        <v>12.58</v>
      </c>
      <c r="H403">
        <v>76.650000000000006</v>
      </c>
      <c r="I403">
        <v>67.81</v>
      </c>
      <c r="J403">
        <v>72.28</v>
      </c>
      <c r="K403">
        <v>3.6</v>
      </c>
      <c r="L403">
        <v>4.82</v>
      </c>
      <c r="M403">
        <v>4.07</v>
      </c>
      <c r="N403">
        <v>71.61</v>
      </c>
      <c r="O403">
        <v>76.37</v>
      </c>
      <c r="P403">
        <v>73.930000000000007</v>
      </c>
      <c r="Q403">
        <v>87.14</v>
      </c>
      <c r="R403">
        <v>56.62</v>
      </c>
      <c r="S403">
        <v>71.88</v>
      </c>
      <c r="T403">
        <v>88270</v>
      </c>
      <c r="V403" t="str">
        <v>Jeneponto</v>
      </c>
      <c r="W403">
        <v>6.99</v>
      </c>
      <c r="X403">
        <v>7.02</v>
      </c>
      <c r="Y403">
        <v>7.02</v>
      </c>
      <c r="Z403">
        <v>12.4</v>
      </c>
      <c r="AA403">
        <v>12.17</v>
      </c>
      <c r="AB403">
        <v>12.28</v>
      </c>
      <c r="AC403">
        <v>74.3</v>
      </c>
      <c r="AD403">
        <v>69.12</v>
      </c>
      <c r="AE403">
        <v>70.25</v>
      </c>
      <c r="AF403">
        <v>2.48</v>
      </c>
      <c r="AG403">
        <v>1.01</v>
      </c>
      <c r="AH403">
        <v>1.88</v>
      </c>
      <c r="AI403">
        <v>71.84</v>
      </c>
      <c r="AJ403">
        <v>76.84</v>
      </c>
      <c r="AK403">
        <v>74.28</v>
      </c>
      <c r="AL403">
        <v>86.64</v>
      </c>
      <c r="AM403">
        <v>57.49</v>
      </c>
      <c r="AN403">
        <v>72.069999999999993</v>
      </c>
      <c r="AO403">
        <v>423370</v>
      </c>
    </row>
    <row r="404" spans="1:41" x14ac:dyDescent="0.35">
      <c r="A404" t="s">
        <v>404</v>
      </c>
      <c r="B404">
        <v>9.42</v>
      </c>
      <c r="C404">
        <v>9.7799999999999994</v>
      </c>
      <c r="D404">
        <v>9.51</v>
      </c>
      <c r="E404">
        <v>11.72</v>
      </c>
      <c r="F404">
        <v>12.46</v>
      </c>
      <c r="G404">
        <v>12.05</v>
      </c>
      <c r="H404">
        <v>75.91</v>
      </c>
      <c r="I404">
        <v>68.73</v>
      </c>
      <c r="J404">
        <v>72.17</v>
      </c>
      <c r="K404">
        <v>2.25</v>
      </c>
      <c r="L404">
        <v>2.63</v>
      </c>
      <c r="M404">
        <v>2.41</v>
      </c>
      <c r="N404">
        <v>72.430000000000007</v>
      </c>
      <c r="O404">
        <v>77.91</v>
      </c>
      <c r="P404">
        <v>75.099999999999994</v>
      </c>
      <c r="Q404">
        <v>81.11</v>
      </c>
      <c r="R404">
        <v>62.19</v>
      </c>
      <c r="S404">
        <v>71.650000000000006</v>
      </c>
      <c r="T404">
        <v>74448</v>
      </c>
      <c r="V404" t="str">
        <v>Takalar</v>
      </c>
      <c r="W404">
        <v>7.99</v>
      </c>
      <c r="X404">
        <v>7.77</v>
      </c>
      <c r="Y404">
        <v>7.84</v>
      </c>
      <c r="Z404">
        <v>12.61</v>
      </c>
      <c r="AA404">
        <v>12.97</v>
      </c>
      <c r="AB404">
        <v>12.62</v>
      </c>
      <c r="AC404">
        <v>77.040000000000006</v>
      </c>
      <c r="AD404">
        <v>68.61</v>
      </c>
      <c r="AE404">
        <v>72.790000000000006</v>
      </c>
      <c r="AF404">
        <v>3.4</v>
      </c>
      <c r="AG404">
        <v>4.3</v>
      </c>
      <c r="AH404">
        <v>3.76</v>
      </c>
      <c r="AI404">
        <v>71.709999999999994</v>
      </c>
      <c r="AJ404">
        <v>76.569999999999993</v>
      </c>
      <c r="AK404">
        <v>74.08</v>
      </c>
      <c r="AL404">
        <v>86.89</v>
      </c>
      <c r="AM404">
        <v>53.63</v>
      </c>
      <c r="AN404">
        <v>70.260000000000005</v>
      </c>
      <c r="AO404">
        <v>321144</v>
      </c>
    </row>
    <row r="405" spans="1:41" x14ac:dyDescent="0.35">
      <c r="A405" t="s">
        <v>405</v>
      </c>
      <c r="B405">
        <v>8.93</v>
      </c>
      <c r="C405">
        <v>9.31</v>
      </c>
      <c r="D405">
        <v>9.16</v>
      </c>
      <c r="E405">
        <v>12.45</v>
      </c>
      <c r="F405">
        <v>13</v>
      </c>
      <c r="G405">
        <v>12.61</v>
      </c>
      <c r="H405">
        <v>77.400000000000006</v>
      </c>
      <c r="I405">
        <v>72.25</v>
      </c>
      <c r="J405">
        <v>74.28</v>
      </c>
      <c r="K405">
        <v>3.15</v>
      </c>
      <c r="L405">
        <v>3.81</v>
      </c>
      <c r="M405">
        <v>3.38</v>
      </c>
      <c r="N405">
        <v>71.47</v>
      </c>
      <c r="O405">
        <v>76.069999999999993</v>
      </c>
      <c r="P405">
        <v>73.709999999999994</v>
      </c>
      <c r="Q405">
        <v>88.19</v>
      </c>
      <c r="R405">
        <v>50.74</v>
      </c>
      <c r="S405">
        <v>69.47</v>
      </c>
      <c r="T405">
        <v>121523</v>
      </c>
      <c r="V405" t="str">
        <v>Gowa</v>
      </c>
      <c r="W405">
        <v>8.67</v>
      </c>
      <c r="X405">
        <v>8.4499999999999993</v>
      </c>
      <c r="Y405">
        <v>8.5399999999999991</v>
      </c>
      <c r="Z405">
        <v>13.51</v>
      </c>
      <c r="AA405">
        <v>14.13</v>
      </c>
      <c r="AB405">
        <v>13.72</v>
      </c>
      <c r="AC405">
        <v>78.36</v>
      </c>
      <c r="AD405">
        <v>70.260000000000005</v>
      </c>
      <c r="AE405">
        <v>74.22</v>
      </c>
      <c r="AF405">
        <v>3.56</v>
      </c>
      <c r="AG405">
        <v>5.38</v>
      </c>
      <c r="AH405">
        <v>4.25</v>
      </c>
      <c r="AI405">
        <v>71.94</v>
      </c>
      <c r="AJ405">
        <v>77.05</v>
      </c>
      <c r="AK405">
        <v>74.430000000000007</v>
      </c>
      <c r="AL405">
        <v>85.81</v>
      </c>
      <c r="AM405">
        <v>51.22</v>
      </c>
      <c r="AN405">
        <v>68.52</v>
      </c>
      <c r="AO405">
        <v>826957</v>
      </c>
    </row>
    <row r="406" spans="1:41" x14ac:dyDescent="0.35">
      <c r="A406" t="s">
        <v>406</v>
      </c>
      <c r="B406">
        <v>8.3000000000000007</v>
      </c>
      <c r="C406">
        <v>8.43</v>
      </c>
      <c r="D406">
        <v>8.3800000000000008</v>
      </c>
      <c r="E406">
        <v>12.25</v>
      </c>
      <c r="F406">
        <v>12.48</v>
      </c>
      <c r="G406">
        <v>12.35</v>
      </c>
      <c r="H406">
        <v>75.13</v>
      </c>
      <c r="I406">
        <v>61.82</v>
      </c>
      <c r="J406">
        <v>70.540000000000006</v>
      </c>
      <c r="K406">
        <v>1.42</v>
      </c>
      <c r="L406">
        <v>5.85</v>
      </c>
      <c r="M406">
        <v>2.91</v>
      </c>
      <c r="N406">
        <v>69.209999999999994</v>
      </c>
      <c r="O406">
        <v>73.17</v>
      </c>
      <c r="P406">
        <v>71.14</v>
      </c>
      <c r="Q406">
        <v>88.5</v>
      </c>
      <c r="R406">
        <v>48.74</v>
      </c>
      <c r="S406">
        <v>68.62</v>
      </c>
      <c r="T406">
        <v>73702</v>
      </c>
      <c r="V406" t="str">
        <v>Sinjai</v>
      </c>
      <c r="W406">
        <v>8.14</v>
      </c>
      <c r="X406">
        <v>7.97</v>
      </c>
      <c r="Y406">
        <v>7.97</v>
      </c>
      <c r="Z406">
        <v>13.38</v>
      </c>
      <c r="AA406">
        <v>13.88</v>
      </c>
      <c r="AB406">
        <v>13.46</v>
      </c>
      <c r="AC406">
        <v>73.78</v>
      </c>
      <c r="AD406">
        <v>72.66</v>
      </c>
      <c r="AE406">
        <v>72.760000000000005</v>
      </c>
      <c r="AF406">
        <v>2.62</v>
      </c>
      <c r="AG406">
        <v>1.46</v>
      </c>
      <c r="AH406">
        <v>2.1</v>
      </c>
      <c r="AI406">
        <v>71.239999999999995</v>
      </c>
      <c r="AJ406">
        <v>75.59</v>
      </c>
      <c r="AK406">
        <v>73.36</v>
      </c>
      <c r="AL406">
        <v>88.05</v>
      </c>
      <c r="AM406">
        <v>71.150000000000006</v>
      </c>
      <c r="AN406">
        <v>79.599999999999994</v>
      </c>
      <c r="AO406">
        <v>273313</v>
      </c>
    </row>
    <row r="407" spans="1:41" x14ac:dyDescent="0.35">
      <c r="A407" t="s">
        <v>407</v>
      </c>
      <c r="B407">
        <v>8.2899999999999991</v>
      </c>
      <c r="C407">
        <v>8.42</v>
      </c>
      <c r="D407">
        <v>8.3000000000000007</v>
      </c>
      <c r="E407">
        <v>11.91</v>
      </c>
      <c r="F407">
        <v>12.6</v>
      </c>
      <c r="G407">
        <v>12.11</v>
      </c>
      <c r="H407">
        <v>74.81</v>
      </c>
      <c r="I407">
        <v>69.17</v>
      </c>
      <c r="J407">
        <v>71.430000000000007</v>
      </c>
      <c r="K407">
        <v>3.14</v>
      </c>
      <c r="L407">
        <v>11.21</v>
      </c>
      <c r="M407">
        <v>5.28</v>
      </c>
      <c r="N407">
        <v>71.48</v>
      </c>
      <c r="O407">
        <v>76.09</v>
      </c>
      <c r="P407">
        <v>73.73</v>
      </c>
      <c r="Q407">
        <v>84.94</v>
      </c>
      <c r="R407">
        <v>33.57</v>
      </c>
      <c r="S407">
        <v>59.26</v>
      </c>
      <c r="T407">
        <v>93227</v>
      </c>
      <c r="V407" t="str">
        <v>Maros</v>
      </c>
      <c r="W407">
        <v>8.7799999999999994</v>
      </c>
      <c r="X407">
        <v>7.99</v>
      </c>
      <c r="Y407">
        <v>8.1999999999999993</v>
      </c>
      <c r="Z407">
        <v>13.44</v>
      </c>
      <c r="AA407">
        <v>13.65</v>
      </c>
      <c r="AB407">
        <v>13.52</v>
      </c>
      <c r="AC407">
        <v>79.48</v>
      </c>
      <c r="AD407">
        <v>71.72</v>
      </c>
      <c r="AE407">
        <v>74.790000000000006</v>
      </c>
      <c r="AF407">
        <v>3.95</v>
      </c>
      <c r="AG407">
        <v>4.4000000000000004</v>
      </c>
      <c r="AH407">
        <v>4.13</v>
      </c>
      <c r="AI407">
        <v>71.72</v>
      </c>
      <c r="AJ407">
        <v>76.599999999999994</v>
      </c>
      <c r="AK407">
        <v>74.099999999999994</v>
      </c>
      <c r="AL407">
        <v>81.77</v>
      </c>
      <c r="AM407">
        <v>51.65</v>
      </c>
      <c r="AN407">
        <v>66.709999999999994</v>
      </c>
      <c r="AO407">
        <v>419148</v>
      </c>
    </row>
    <row r="408" spans="1:41" x14ac:dyDescent="0.35">
      <c r="A408" t="s">
        <v>408</v>
      </c>
      <c r="B408">
        <v>11.67</v>
      </c>
      <c r="C408">
        <v>11.52</v>
      </c>
      <c r="D408">
        <v>11.52</v>
      </c>
      <c r="E408">
        <v>14.14</v>
      </c>
      <c r="F408">
        <v>14.86</v>
      </c>
      <c r="G408">
        <v>14.21</v>
      </c>
      <c r="H408">
        <v>84.05</v>
      </c>
      <c r="I408">
        <v>82.37</v>
      </c>
      <c r="J408">
        <v>82.4</v>
      </c>
      <c r="K408">
        <v>7.38</v>
      </c>
      <c r="L408">
        <v>10.29</v>
      </c>
      <c r="M408">
        <v>8.51</v>
      </c>
      <c r="N408">
        <v>72.83</v>
      </c>
      <c r="O408">
        <v>78.48</v>
      </c>
      <c r="P408">
        <v>75.58</v>
      </c>
      <c r="Q408">
        <v>79.400000000000006</v>
      </c>
      <c r="R408">
        <v>49.99</v>
      </c>
      <c r="S408">
        <v>64.7</v>
      </c>
      <c r="T408">
        <v>462084</v>
      </c>
      <c r="V408" t="str">
        <v>Pangkajene dan Kepulauan</v>
      </c>
      <c r="W408">
        <v>8.75</v>
      </c>
      <c r="X408">
        <v>8.4</v>
      </c>
      <c r="Y408">
        <v>8.48</v>
      </c>
      <c r="Z408">
        <v>12.7</v>
      </c>
      <c r="AA408">
        <v>13.28</v>
      </c>
      <c r="AB408">
        <v>12.94</v>
      </c>
      <c r="AC408">
        <v>78.88</v>
      </c>
      <c r="AD408">
        <v>72.84</v>
      </c>
      <c r="AE408">
        <v>74.62</v>
      </c>
      <c r="AF408">
        <v>3.6</v>
      </c>
      <c r="AG408">
        <v>4.34</v>
      </c>
      <c r="AH408">
        <v>3.9</v>
      </c>
      <c r="AI408">
        <v>71.319999999999993</v>
      </c>
      <c r="AJ408">
        <v>75.75</v>
      </c>
      <c r="AK408">
        <v>73.48</v>
      </c>
      <c r="AL408">
        <v>83.69</v>
      </c>
      <c r="AM408">
        <v>54.52</v>
      </c>
      <c r="AN408">
        <v>69.11</v>
      </c>
      <c r="AO408">
        <v>362692</v>
      </c>
    </row>
    <row r="409" spans="1:41" x14ac:dyDescent="0.35">
      <c r="A409" t="s">
        <v>409</v>
      </c>
      <c r="B409">
        <v>10.09</v>
      </c>
      <c r="C409">
        <v>10.02</v>
      </c>
      <c r="D409">
        <v>10.050000000000001</v>
      </c>
      <c r="E409">
        <v>12.42</v>
      </c>
      <c r="F409">
        <v>13.25</v>
      </c>
      <c r="G409">
        <v>12.88</v>
      </c>
      <c r="H409">
        <v>79.849999999999994</v>
      </c>
      <c r="I409">
        <v>76.37</v>
      </c>
      <c r="J409">
        <v>77.569999999999993</v>
      </c>
      <c r="K409">
        <v>7.35</v>
      </c>
      <c r="L409">
        <v>7.33</v>
      </c>
      <c r="M409">
        <v>7.35</v>
      </c>
      <c r="N409">
        <v>72.150000000000006</v>
      </c>
      <c r="O409">
        <v>77.5</v>
      </c>
      <c r="P409">
        <v>74.760000000000005</v>
      </c>
      <c r="Q409">
        <v>84.3</v>
      </c>
      <c r="R409">
        <v>46.64</v>
      </c>
      <c r="S409">
        <v>65.47</v>
      </c>
      <c r="T409">
        <v>237434</v>
      </c>
      <c r="V409" t="str">
        <v>Barru</v>
      </c>
      <c r="W409">
        <v>8.9700000000000006</v>
      </c>
      <c r="X409">
        <v>8.85</v>
      </c>
      <c r="Y409">
        <v>8.93</v>
      </c>
      <c r="Z409">
        <v>13.74</v>
      </c>
      <c r="AA409">
        <v>13.97</v>
      </c>
      <c r="AB409">
        <v>13.76</v>
      </c>
      <c r="AC409">
        <v>78.02</v>
      </c>
      <c r="AD409">
        <v>75.05</v>
      </c>
      <c r="AE409">
        <v>75.41</v>
      </c>
      <c r="AF409">
        <v>4.49</v>
      </c>
      <c r="AG409">
        <v>6.03</v>
      </c>
      <c r="AH409">
        <v>5.07</v>
      </c>
      <c r="AI409">
        <v>71.12</v>
      </c>
      <c r="AJ409">
        <v>75.34</v>
      </c>
      <c r="AK409">
        <v>73.180000000000007</v>
      </c>
      <c r="AL409">
        <v>82.14</v>
      </c>
      <c r="AM409">
        <v>46.79</v>
      </c>
      <c r="AN409">
        <v>64.47</v>
      </c>
      <c r="AO409">
        <v>190465</v>
      </c>
    </row>
    <row r="410" spans="1:41" x14ac:dyDescent="0.35">
      <c r="A410" t="s">
        <v>410</v>
      </c>
      <c r="B410">
        <v>10.92</v>
      </c>
      <c r="C410">
        <v>11.22</v>
      </c>
      <c r="D410">
        <v>11.04</v>
      </c>
      <c r="E410">
        <v>13.76</v>
      </c>
      <c r="F410">
        <v>14.89</v>
      </c>
      <c r="G410">
        <v>14.39</v>
      </c>
      <c r="H410">
        <v>80.56</v>
      </c>
      <c r="I410">
        <v>81.17</v>
      </c>
      <c r="J410">
        <v>80.650000000000006</v>
      </c>
      <c r="K410">
        <v>7.25</v>
      </c>
      <c r="L410">
        <v>8.69</v>
      </c>
      <c r="M410">
        <v>7.8</v>
      </c>
      <c r="N410">
        <v>73.16</v>
      </c>
      <c r="O410">
        <v>78.97</v>
      </c>
      <c r="P410">
        <v>75.989999999999995</v>
      </c>
      <c r="Q410">
        <v>79.58</v>
      </c>
      <c r="R410">
        <v>49.15</v>
      </c>
      <c r="S410">
        <v>64.37</v>
      </c>
      <c r="T410">
        <v>104822</v>
      </c>
      <c r="V410" t="str">
        <v>Bone</v>
      </c>
      <c r="W410">
        <v>7.82</v>
      </c>
      <c r="X410">
        <v>7.7</v>
      </c>
      <c r="Y410">
        <v>7.7</v>
      </c>
      <c r="Z410">
        <v>12.57</v>
      </c>
      <c r="AA410">
        <v>13.63</v>
      </c>
      <c r="AB410">
        <v>13.03</v>
      </c>
      <c r="AC410">
        <v>74.900000000000006</v>
      </c>
      <c r="AD410">
        <v>70.709999999999994</v>
      </c>
      <c r="AE410">
        <v>71.63</v>
      </c>
      <c r="AF410">
        <v>3.4</v>
      </c>
      <c r="AG410">
        <v>1.68</v>
      </c>
      <c r="AH410">
        <v>2.75</v>
      </c>
      <c r="AI410">
        <v>71.55</v>
      </c>
      <c r="AJ410">
        <v>76.239999999999995</v>
      </c>
      <c r="AK410">
        <v>73.84</v>
      </c>
      <c r="AL410">
        <v>83</v>
      </c>
      <c r="AM410">
        <v>46.99</v>
      </c>
      <c r="AN410">
        <v>65</v>
      </c>
      <c r="AO410">
        <v>837104</v>
      </c>
    </row>
    <row r="411" spans="1:41" x14ac:dyDescent="0.35">
      <c r="A411" t="s">
        <v>411</v>
      </c>
      <c r="B411">
        <v>10.37</v>
      </c>
      <c r="C411">
        <v>10.3</v>
      </c>
      <c r="D411">
        <v>10.36</v>
      </c>
      <c r="E411">
        <v>12.95</v>
      </c>
      <c r="F411">
        <v>13.92</v>
      </c>
      <c r="G411">
        <v>13.25</v>
      </c>
      <c r="H411">
        <v>80.02</v>
      </c>
      <c r="I411">
        <v>77.319999999999993</v>
      </c>
      <c r="J411">
        <v>77.489999999999995</v>
      </c>
      <c r="K411">
        <v>5.12</v>
      </c>
      <c r="L411">
        <v>7.3</v>
      </c>
      <c r="M411">
        <v>5.97</v>
      </c>
      <c r="N411">
        <v>72.650000000000006</v>
      </c>
      <c r="O411">
        <v>78.22</v>
      </c>
      <c r="P411">
        <v>75.37</v>
      </c>
      <c r="Q411">
        <v>86.45</v>
      </c>
      <c r="R411">
        <v>57.59</v>
      </c>
      <c r="S411">
        <v>72.02</v>
      </c>
      <c r="T411">
        <v>130408</v>
      </c>
      <c r="V411" t="str">
        <v>Soppeng</v>
      </c>
      <c r="W411">
        <v>8.5500000000000007</v>
      </c>
      <c r="X411">
        <v>8.73</v>
      </c>
      <c r="Y411">
        <v>8.59</v>
      </c>
      <c r="Z411">
        <v>13.38</v>
      </c>
      <c r="AA411">
        <v>13.52</v>
      </c>
      <c r="AB411">
        <v>13.4</v>
      </c>
      <c r="AC411">
        <v>74.97</v>
      </c>
      <c r="AD411">
        <v>73.48</v>
      </c>
      <c r="AE411">
        <v>73.69</v>
      </c>
      <c r="AF411">
        <v>3.83</v>
      </c>
      <c r="AG411">
        <v>4.29</v>
      </c>
      <c r="AH411">
        <v>4.01</v>
      </c>
      <c r="AI411">
        <v>71.790000000000006</v>
      </c>
      <c r="AJ411">
        <v>76.739999999999995</v>
      </c>
      <c r="AK411">
        <v>74.209999999999994</v>
      </c>
      <c r="AL411">
        <v>77.760000000000005</v>
      </c>
      <c r="AM411">
        <v>44.92</v>
      </c>
      <c r="AN411">
        <v>61.34</v>
      </c>
      <c r="AO411">
        <v>240424</v>
      </c>
    </row>
    <row r="412" spans="1:41" x14ac:dyDescent="0.35">
      <c r="A412" t="s">
        <v>412</v>
      </c>
      <c r="B412">
        <v>9.17</v>
      </c>
      <c r="C412">
        <v>9.0500000000000007</v>
      </c>
      <c r="D412">
        <v>9.1</v>
      </c>
      <c r="E412">
        <v>13.19</v>
      </c>
      <c r="F412">
        <v>13.85</v>
      </c>
      <c r="G412">
        <v>13.35</v>
      </c>
      <c r="H412">
        <v>76.17</v>
      </c>
      <c r="I412">
        <v>70.95</v>
      </c>
      <c r="J412">
        <v>72.819999999999993</v>
      </c>
      <c r="K412">
        <v>2.69</v>
      </c>
      <c r="L412">
        <v>3.29</v>
      </c>
      <c r="M412">
        <v>2.92</v>
      </c>
      <c r="N412">
        <v>69.17</v>
      </c>
      <c r="O412">
        <v>73.13</v>
      </c>
      <c r="P412">
        <v>71.099999999999994</v>
      </c>
      <c r="Q412">
        <v>86.02</v>
      </c>
      <c r="R412">
        <v>58.05</v>
      </c>
      <c r="S412">
        <v>72.040000000000006</v>
      </c>
      <c r="T412">
        <v>3156102</v>
      </c>
      <c r="V412" t="str">
        <v>Wajo</v>
      </c>
      <c r="W412">
        <v>7.84</v>
      </c>
      <c r="X412">
        <v>7.35</v>
      </c>
      <c r="Y412">
        <v>7.72</v>
      </c>
      <c r="Z412">
        <v>13.28</v>
      </c>
      <c r="AA412">
        <v>13.72</v>
      </c>
      <c r="AB412">
        <v>13.34</v>
      </c>
      <c r="AC412">
        <v>79.180000000000007</v>
      </c>
      <c r="AD412">
        <v>72.06</v>
      </c>
      <c r="AE412">
        <v>74.72</v>
      </c>
      <c r="AF412">
        <v>4.13</v>
      </c>
      <c r="AG412">
        <v>2.5099999999999998</v>
      </c>
      <c r="AH412">
        <v>3.47</v>
      </c>
      <c r="AI412">
        <v>71.510000000000005</v>
      </c>
      <c r="AJ412">
        <v>76.150000000000006</v>
      </c>
      <c r="AK412">
        <v>73.77</v>
      </c>
      <c r="AL412">
        <v>82.58</v>
      </c>
      <c r="AM412">
        <v>53.05</v>
      </c>
      <c r="AN412">
        <v>67.819999999999993</v>
      </c>
      <c r="AO412">
        <v>391456</v>
      </c>
    </row>
    <row r="413" spans="1:41" x14ac:dyDescent="0.35">
      <c r="A413" t="s">
        <v>413</v>
      </c>
      <c r="B413">
        <v>9.25</v>
      </c>
      <c r="C413">
        <v>8.76</v>
      </c>
      <c r="D413">
        <v>8.8800000000000008</v>
      </c>
      <c r="E413">
        <v>13.13</v>
      </c>
      <c r="F413">
        <v>12.96</v>
      </c>
      <c r="G413">
        <v>13.12</v>
      </c>
      <c r="H413">
        <v>72.75</v>
      </c>
      <c r="I413">
        <v>67.739999999999995</v>
      </c>
      <c r="J413">
        <v>68.44</v>
      </c>
      <c r="K413">
        <v>0.9</v>
      </c>
      <c r="L413">
        <v>2.76</v>
      </c>
      <c r="M413">
        <v>1.67</v>
      </c>
      <c r="N413">
        <v>65.89</v>
      </c>
      <c r="O413">
        <v>69.87</v>
      </c>
      <c r="P413">
        <v>67.83</v>
      </c>
      <c r="Q413">
        <v>84.88</v>
      </c>
      <c r="R413">
        <v>61.61</v>
      </c>
      <c r="S413">
        <v>73.25</v>
      </c>
      <c r="T413">
        <v>125719</v>
      </c>
      <c r="V413" t="str">
        <v>Sidenreng Rappang</v>
      </c>
      <c r="W413">
        <v>8.5299999999999994</v>
      </c>
      <c r="X413">
        <v>8.3000000000000007</v>
      </c>
      <c r="Y413">
        <v>8.36</v>
      </c>
      <c r="Z413">
        <v>12.75</v>
      </c>
      <c r="AA413">
        <v>13.64</v>
      </c>
      <c r="AB413">
        <v>13.11</v>
      </c>
      <c r="AC413">
        <v>79.180000000000007</v>
      </c>
      <c r="AD413">
        <v>74.23</v>
      </c>
      <c r="AE413">
        <v>75.489999999999995</v>
      </c>
      <c r="AF413">
        <v>4.01</v>
      </c>
      <c r="AG413">
        <v>2.02</v>
      </c>
      <c r="AH413">
        <v>3.36</v>
      </c>
      <c r="AI413">
        <v>72.099999999999994</v>
      </c>
      <c r="AJ413">
        <v>77.400000000000006</v>
      </c>
      <c r="AK413">
        <v>74.69</v>
      </c>
      <c r="AL413">
        <v>79.91</v>
      </c>
      <c r="AM413">
        <v>37.03</v>
      </c>
      <c r="AN413">
        <v>58.47</v>
      </c>
      <c r="AO413">
        <v>333524</v>
      </c>
    </row>
    <row r="414" spans="1:41" x14ac:dyDescent="0.35">
      <c r="A414" t="s">
        <v>414</v>
      </c>
      <c r="B414">
        <v>9.15</v>
      </c>
      <c r="C414">
        <v>8.81</v>
      </c>
      <c r="D414">
        <v>8.94</v>
      </c>
      <c r="E414">
        <v>13.12</v>
      </c>
      <c r="F414">
        <v>13.63</v>
      </c>
      <c r="G414">
        <v>13.43</v>
      </c>
      <c r="H414">
        <v>77.349999999999994</v>
      </c>
      <c r="I414">
        <v>70.98</v>
      </c>
      <c r="J414">
        <v>73.44</v>
      </c>
      <c r="K414">
        <v>3.37</v>
      </c>
      <c r="L414">
        <v>2.62</v>
      </c>
      <c r="M414">
        <v>3.07</v>
      </c>
      <c r="N414">
        <v>70.56</v>
      </c>
      <c r="O414">
        <v>74.58</v>
      </c>
      <c r="P414">
        <v>72.52</v>
      </c>
      <c r="Q414">
        <v>89.45</v>
      </c>
      <c r="R414">
        <v>59.54</v>
      </c>
      <c r="S414">
        <v>74.5</v>
      </c>
      <c r="T414">
        <v>381405</v>
      </c>
      <c r="V414" t="str">
        <v>Pinrang</v>
      </c>
      <c r="W414">
        <v>8.69</v>
      </c>
      <c r="X414">
        <v>8.35</v>
      </c>
      <c r="Y414">
        <v>8.5399999999999991</v>
      </c>
      <c r="Z414">
        <v>12.61</v>
      </c>
      <c r="AA414">
        <v>14.07</v>
      </c>
      <c r="AB414">
        <v>13.29</v>
      </c>
      <c r="AC414">
        <v>77.709999999999994</v>
      </c>
      <c r="AD414">
        <v>75.349999999999994</v>
      </c>
      <c r="AE414">
        <v>75.87</v>
      </c>
      <c r="AF414">
        <v>3.16</v>
      </c>
      <c r="AG414">
        <v>4.5199999999999996</v>
      </c>
      <c r="AH414">
        <v>3.65</v>
      </c>
      <c r="AI414">
        <v>72.239999999999995</v>
      </c>
      <c r="AJ414">
        <v>77.63</v>
      </c>
      <c r="AK414">
        <v>74.87</v>
      </c>
      <c r="AL414">
        <v>81.48</v>
      </c>
      <c r="AM414">
        <v>44.86</v>
      </c>
      <c r="AN414">
        <v>63.17</v>
      </c>
      <c r="AO414">
        <v>429891</v>
      </c>
    </row>
    <row r="415" spans="1:41" x14ac:dyDescent="0.35">
      <c r="A415" t="s">
        <v>415</v>
      </c>
      <c r="B415">
        <v>9.76</v>
      </c>
      <c r="C415">
        <v>9.27</v>
      </c>
      <c r="D415">
        <v>9.39</v>
      </c>
      <c r="E415">
        <v>13.65</v>
      </c>
      <c r="F415">
        <v>13.4</v>
      </c>
      <c r="G415">
        <v>13.4</v>
      </c>
      <c r="H415">
        <v>79.709999999999994</v>
      </c>
      <c r="I415">
        <v>68.63</v>
      </c>
      <c r="J415">
        <v>74.7</v>
      </c>
      <c r="K415">
        <v>1.23</v>
      </c>
      <c r="L415">
        <v>7.67</v>
      </c>
      <c r="M415">
        <v>2.81</v>
      </c>
      <c r="N415">
        <v>69.41</v>
      </c>
      <c r="O415">
        <v>73.38</v>
      </c>
      <c r="P415">
        <v>71.34</v>
      </c>
      <c r="Q415">
        <v>88.29</v>
      </c>
      <c r="R415">
        <v>36.950000000000003</v>
      </c>
      <c r="S415">
        <v>62.62</v>
      </c>
      <c r="T415">
        <v>176083</v>
      </c>
      <c r="V415" t="str">
        <v>Enrekang</v>
      </c>
      <c r="W415">
        <v>9.4600000000000009</v>
      </c>
      <c r="X415">
        <v>9</v>
      </c>
      <c r="Y415">
        <v>9.26</v>
      </c>
      <c r="Z415">
        <v>13.9</v>
      </c>
      <c r="AA415">
        <v>14.43</v>
      </c>
      <c r="AB415">
        <v>13.9</v>
      </c>
      <c r="AC415">
        <v>77.06</v>
      </c>
      <c r="AD415">
        <v>76.13</v>
      </c>
      <c r="AE415">
        <v>76.5</v>
      </c>
      <c r="AF415">
        <v>1.98</v>
      </c>
      <c r="AG415">
        <v>1.53</v>
      </c>
      <c r="AH415">
        <v>1.78</v>
      </c>
      <c r="AI415">
        <v>71.849999999999994</v>
      </c>
      <c r="AJ415">
        <v>76.87</v>
      </c>
      <c r="AK415">
        <v>74.3</v>
      </c>
      <c r="AL415">
        <v>86.2</v>
      </c>
      <c r="AM415">
        <v>68.239999999999995</v>
      </c>
      <c r="AN415">
        <v>77.22</v>
      </c>
      <c r="AO415">
        <v>241667</v>
      </c>
    </row>
    <row r="416" spans="1:41" x14ac:dyDescent="0.35">
      <c r="A416" t="s">
        <v>416</v>
      </c>
      <c r="B416">
        <v>9.91</v>
      </c>
      <c r="C416">
        <v>9.77</v>
      </c>
      <c r="D416">
        <v>9.84</v>
      </c>
      <c r="E416">
        <v>13.52</v>
      </c>
      <c r="F416">
        <v>14.34</v>
      </c>
      <c r="G416">
        <v>13.76</v>
      </c>
      <c r="H416">
        <v>76.03</v>
      </c>
      <c r="I416">
        <v>74.069999999999993</v>
      </c>
      <c r="J416">
        <v>74.55</v>
      </c>
      <c r="K416">
        <v>1.61</v>
      </c>
      <c r="L416">
        <v>2.0099999999999998</v>
      </c>
      <c r="M416">
        <v>1.76</v>
      </c>
      <c r="N416">
        <v>71.23</v>
      </c>
      <c r="O416">
        <v>75.56</v>
      </c>
      <c r="P416">
        <v>73.34</v>
      </c>
      <c r="Q416">
        <v>85.03</v>
      </c>
      <c r="R416">
        <v>55.5</v>
      </c>
      <c r="S416">
        <v>70.27</v>
      </c>
      <c r="T416">
        <v>256435</v>
      </c>
      <c r="V416" t="str">
        <v>Luwu</v>
      </c>
      <c r="W416">
        <v>9.01</v>
      </c>
      <c r="X416">
        <v>8.9</v>
      </c>
      <c r="Y416">
        <v>8.9600000000000009</v>
      </c>
      <c r="Z416">
        <v>13.09</v>
      </c>
      <c r="AA416">
        <v>13.82</v>
      </c>
      <c r="AB416">
        <v>13.44</v>
      </c>
      <c r="AC416">
        <v>77.84</v>
      </c>
      <c r="AD416">
        <v>72.92</v>
      </c>
      <c r="AE416">
        <v>74.66</v>
      </c>
      <c r="AF416">
        <v>3.39</v>
      </c>
      <c r="AG416">
        <v>4.2300000000000004</v>
      </c>
      <c r="AH416">
        <v>3.71</v>
      </c>
      <c r="AI416">
        <v>71.56</v>
      </c>
      <c r="AJ416">
        <v>76.25</v>
      </c>
      <c r="AK416">
        <v>73.849999999999994</v>
      </c>
      <c r="AL416">
        <v>83.59</v>
      </c>
      <c r="AM416">
        <v>51.72</v>
      </c>
      <c r="AN416">
        <v>67.66</v>
      </c>
      <c r="AO416">
        <v>389256</v>
      </c>
    </row>
    <row r="417" spans="1:41" x14ac:dyDescent="0.35">
      <c r="A417" t="s">
        <v>417</v>
      </c>
      <c r="B417">
        <v>8.5299999999999994</v>
      </c>
      <c r="C417">
        <v>7.87</v>
      </c>
      <c r="D417">
        <v>8.01</v>
      </c>
      <c r="E417">
        <v>12.45</v>
      </c>
      <c r="F417">
        <v>13.13</v>
      </c>
      <c r="G417">
        <v>12.75</v>
      </c>
      <c r="H417">
        <v>73.2</v>
      </c>
      <c r="I417">
        <v>65.56</v>
      </c>
      <c r="J417">
        <v>69.23</v>
      </c>
      <c r="K417">
        <v>1.95</v>
      </c>
      <c r="L417">
        <v>4.25</v>
      </c>
      <c r="M417">
        <v>2.78</v>
      </c>
      <c r="N417">
        <v>69.099999999999994</v>
      </c>
      <c r="O417">
        <v>73.06</v>
      </c>
      <c r="P417">
        <v>71.03</v>
      </c>
      <c r="Q417">
        <v>86.24</v>
      </c>
      <c r="R417">
        <v>52.51</v>
      </c>
      <c r="S417">
        <v>69.38</v>
      </c>
      <c r="T417">
        <v>313620</v>
      </c>
      <c r="V417" t="str">
        <v>Tana Toraja</v>
      </c>
      <c r="W417">
        <v>9.07</v>
      </c>
      <c r="X417">
        <v>8.83</v>
      </c>
      <c r="Y417">
        <v>8.92</v>
      </c>
      <c r="Z417">
        <v>14.25</v>
      </c>
      <c r="AA417">
        <v>14.57</v>
      </c>
      <c r="AB417">
        <v>14.25</v>
      </c>
      <c r="AC417">
        <v>77.02</v>
      </c>
      <c r="AD417">
        <v>69.180000000000007</v>
      </c>
      <c r="AE417">
        <v>72.77</v>
      </c>
      <c r="AF417">
        <v>2.46</v>
      </c>
      <c r="AG417">
        <v>4.6399999999999997</v>
      </c>
      <c r="AH417">
        <v>3.44</v>
      </c>
      <c r="AI417">
        <v>73.16</v>
      </c>
      <c r="AJ417">
        <v>77.989999999999995</v>
      </c>
      <c r="AK417">
        <v>75.17</v>
      </c>
      <c r="AL417">
        <v>81.900000000000006</v>
      </c>
      <c r="AM417">
        <v>71.59</v>
      </c>
      <c r="AN417">
        <v>76.75</v>
      </c>
      <c r="AO417">
        <v>295345</v>
      </c>
    </row>
    <row r="418" spans="1:41" x14ac:dyDescent="0.35">
      <c r="A418" t="s">
        <v>418</v>
      </c>
      <c r="B418">
        <v>9.06</v>
      </c>
      <c r="C418">
        <v>8.8000000000000007</v>
      </c>
      <c r="D418">
        <v>9</v>
      </c>
      <c r="E418">
        <v>13.16</v>
      </c>
      <c r="F418">
        <v>13.56</v>
      </c>
      <c r="G418">
        <v>13.18</v>
      </c>
      <c r="H418">
        <v>74.900000000000006</v>
      </c>
      <c r="I418">
        <v>68.11</v>
      </c>
      <c r="J418">
        <v>71.09</v>
      </c>
      <c r="K418">
        <v>2.71</v>
      </c>
      <c r="L418">
        <v>3.76</v>
      </c>
      <c r="M418">
        <v>3.09</v>
      </c>
      <c r="N418">
        <v>69.680000000000007</v>
      </c>
      <c r="O418">
        <v>73.66</v>
      </c>
      <c r="P418">
        <v>71.62</v>
      </c>
      <c r="Q418">
        <v>85.67</v>
      </c>
      <c r="R418">
        <v>51.65</v>
      </c>
      <c r="S418">
        <v>68.66</v>
      </c>
      <c r="T418">
        <v>236021</v>
      </c>
      <c r="V418" t="str">
        <v>Luwu Utara</v>
      </c>
      <c r="W418">
        <v>8.6999999999999993</v>
      </c>
      <c r="X418">
        <v>8.34</v>
      </c>
      <c r="Y418">
        <v>8.51</v>
      </c>
      <c r="Z418">
        <v>12.61</v>
      </c>
      <c r="AA418">
        <v>12.8</v>
      </c>
      <c r="AB418">
        <v>12.63</v>
      </c>
      <c r="AC418">
        <v>78.14</v>
      </c>
      <c r="AD418">
        <v>71.25</v>
      </c>
      <c r="AE418">
        <v>74.81</v>
      </c>
      <c r="AF418">
        <v>2.23</v>
      </c>
      <c r="AG418">
        <v>2.2599999999999998</v>
      </c>
      <c r="AH418">
        <v>2.2400000000000002</v>
      </c>
      <c r="AI418">
        <v>71.819999999999993</v>
      </c>
      <c r="AJ418">
        <v>76.8</v>
      </c>
      <c r="AK418">
        <v>74.25</v>
      </c>
      <c r="AL418">
        <v>86.34</v>
      </c>
      <c r="AM418">
        <v>60.12</v>
      </c>
      <c r="AN418">
        <v>73.23</v>
      </c>
      <c r="AO418">
        <v>341516</v>
      </c>
    </row>
    <row r="419" spans="1:41" x14ac:dyDescent="0.35">
      <c r="A419" t="s">
        <v>419</v>
      </c>
      <c r="B419">
        <v>9.25</v>
      </c>
      <c r="C419">
        <v>9.2100000000000009</v>
      </c>
      <c r="D419">
        <v>9.2100000000000009</v>
      </c>
      <c r="E419">
        <v>13.17</v>
      </c>
      <c r="F419">
        <v>14.51</v>
      </c>
      <c r="G419">
        <v>13.19</v>
      </c>
      <c r="H419">
        <v>75.53</v>
      </c>
      <c r="I419">
        <v>68.62</v>
      </c>
      <c r="J419">
        <v>71.47</v>
      </c>
      <c r="K419">
        <v>3.09</v>
      </c>
      <c r="L419">
        <v>3.13</v>
      </c>
      <c r="M419">
        <v>3.11</v>
      </c>
      <c r="N419">
        <v>69.680000000000007</v>
      </c>
      <c r="O419">
        <v>73.66</v>
      </c>
      <c r="P419">
        <v>71.62</v>
      </c>
      <c r="Q419">
        <v>87.34</v>
      </c>
      <c r="R419">
        <v>56.55</v>
      </c>
      <c r="S419">
        <v>71.95</v>
      </c>
      <c r="T419">
        <v>154156</v>
      </c>
      <c r="V419" t="str">
        <v>Luwu Timur</v>
      </c>
      <c r="W419">
        <v>9.17</v>
      </c>
      <c r="X419">
        <v>9.0399999999999991</v>
      </c>
      <c r="Y419">
        <v>9.0399999999999991</v>
      </c>
      <c r="Z419">
        <v>13.3</v>
      </c>
      <c r="AA419">
        <v>13.44</v>
      </c>
      <c r="AB419">
        <v>13.38</v>
      </c>
      <c r="AC419">
        <v>81.150000000000006</v>
      </c>
      <c r="AD419">
        <v>74.14</v>
      </c>
      <c r="AE419">
        <v>77.28</v>
      </c>
      <c r="AF419">
        <v>4.2</v>
      </c>
      <c r="AG419">
        <v>2.91</v>
      </c>
      <c r="AH419">
        <v>3.7</v>
      </c>
      <c r="AI419">
        <v>72.239999999999995</v>
      </c>
      <c r="AJ419">
        <v>77.62</v>
      </c>
      <c r="AK419">
        <v>74.86</v>
      </c>
      <c r="AL419">
        <v>84.76</v>
      </c>
      <c r="AM419">
        <v>55.05</v>
      </c>
      <c r="AN419">
        <v>69.91</v>
      </c>
      <c r="AO419">
        <v>316894</v>
      </c>
    </row>
    <row r="420" spans="1:41" x14ac:dyDescent="0.35">
      <c r="A420" t="s">
        <v>420</v>
      </c>
      <c r="B420">
        <v>8.31</v>
      </c>
      <c r="C420">
        <v>8.0399999999999991</v>
      </c>
      <c r="D420">
        <v>8.07</v>
      </c>
      <c r="E420">
        <v>12.09</v>
      </c>
      <c r="F420">
        <v>13.04</v>
      </c>
      <c r="G420">
        <v>12.53</v>
      </c>
      <c r="H420">
        <v>72.67</v>
      </c>
      <c r="I420">
        <v>67.599999999999994</v>
      </c>
      <c r="J420">
        <v>69.989999999999995</v>
      </c>
      <c r="K420">
        <v>2.15</v>
      </c>
      <c r="L420">
        <v>2.02</v>
      </c>
      <c r="M420">
        <v>2.1</v>
      </c>
      <c r="N420">
        <v>67.150000000000006</v>
      </c>
      <c r="O420">
        <v>71.12</v>
      </c>
      <c r="P420">
        <v>69.09</v>
      </c>
      <c r="Q420">
        <v>87.17</v>
      </c>
      <c r="R420">
        <v>65.44</v>
      </c>
      <c r="S420">
        <v>76.31</v>
      </c>
      <c r="T420">
        <v>464772</v>
      </c>
      <c r="V420" t="str">
        <v>Toraja Utara</v>
      </c>
      <c r="W420">
        <v>8.94</v>
      </c>
      <c r="X420">
        <v>8.6</v>
      </c>
      <c r="Y420">
        <v>8.7200000000000006</v>
      </c>
      <c r="Z420">
        <v>13.3</v>
      </c>
      <c r="AA420">
        <v>13.87</v>
      </c>
      <c r="AB420">
        <v>13.53</v>
      </c>
      <c r="AC420">
        <v>76.75</v>
      </c>
      <c r="AD420">
        <v>68.45</v>
      </c>
      <c r="AE420">
        <v>73.239999999999995</v>
      </c>
      <c r="AF420">
        <v>2.8</v>
      </c>
      <c r="AG420">
        <v>1.04</v>
      </c>
      <c r="AH420">
        <v>2.0099999999999998</v>
      </c>
      <c r="AI420">
        <v>72.55</v>
      </c>
      <c r="AJ420">
        <v>78.08</v>
      </c>
      <c r="AK420">
        <v>75.239999999999995</v>
      </c>
      <c r="AL420">
        <v>81.59</v>
      </c>
      <c r="AM420">
        <v>69.03</v>
      </c>
      <c r="AN420">
        <v>75.31</v>
      </c>
      <c r="AO420">
        <v>282236</v>
      </c>
    </row>
    <row r="421" spans="1:41" x14ac:dyDescent="0.35">
      <c r="A421" t="s">
        <v>421</v>
      </c>
      <c r="B421">
        <v>8.58</v>
      </c>
      <c r="C421">
        <v>8.75</v>
      </c>
      <c r="D421">
        <v>8.58</v>
      </c>
      <c r="E421">
        <v>12.6</v>
      </c>
      <c r="F421">
        <v>13.1</v>
      </c>
      <c r="G421">
        <v>12.62</v>
      </c>
      <c r="H421">
        <v>73.989999999999995</v>
      </c>
      <c r="I421">
        <v>68.319999999999993</v>
      </c>
      <c r="J421">
        <v>69.760000000000005</v>
      </c>
      <c r="K421">
        <v>2.77</v>
      </c>
      <c r="L421">
        <v>2.67</v>
      </c>
      <c r="M421">
        <v>2.73</v>
      </c>
      <c r="N421">
        <v>69.37</v>
      </c>
      <c r="O421">
        <v>73.33</v>
      </c>
      <c r="P421">
        <v>71.3</v>
      </c>
      <c r="Q421">
        <v>86.97</v>
      </c>
      <c r="R421">
        <v>62.19</v>
      </c>
      <c r="S421">
        <v>74.58</v>
      </c>
      <c r="T421">
        <v>172601</v>
      </c>
      <c r="V421" t="str">
        <v>Kota Makasar</v>
      </c>
      <c r="W421">
        <v>11.8</v>
      </c>
      <c r="X421">
        <v>11.55</v>
      </c>
      <c r="Y421">
        <v>11.59</v>
      </c>
      <c r="Z421">
        <v>15.58</v>
      </c>
      <c r="AA421">
        <v>16.13</v>
      </c>
      <c r="AB421">
        <v>15.63</v>
      </c>
      <c r="AC421">
        <v>87.52</v>
      </c>
      <c r="AD421">
        <v>83.99</v>
      </c>
      <c r="AE421">
        <v>85.66</v>
      </c>
      <c r="AF421">
        <v>10.039999999999999</v>
      </c>
      <c r="AG421">
        <v>8.84</v>
      </c>
      <c r="AH421">
        <v>9.6</v>
      </c>
      <c r="AI421">
        <v>72.84</v>
      </c>
      <c r="AJ421">
        <v>78.5</v>
      </c>
      <c r="AK421">
        <v>75.599999999999994</v>
      </c>
      <c r="AL421">
        <v>77.5</v>
      </c>
      <c r="AM421">
        <v>44.26</v>
      </c>
      <c r="AN421">
        <v>60.88</v>
      </c>
      <c r="AO421">
        <v>1473907</v>
      </c>
    </row>
    <row r="422" spans="1:41" x14ac:dyDescent="0.35">
      <c r="A422" t="s">
        <v>422</v>
      </c>
      <c r="B422">
        <v>9.0500000000000007</v>
      </c>
      <c r="C422">
        <v>9.1</v>
      </c>
      <c r="D422">
        <v>9.0500000000000007</v>
      </c>
      <c r="E422">
        <v>13.04</v>
      </c>
      <c r="F422">
        <v>13.49</v>
      </c>
      <c r="G422">
        <v>13.3</v>
      </c>
      <c r="H422">
        <v>74.66</v>
      </c>
      <c r="I422">
        <v>70.72</v>
      </c>
      <c r="J422">
        <v>71.680000000000007</v>
      </c>
      <c r="K422">
        <v>1.9</v>
      </c>
      <c r="L422">
        <v>2.88</v>
      </c>
      <c r="M422">
        <v>2.2999999999999998</v>
      </c>
      <c r="N422">
        <v>69.69</v>
      </c>
      <c r="O422">
        <v>73.67</v>
      </c>
      <c r="P422">
        <v>71.63</v>
      </c>
      <c r="Q422">
        <v>87.92</v>
      </c>
      <c r="R422">
        <v>63.64</v>
      </c>
      <c r="S422">
        <v>75.78</v>
      </c>
      <c r="T422">
        <v>273243</v>
      </c>
      <c r="V422" t="str">
        <v>Kota Parepare</v>
      </c>
      <c r="W422">
        <v>11.2</v>
      </c>
      <c r="X422">
        <v>10.79</v>
      </c>
      <c r="Y422">
        <v>10.89</v>
      </c>
      <c r="Z422">
        <v>14.24</v>
      </c>
      <c r="AA422">
        <v>14.9</v>
      </c>
      <c r="AB422">
        <v>14.62</v>
      </c>
      <c r="AC422">
        <v>82.95</v>
      </c>
      <c r="AD422">
        <v>81.489999999999995</v>
      </c>
      <c r="AE422">
        <v>81.5</v>
      </c>
      <c r="AF422">
        <v>5.29</v>
      </c>
      <c r="AG422">
        <v>4.5599999999999996</v>
      </c>
      <c r="AH422">
        <v>4.9800000000000004</v>
      </c>
      <c r="AI422">
        <v>72.27</v>
      </c>
      <c r="AJ422">
        <v>77.67</v>
      </c>
      <c r="AK422">
        <v>74.900000000000006</v>
      </c>
      <c r="AL422">
        <v>78.930000000000007</v>
      </c>
      <c r="AM422">
        <v>55.67</v>
      </c>
      <c r="AN422">
        <v>67.3</v>
      </c>
      <c r="AO422">
        <v>163404</v>
      </c>
    </row>
    <row r="423" spans="1:41" x14ac:dyDescent="0.35">
      <c r="A423" t="s">
        <v>423</v>
      </c>
      <c r="B423">
        <v>9.18</v>
      </c>
      <c r="C423">
        <v>8.36</v>
      </c>
      <c r="D423">
        <v>8.66</v>
      </c>
      <c r="E423">
        <v>13.08</v>
      </c>
      <c r="F423">
        <v>13.19</v>
      </c>
      <c r="G423">
        <v>13.17</v>
      </c>
      <c r="H423">
        <v>74.540000000000006</v>
      </c>
      <c r="I423">
        <v>69.400000000000006</v>
      </c>
      <c r="J423">
        <v>70.459999999999994</v>
      </c>
      <c r="K423">
        <v>3.21</v>
      </c>
      <c r="L423">
        <v>4.4000000000000004</v>
      </c>
      <c r="M423">
        <v>3.69</v>
      </c>
      <c r="N423">
        <v>69.510000000000005</v>
      </c>
      <c r="O423">
        <v>73.489999999999995</v>
      </c>
      <c r="P423">
        <v>71.45</v>
      </c>
      <c r="Q423">
        <v>81.64</v>
      </c>
      <c r="R423">
        <v>55.34</v>
      </c>
      <c r="S423">
        <v>68.489999999999995</v>
      </c>
      <c r="T423">
        <v>74937</v>
      </c>
      <c r="V423" t="str">
        <v>Kota Palopo</v>
      </c>
      <c r="W423">
        <v>11.31</v>
      </c>
      <c r="X423">
        <v>11.13</v>
      </c>
      <c r="Y423">
        <v>11.17</v>
      </c>
      <c r="Z423">
        <v>14.27</v>
      </c>
      <c r="AA423">
        <v>15.86</v>
      </c>
      <c r="AB423">
        <v>15.14</v>
      </c>
      <c r="AC423">
        <v>82.9</v>
      </c>
      <c r="AD423">
        <v>81.59</v>
      </c>
      <c r="AE423">
        <v>81.739999999999995</v>
      </c>
      <c r="AF423">
        <v>7.75</v>
      </c>
      <c r="AG423">
        <v>7.22</v>
      </c>
      <c r="AH423">
        <v>7.53</v>
      </c>
      <c r="AI423">
        <v>71.959999999999994</v>
      </c>
      <c r="AJ423">
        <v>77.11</v>
      </c>
      <c r="AK423">
        <v>74.47</v>
      </c>
      <c r="AL423">
        <v>78.790000000000006</v>
      </c>
      <c r="AM423">
        <v>54.67</v>
      </c>
      <c r="AN423">
        <v>66.73</v>
      </c>
      <c r="AO423">
        <v>198534</v>
      </c>
    </row>
    <row r="424" spans="1:41" x14ac:dyDescent="0.35">
      <c r="A424" t="s">
        <v>424</v>
      </c>
      <c r="B424">
        <v>9.39</v>
      </c>
      <c r="C424">
        <v>9.09</v>
      </c>
      <c r="D424">
        <v>9.14</v>
      </c>
      <c r="E424">
        <v>12.33</v>
      </c>
      <c r="F424">
        <v>13</v>
      </c>
      <c r="G424">
        <v>12.6</v>
      </c>
      <c r="H424">
        <v>74.11</v>
      </c>
      <c r="I424">
        <v>72.05</v>
      </c>
      <c r="J424">
        <v>72.16</v>
      </c>
      <c r="K424">
        <v>2.0299999999999998</v>
      </c>
      <c r="L424">
        <v>3.01</v>
      </c>
      <c r="M424">
        <v>2.38</v>
      </c>
      <c r="N424">
        <v>70.64</v>
      </c>
      <c r="O424">
        <v>74.67</v>
      </c>
      <c r="P424">
        <v>72.61</v>
      </c>
      <c r="Q424">
        <v>86.28</v>
      </c>
      <c r="R424">
        <v>52.88</v>
      </c>
      <c r="S424">
        <v>69.58</v>
      </c>
      <c r="T424">
        <v>129638</v>
      </c>
      <c r="V424" t="str">
        <v>Buton</v>
      </c>
      <c r="W424">
        <v>9.64</v>
      </c>
      <c r="X424">
        <v>8.1199999999999992</v>
      </c>
      <c r="Y424">
        <v>8.69</v>
      </c>
      <c r="Z424">
        <v>14.38</v>
      </c>
      <c r="AA424">
        <v>13.96</v>
      </c>
      <c r="AB424">
        <v>13.97</v>
      </c>
      <c r="AC424">
        <v>77.19</v>
      </c>
      <c r="AD424">
        <v>63.81</v>
      </c>
      <c r="AE424">
        <v>70.22</v>
      </c>
      <c r="AF424">
        <v>3.6</v>
      </c>
      <c r="AG424">
        <v>2.81</v>
      </c>
      <c r="AH424">
        <v>3.3</v>
      </c>
      <c r="AI424">
        <v>68.739999999999995</v>
      </c>
      <c r="AJ424">
        <v>72.680000000000007</v>
      </c>
      <c r="AK424">
        <v>70.66</v>
      </c>
      <c r="AL424">
        <v>76.62</v>
      </c>
      <c r="AM424">
        <v>48.19</v>
      </c>
      <c r="AN424">
        <v>62.41</v>
      </c>
      <c r="AO424">
        <v>123845</v>
      </c>
    </row>
    <row r="425" spans="1:41" x14ac:dyDescent="0.35">
      <c r="A425" t="s">
        <v>425</v>
      </c>
      <c r="B425">
        <v>12.12</v>
      </c>
      <c r="C425">
        <v>11.4</v>
      </c>
      <c r="D425">
        <v>11.76</v>
      </c>
      <c r="E425">
        <v>16.100000000000001</v>
      </c>
      <c r="F425">
        <v>16.98</v>
      </c>
      <c r="G425">
        <v>16.53</v>
      </c>
      <c r="H425">
        <v>85.07</v>
      </c>
      <c r="I425">
        <v>84.38</v>
      </c>
      <c r="J425">
        <v>84.53</v>
      </c>
      <c r="K425">
        <v>6.05</v>
      </c>
      <c r="L425">
        <v>5</v>
      </c>
      <c r="M425">
        <v>5.59</v>
      </c>
      <c r="N425">
        <v>71.819999999999993</v>
      </c>
      <c r="O425">
        <v>76.8</v>
      </c>
      <c r="P425">
        <v>74.25</v>
      </c>
      <c r="Q425">
        <v>79.56</v>
      </c>
      <c r="R425">
        <v>61.63</v>
      </c>
      <c r="S425">
        <v>70.599999999999994</v>
      </c>
      <c r="T425">
        <v>397472</v>
      </c>
      <c r="V425" t="str">
        <v>Muna</v>
      </c>
      <c r="W425">
        <v>9.59</v>
      </c>
      <c r="X425">
        <v>8.33</v>
      </c>
      <c r="Y425">
        <v>8.86</v>
      </c>
      <c r="Z425">
        <v>14.18</v>
      </c>
      <c r="AA425">
        <v>14.31</v>
      </c>
      <c r="AB425">
        <v>14.18</v>
      </c>
      <c r="AC425">
        <v>77.180000000000007</v>
      </c>
      <c r="AD425">
        <v>68.510000000000005</v>
      </c>
      <c r="AE425">
        <v>72.23</v>
      </c>
      <c r="AF425">
        <v>3.92</v>
      </c>
      <c r="AG425">
        <v>4.41</v>
      </c>
      <c r="AH425">
        <v>4.1399999999999997</v>
      </c>
      <c r="AI425">
        <v>69.83</v>
      </c>
      <c r="AJ425">
        <v>73.819999999999993</v>
      </c>
      <c r="AK425">
        <v>71.77</v>
      </c>
      <c r="AL425">
        <v>76.92</v>
      </c>
      <c r="AM425">
        <v>62.1</v>
      </c>
      <c r="AN425">
        <v>69.510000000000005</v>
      </c>
      <c r="AO425">
        <v>231267</v>
      </c>
    </row>
    <row r="426" spans="1:41" x14ac:dyDescent="0.35">
      <c r="A426" t="s">
        <v>426</v>
      </c>
      <c r="B426">
        <v>9.09</v>
      </c>
      <c r="C426">
        <v>8.92</v>
      </c>
      <c r="D426">
        <v>9</v>
      </c>
      <c r="E426">
        <v>13.44</v>
      </c>
      <c r="F426">
        <v>13.91</v>
      </c>
      <c r="G426">
        <v>13.56</v>
      </c>
      <c r="H426">
        <v>79.45</v>
      </c>
      <c r="I426">
        <v>74.92</v>
      </c>
      <c r="J426">
        <v>75.92</v>
      </c>
      <c r="K426">
        <v>4.3899999999999997</v>
      </c>
      <c r="L426">
        <v>3.92</v>
      </c>
      <c r="M426">
        <v>4.21</v>
      </c>
      <c r="N426">
        <v>71.75</v>
      </c>
      <c r="O426">
        <v>76.66</v>
      </c>
      <c r="P426">
        <v>74.150000000000006</v>
      </c>
      <c r="Q426">
        <v>82.8</v>
      </c>
      <c r="R426">
        <v>52.95</v>
      </c>
      <c r="S426">
        <v>67.88</v>
      </c>
      <c r="T426">
        <v>9563127</v>
      </c>
      <c r="V426" t="str">
        <v>Konawe</v>
      </c>
      <c r="W426">
        <v>10</v>
      </c>
      <c r="X426">
        <v>9.66</v>
      </c>
      <c r="Y426">
        <v>9.8000000000000007</v>
      </c>
      <c r="Z426">
        <v>12.76</v>
      </c>
      <c r="AA426">
        <v>13.56</v>
      </c>
      <c r="AB426">
        <v>13.11</v>
      </c>
      <c r="AC426">
        <v>78.72</v>
      </c>
      <c r="AD426">
        <v>74.319999999999993</v>
      </c>
      <c r="AE426">
        <v>75.09</v>
      </c>
      <c r="AF426">
        <v>1.76</v>
      </c>
      <c r="AG426">
        <v>4.37</v>
      </c>
      <c r="AH426">
        <v>2.81</v>
      </c>
      <c r="AI426">
        <v>71.03</v>
      </c>
      <c r="AJ426">
        <v>75.150000000000006</v>
      </c>
      <c r="AK426">
        <v>73.040000000000006</v>
      </c>
      <c r="AL426">
        <v>88.95</v>
      </c>
      <c r="AM426">
        <v>63.8</v>
      </c>
      <c r="AN426">
        <v>76.38</v>
      </c>
      <c r="AO426">
        <v>278549</v>
      </c>
    </row>
    <row r="427" spans="1:41" x14ac:dyDescent="0.35">
      <c r="A427" t="s">
        <v>427</v>
      </c>
      <c r="B427">
        <v>8.85</v>
      </c>
      <c r="C427">
        <v>8.6300000000000008</v>
      </c>
      <c r="D427">
        <v>8.64</v>
      </c>
      <c r="E427">
        <v>12.64</v>
      </c>
      <c r="F427">
        <v>13.89</v>
      </c>
      <c r="G427">
        <v>12.96</v>
      </c>
      <c r="H427">
        <v>77.239999999999995</v>
      </c>
      <c r="I427">
        <v>72.209999999999994</v>
      </c>
      <c r="J427">
        <v>72.78</v>
      </c>
      <c r="K427">
        <v>2.76</v>
      </c>
      <c r="L427">
        <v>2.08</v>
      </c>
      <c r="M427">
        <v>2.48</v>
      </c>
      <c r="N427">
        <v>71.52</v>
      </c>
      <c r="O427">
        <v>76.180000000000007</v>
      </c>
      <c r="P427">
        <v>73.790000000000006</v>
      </c>
      <c r="Q427">
        <v>81.95</v>
      </c>
      <c r="R427">
        <v>53.73</v>
      </c>
      <c r="S427">
        <v>67.84</v>
      </c>
      <c r="T427">
        <v>144232</v>
      </c>
      <c r="V427" t="str">
        <v>Kolaka</v>
      </c>
      <c r="W427">
        <v>9.76</v>
      </c>
      <c r="X427">
        <v>9.35</v>
      </c>
      <c r="Y427">
        <v>9.5500000000000007</v>
      </c>
      <c r="Z427">
        <v>13.07</v>
      </c>
      <c r="AA427">
        <v>13.85</v>
      </c>
      <c r="AB427">
        <v>13.17</v>
      </c>
      <c r="AC427">
        <v>80.52</v>
      </c>
      <c r="AD427">
        <v>73.3</v>
      </c>
      <c r="AE427">
        <v>76.92</v>
      </c>
      <c r="AF427">
        <v>1.37</v>
      </c>
      <c r="AG427">
        <v>3.58</v>
      </c>
      <c r="AH427">
        <v>2.25</v>
      </c>
      <c r="AI427">
        <v>71.56</v>
      </c>
      <c r="AJ427">
        <v>76.27</v>
      </c>
      <c r="AK427">
        <v>73.86</v>
      </c>
      <c r="AL427">
        <v>89.12</v>
      </c>
      <c r="AM427">
        <v>62.44</v>
      </c>
      <c r="AN427">
        <v>75.78</v>
      </c>
      <c r="AO427">
        <v>251538</v>
      </c>
    </row>
    <row r="428" spans="1:41" x14ac:dyDescent="0.35">
      <c r="A428" t="s">
        <v>428</v>
      </c>
      <c r="B428">
        <v>8.76</v>
      </c>
      <c r="C428">
        <v>8.61</v>
      </c>
      <c r="D428">
        <v>8.66</v>
      </c>
      <c r="E428">
        <v>13.23</v>
      </c>
      <c r="F428">
        <v>13.64</v>
      </c>
      <c r="G428">
        <v>13.46</v>
      </c>
      <c r="H428">
        <v>77.59</v>
      </c>
      <c r="I428">
        <v>75.180000000000007</v>
      </c>
      <c r="J428">
        <v>75.260000000000005</v>
      </c>
      <c r="K428">
        <v>2.75</v>
      </c>
      <c r="L428">
        <v>1.32</v>
      </c>
      <c r="M428">
        <v>2.12</v>
      </c>
      <c r="N428">
        <v>71.94</v>
      </c>
      <c r="O428">
        <v>77.05</v>
      </c>
      <c r="P428">
        <v>74.430000000000007</v>
      </c>
      <c r="Q428">
        <v>87.28</v>
      </c>
      <c r="R428">
        <v>63.86</v>
      </c>
      <c r="S428">
        <v>75.569999999999993</v>
      </c>
      <c r="T428">
        <v>458997</v>
      </c>
      <c r="V428" t="str">
        <v>Konawe Selatan</v>
      </c>
      <c r="W428">
        <v>9.1999999999999993</v>
      </c>
      <c r="X428">
        <v>8.58</v>
      </c>
      <c r="Y428">
        <v>8.9700000000000006</v>
      </c>
      <c r="Z428">
        <v>12.73</v>
      </c>
      <c r="AA428">
        <v>13.39</v>
      </c>
      <c r="AB428">
        <v>12.95</v>
      </c>
      <c r="AC428">
        <v>76.36</v>
      </c>
      <c r="AD428">
        <v>67.98</v>
      </c>
      <c r="AE428">
        <v>72.319999999999993</v>
      </c>
      <c r="AF428">
        <v>2.59</v>
      </c>
      <c r="AG428">
        <v>4.3</v>
      </c>
      <c r="AH428">
        <v>3.23</v>
      </c>
      <c r="AI428">
        <v>70</v>
      </c>
      <c r="AJ428">
        <v>74</v>
      </c>
      <c r="AK428">
        <v>71.95</v>
      </c>
      <c r="AL428">
        <v>85.96</v>
      </c>
      <c r="AM428">
        <v>54.61</v>
      </c>
      <c r="AN428">
        <v>70.290000000000006</v>
      </c>
      <c r="AO428">
        <v>334616</v>
      </c>
    </row>
    <row r="429" spans="1:41" x14ac:dyDescent="0.35">
      <c r="A429" t="s">
        <v>429</v>
      </c>
      <c r="B429">
        <v>7.66</v>
      </c>
      <c r="C429">
        <v>7.43</v>
      </c>
      <c r="D429">
        <v>7.43</v>
      </c>
      <c r="E429">
        <v>12.87</v>
      </c>
      <c r="F429">
        <v>12.93</v>
      </c>
      <c r="G429">
        <v>12.92</v>
      </c>
      <c r="H429">
        <v>73.94</v>
      </c>
      <c r="I429">
        <v>70.77</v>
      </c>
      <c r="J429">
        <v>73.12</v>
      </c>
      <c r="K429">
        <v>3.85</v>
      </c>
      <c r="L429">
        <v>3.59</v>
      </c>
      <c r="M429">
        <v>3.74</v>
      </c>
      <c r="N429">
        <v>71.08</v>
      </c>
      <c r="O429">
        <v>75.25</v>
      </c>
      <c r="P429">
        <v>73.11</v>
      </c>
      <c r="Q429">
        <v>87.65</v>
      </c>
      <c r="R429">
        <v>65.27</v>
      </c>
      <c r="S429">
        <v>76.459999999999994</v>
      </c>
      <c r="T429">
        <v>207651</v>
      </c>
      <c r="V429" t="str">
        <v>Bombana</v>
      </c>
      <c r="W429">
        <v>8.5</v>
      </c>
      <c r="X429">
        <v>8.1999999999999993</v>
      </c>
      <c r="Y429">
        <v>8.27</v>
      </c>
      <c r="Z429">
        <v>11.91</v>
      </c>
      <c r="AA429">
        <v>12.58</v>
      </c>
      <c r="AB429">
        <v>11.98</v>
      </c>
      <c r="AC429">
        <v>73.92</v>
      </c>
      <c r="AD429">
        <v>64</v>
      </c>
      <c r="AE429">
        <v>69.540000000000006</v>
      </c>
      <c r="AF429">
        <v>3.05</v>
      </c>
      <c r="AG429">
        <v>1.69</v>
      </c>
      <c r="AH429">
        <v>2.52</v>
      </c>
      <c r="AI429">
        <v>69.37</v>
      </c>
      <c r="AJ429">
        <v>73.34</v>
      </c>
      <c r="AK429">
        <v>71.31</v>
      </c>
      <c r="AL429">
        <v>86.25</v>
      </c>
      <c r="AM429">
        <v>56.51</v>
      </c>
      <c r="AN429">
        <v>71.38</v>
      </c>
      <c r="AO429">
        <v>163160</v>
      </c>
    </row>
    <row r="430" spans="1:41" x14ac:dyDescent="0.35">
      <c r="A430" t="s">
        <v>430</v>
      </c>
      <c r="B430">
        <v>6.99</v>
      </c>
      <c r="C430">
        <v>7.02</v>
      </c>
      <c r="D430">
        <v>7.02</v>
      </c>
      <c r="E430">
        <v>12.4</v>
      </c>
      <c r="F430">
        <v>12.17</v>
      </c>
      <c r="G430">
        <v>12.28</v>
      </c>
      <c r="H430">
        <v>74.3</v>
      </c>
      <c r="I430">
        <v>69.12</v>
      </c>
      <c r="J430">
        <v>70.25</v>
      </c>
      <c r="K430">
        <v>2.48</v>
      </c>
      <c r="L430">
        <v>1.01</v>
      </c>
      <c r="M430">
        <v>1.88</v>
      </c>
      <c r="N430">
        <v>71.84</v>
      </c>
      <c r="O430">
        <v>76.84</v>
      </c>
      <c r="P430">
        <v>74.28</v>
      </c>
      <c r="Q430">
        <v>86.64</v>
      </c>
      <c r="R430">
        <v>57.49</v>
      </c>
      <c r="S430">
        <v>72.069999999999993</v>
      </c>
      <c r="T430">
        <v>423370</v>
      </c>
      <c r="V430" t="str">
        <v>Wakatobi</v>
      </c>
      <c r="W430">
        <v>9.09</v>
      </c>
      <c r="X430">
        <v>8.36</v>
      </c>
      <c r="Y430">
        <v>8.5399999999999991</v>
      </c>
      <c r="Z430">
        <v>13.71</v>
      </c>
      <c r="AA430">
        <v>13.5</v>
      </c>
      <c r="AB430">
        <v>13.55</v>
      </c>
      <c r="AC430">
        <v>77.209999999999994</v>
      </c>
      <c r="AD430">
        <v>69.27</v>
      </c>
      <c r="AE430">
        <v>72.59</v>
      </c>
      <c r="AF430">
        <v>3.26</v>
      </c>
      <c r="AG430">
        <v>4.5199999999999996</v>
      </c>
      <c r="AH430">
        <v>3.82</v>
      </c>
      <c r="AI430">
        <v>69.17</v>
      </c>
      <c r="AJ430">
        <v>73.13</v>
      </c>
      <c r="AK430">
        <v>71.099999999999994</v>
      </c>
      <c r="AL430">
        <v>82</v>
      </c>
      <c r="AM430">
        <v>65.52</v>
      </c>
      <c r="AN430">
        <v>73.760000000000005</v>
      </c>
      <c r="AO430">
        <v>120039</v>
      </c>
    </row>
    <row r="431" spans="1:41" x14ac:dyDescent="0.35">
      <c r="A431" t="s">
        <v>431</v>
      </c>
      <c r="B431">
        <v>7.99</v>
      </c>
      <c r="C431">
        <v>7.77</v>
      </c>
      <c r="D431">
        <v>7.84</v>
      </c>
      <c r="E431">
        <v>12.61</v>
      </c>
      <c r="F431">
        <v>12.97</v>
      </c>
      <c r="G431">
        <v>12.62</v>
      </c>
      <c r="H431">
        <v>77.040000000000006</v>
      </c>
      <c r="I431">
        <v>68.61</v>
      </c>
      <c r="J431">
        <v>72.790000000000006</v>
      </c>
      <c r="K431">
        <v>3.4</v>
      </c>
      <c r="L431">
        <v>4.3</v>
      </c>
      <c r="M431">
        <v>3.76</v>
      </c>
      <c r="N431">
        <v>71.709999999999994</v>
      </c>
      <c r="O431">
        <v>76.569999999999993</v>
      </c>
      <c r="P431">
        <v>74.08</v>
      </c>
      <c r="Q431">
        <v>86.89</v>
      </c>
      <c r="R431">
        <v>53.63</v>
      </c>
      <c r="S431">
        <v>70.260000000000005</v>
      </c>
      <c r="T431">
        <v>321144</v>
      </c>
      <c r="V431" t="str">
        <v>Kolaka Utara</v>
      </c>
      <c r="W431">
        <v>8.82</v>
      </c>
      <c r="X431">
        <v>9.2200000000000006</v>
      </c>
      <c r="Y431">
        <v>9.06</v>
      </c>
      <c r="Z431">
        <v>12.25</v>
      </c>
      <c r="AA431">
        <v>12.55</v>
      </c>
      <c r="AB431">
        <v>12.25</v>
      </c>
      <c r="AC431">
        <v>72.95</v>
      </c>
      <c r="AD431">
        <v>72.22</v>
      </c>
      <c r="AE431">
        <v>72.37</v>
      </c>
      <c r="AF431">
        <v>1.19</v>
      </c>
      <c r="AG431">
        <v>2.2000000000000002</v>
      </c>
      <c r="AH431">
        <v>1.62</v>
      </c>
      <c r="AI431">
        <v>68.84</v>
      </c>
      <c r="AJ431">
        <v>72.790000000000006</v>
      </c>
      <c r="AK431">
        <v>70.77</v>
      </c>
      <c r="AL431">
        <v>89.13</v>
      </c>
      <c r="AM431">
        <v>67.930000000000007</v>
      </c>
      <c r="AN431">
        <v>78.53</v>
      </c>
      <c r="AO431">
        <v>151357</v>
      </c>
    </row>
    <row r="432" spans="1:41" x14ac:dyDescent="0.35">
      <c r="A432" t="s">
        <v>432</v>
      </c>
      <c r="B432">
        <v>8.67</v>
      </c>
      <c r="C432">
        <v>8.4499999999999993</v>
      </c>
      <c r="D432">
        <v>8.5399999999999991</v>
      </c>
      <c r="E432">
        <v>13.51</v>
      </c>
      <c r="F432">
        <v>14.13</v>
      </c>
      <c r="G432">
        <v>13.72</v>
      </c>
      <c r="H432">
        <v>78.36</v>
      </c>
      <c r="I432">
        <v>70.260000000000005</v>
      </c>
      <c r="J432">
        <v>74.22</v>
      </c>
      <c r="K432">
        <v>3.56</v>
      </c>
      <c r="L432">
        <v>5.38</v>
      </c>
      <c r="M432">
        <v>4.25</v>
      </c>
      <c r="N432">
        <v>71.94</v>
      </c>
      <c r="O432">
        <v>77.05</v>
      </c>
      <c r="P432">
        <v>74.430000000000007</v>
      </c>
      <c r="Q432">
        <v>85.81</v>
      </c>
      <c r="R432">
        <v>51.22</v>
      </c>
      <c r="S432">
        <v>68.52</v>
      </c>
      <c r="T432">
        <v>826957</v>
      </c>
      <c r="V432" t="str">
        <v>Buton Utara</v>
      </c>
      <c r="W432">
        <v>9.81</v>
      </c>
      <c r="X432">
        <v>8.94</v>
      </c>
      <c r="Y432">
        <v>9.2799999999999994</v>
      </c>
      <c r="Z432">
        <v>13.54</v>
      </c>
      <c r="AA432">
        <v>13.31</v>
      </c>
      <c r="AB432">
        <v>13.33</v>
      </c>
      <c r="AC432">
        <v>75.23</v>
      </c>
      <c r="AD432">
        <v>69.790000000000006</v>
      </c>
      <c r="AE432">
        <v>71.290000000000006</v>
      </c>
      <c r="AF432">
        <v>1.01</v>
      </c>
      <c r="AG432">
        <v>3.18</v>
      </c>
      <c r="AH432">
        <v>1.98</v>
      </c>
      <c r="AI432">
        <v>69.53</v>
      </c>
      <c r="AJ432">
        <v>73.5</v>
      </c>
      <c r="AK432">
        <v>71.47</v>
      </c>
      <c r="AL432">
        <v>88.93</v>
      </c>
      <c r="AM432">
        <v>74.87</v>
      </c>
      <c r="AN432">
        <v>81.900000000000006</v>
      </c>
      <c r="AO432">
        <v>70615</v>
      </c>
    </row>
    <row r="433" spans="1:41" x14ac:dyDescent="0.35">
      <c r="A433" t="s">
        <v>433</v>
      </c>
      <c r="B433">
        <v>8.14</v>
      </c>
      <c r="C433">
        <v>7.97</v>
      </c>
      <c r="D433">
        <v>7.97</v>
      </c>
      <c r="E433">
        <v>13.38</v>
      </c>
      <c r="F433">
        <v>13.88</v>
      </c>
      <c r="G433">
        <v>13.46</v>
      </c>
      <c r="H433">
        <v>73.78</v>
      </c>
      <c r="I433">
        <v>72.66</v>
      </c>
      <c r="J433">
        <v>72.760000000000005</v>
      </c>
      <c r="K433">
        <v>2.62</v>
      </c>
      <c r="L433">
        <v>1.46</v>
      </c>
      <c r="M433">
        <v>2.1</v>
      </c>
      <c r="N433">
        <v>71.239999999999995</v>
      </c>
      <c r="O433">
        <v>75.59</v>
      </c>
      <c r="P433">
        <v>73.36</v>
      </c>
      <c r="Q433">
        <v>88.05</v>
      </c>
      <c r="R433">
        <v>71.150000000000006</v>
      </c>
      <c r="S433">
        <v>79.599999999999994</v>
      </c>
      <c r="T433">
        <v>273313</v>
      </c>
      <c r="V433" t="str">
        <v>Konawe Utara</v>
      </c>
      <c r="W433">
        <v>10.220000000000001</v>
      </c>
      <c r="X433">
        <v>9.42</v>
      </c>
      <c r="Y433">
        <v>9.7899999999999991</v>
      </c>
      <c r="Z433">
        <v>12.92</v>
      </c>
      <c r="AA433">
        <v>13.39</v>
      </c>
      <c r="AB433">
        <v>13.15</v>
      </c>
      <c r="AC433">
        <v>77.72</v>
      </c>
      <c r="AD433">
        <v>68.069999999999993</v>
      </c>
      <c r="AE433">
        <v>73.42</v>
      </c>
      <c r="AF433">
        <v>3.95</v>
      </c>
      <c r="AG433">
        <v>4.05</v>
      </c>
      <c r="AH433">
        <v>3.99</v>
      </c>
      <c r="AI433">
        <v>68.81</v>
      </c>
      <c r="AJ433">
        <v>72.75</v>
      </c>
      <c r="AK433">
        <v>70.73</v>
      </c>
      <c r="AL433">
        <v>85.83</v>
      </c>
      <c r="AM433">
        <v>59.06</v>
      </c>
      <c r="AN433">
        <v>72.45</v>
      </c>
      <c r="AO433">
        <v>75395</v>
      </c>
    </row>
    <row r="434" spans="1:41" x14ac:dyDescent="0.35">
      <c r="A434" t="s">
        <v>434</v>
      </c>
      <c r="B434">
        <v>8.7799999999999994</v>
      </c>
      <c r="C434">
        <v>7.99</v>
      </c>
      <c r="D434">
        <v>8.1999999999999993</v>
      </c>
      <c r="E434">
        <v>13.44</v>
      </c>
      <c r="F434">
        <v>13.65</v>
      </c>
      <c r="G434">
        <v>13.52</v>
      </c>
      <c r="H434">
        <v>79.48</v>
      </c>
      <c r="I434">
        <v>71.72</v>
      </c>
      <c r="J434">
        <v>74.790000000000006</v>
      </c>
      <c r="K434">
        <v>3.95</v>
      </c>
      <c r="L434">
        <v>4.4000000000000004</v>
      </c>
      <c r="M434">
        <v>4.13</v>
      </c>
      <c r="N434">
        <v>71.72</v>
      </c>
      <c r="O434">
        <v>76.599999999999994</v>
      </c>
      <c r="P434">
        <v>74.099999999999994</v>
      </c>
      <c r="Q434">
        <v>81.77</v>
      </c>
      <c r="R434">
        <v>51.65</v>
      </c>
      <c r="S434">
        <v>66.709999999999994</v>
      </c>
      <c r="T434">
        <v>419148</v>
      </c>
      <c r="V434" t="str">
        <v>Kolaka Timur</v>
      </c>
      <c r="W434">
        <v>8.69</v>
      </c>
      <c r="X434">
        <v>8.3000000000000007</v>
      </c>
      <c r="Y434">
        <v>8.65</v>
      </c>
      <c r="Z434">
        <v>12.73</v>
      </c>
      <c r="AA434">
        <v>12.71</v>
      </c>
      <c r="AB434">
        <v>12.73</v>
      </c>
      <c r="AC434">
        <v>71.39</v>
      </c>
      <c r="AD434">
        <v>70.930000000000007</v>
      </c>
      <c r="AE434">
        <v>71.19</v>
      </c>
      <c r="AF434">
        <v>1.73</v>
      </c>
      <c r="AG434">
        <v>2.94</v>
      </c>
      <c r="AH434">
        <v>2.2000000000000002</v>
      </c>
      <c r="AI434">
        <v>71.31</v>
      </c>
      <c r="AJ434">
        <v>75.739999999999995</v>
      </c>
      <c r="AK434">
        <v>73.47</v>
      </c>
      <c r="AL434">
        <v>90.05</v>
      </c>
      <c r="AM434">
        <v>59.76</v>
      </c>
      <c r="AN434">
        <v>74.91</v>
      </c>
      <c r="AO434">
        <v>129312</v>
      </c>
    </row>
    <row r="435" spans="1:41" x14ac:dyDescent="0.35">
      <c r="A435" t="s">
        <v>435</v>
      </c>
      <c r="B435">
        <v>8.75</v>
      </c>
      <c r="C435">
        <v>8.4</v>
      </c>
      <c r="D435">
        <v>8.48</v>
      </c>
      <c r="E435">
        <v>12.7</v>
      </c>
      <c r="F435">
        <v>13.28</v>
      </c>
      <c r="G435">
        <v>12.94</v>
      </c>
      <c r="H435">
        <v>78.88</v>
      </c>
      <c r="I435">
        <v>72.84</v>
      </c>
      <c r="J435">
        <v>74.62</v>
      </c>
      <c r="K435">
        <v>3.6</v>
      </c>
      <c r="L435">
        <v>4.34</v>
      </c>
      <c r="M435">
        <v>3.9</v>
      </c>
      <c r="N435">
        <v>71.319999999999993</v>
      </c>
      <c r="O435">
        <v>75.75</v>
      </c>
      <c r="P435">
        <v>73.48</v>
      </c>
      <c r="Q435">
        <v>83.69</v>
      </c>
      <c r="R435">
        <v>54.52</v>
      </c>
      <c r="S435">
        <v>69.11</v>
      </c>
      <c r="T435">
        <v>362692</v>
      </c>
      <c r="V435" t="str">
        <v>Konawe Kepulauan</v>
      </c>
      <c r="W435">
        <v>10.07</v>
      </c>
      <c r="X435">
        <v>9.19</v>
      </c>
      <c r="Y435">
        <v>9.61</v>
      </c>
      <c r="Z435">
        <v>12.32</v>
      </c>
      <c r="AA435">
        <v>13.07</v>
      </c>
      <c r="AB435">
        <v>12.57</v>
      </c>
      <c r="AC435">
        <v>74.39</v>
      </c>
      <c r="AD435">
        <v>64.69</v>
      </c>
      <c r="AE435">
        <v>69.39</v>
      </c>
      <c r="AF435">
        <v>2.14</v>
      </c>
      <c r="AG435">
        <v>0.63</v>
      </c>
      <c r="AH435">
        <v>1.52</v>
      </c>
      <c r="AI435">
        <v>68.47</v>
      </c>
      <c r="AJ435">
        <v>72.400000000000006</v>
      </c>
      <c r="AK435">
        <v>70.38</v>
      </c>
      <c r="AL435">
        <v>89.34</v>
      </c>
      <c r="AM435">
        <v>64.55</v>
      </c>
      <c r="AN435">
        <v>76.95</v>
      </c>
      <c r="AO435">
        <v>40353</v>
      </c>
    </row>
    <row r="436" spans="1:41" x14ac:dyDescent="0.35">
      <c r="A436" t="s">
        <v>436</v>
      </c>
      <c r="B436">
        <v>8.9700000000000006</v>
      </c>
      <c r="C436">
        <v>8.85</v>
      </c>
      <c r="D436">
        <v>8.93</v>
      </c>
      <c r="E436">
        <v>13.74</v>
      </c>
      <c r="F436">
        <v>13.97</v>
      </c>
      <c r="G436">
        <v>13.76</v>
      </c>
      <c r="H436">
        <v>78.02</v>
      </c>
      <c r="I436">
        <v>75.05</v>
      </c>
      <c r="J436">
        <v>75.41</v>
      </c>
      <c r="K436">
        <v>4.49</v>
      </c>
      <c r="L436">
        <v>6.03</v>
      </c>
      <c r="M436">
        <v>5.07</v>
      </c>
      <c r="N436">
        <v>71.12</v>
      </c>
      <c r="O436">
        <v>75.34</v>
      </c>
      <c r="P436">
        <v>73.180000000000007</v>
      </c>
      <c r="Q436">
        <v>82.14</v>
      </c>
      <c r="R436">
        <v>46.79</v>
      </c>
      <c r="S436">
        <v>64.47</v>
      </c>
      <c r="T436">
        <v>190465</v>
      </c>
      <c r="V436" t="str">
        <v>Muna Barat</v>
      </c>
      <c r="W436">
        <v>8.91</v>
      </c>
      <c r="X436">
        <v>7.77</v>
      </c>
      <c r="Y436">
        <v>8.31</v>
      </c>
      <c r="Z436">
        <v>12.72</v>
      </c>
      <c r="AA436">
        <v>12.9</v>
      </c>
      <c r="AB436">
        <v>12.75</v>
      </c>
      <c r="AC436">
        <v>73.319999999999993</v>
      </c>
      <c r="AD436">
        <v>66.06</v>
      </c>
      <c r="AE436">
        <v>69.180000000000007</v>
      </c>
      <c r="AF436">
        <v>1.78</v>
      </c>
      <c r="AG436">
        <v>4.05</v>
      </c>
      <c r="AH436">
        <v>2.76</v>
      </c>
      <c r="AI436">
        <v>69.39</v>
      </c>
      <c r="AJ436">
        <v>73.36</v>
      </c>
      <c r="AK436">
        <v>71.319999999999993</v>
      </c>
      <c r="AL436">
        <v>86.56</v>
      </c>
      <c r="AM436">
        <v>64.13</v>
      </c>
      <c r="AN436">
        <v>75.349999999999994</v>
      </c>
      <c r="AO436">
        <v>92632</v>
      </c>
    </row>
    <row r="437" spans="1:41" x14ac:dyDescent="0.35">
      <c r="A437" t="s">
        <v>437</v>
      </c>
      <c r="B437">
        <v>7.82</v>
      </c>
      <c r="C437">
        <v>7.7</v>
      </c>
      <c r="D437">
        <v>7.7</v>
      </c>
      <c r="E437">
        <v>12.57</v>
      </c>
      <c r="F437">
        <v>13.63</v>
      </c>
      <c r="G437">
        <v>13.03</v>
      </c>
      <c r="H437">
        <v>74.900000000000006</v>
      </c>
      <c r="I437">
        <v>70.709999999999994</v>
      </c>
      <c r="J437">
        <v>71.63</v>
      </c>
      <c r="K437">
        <v>3.4</v>
      </c>
      <c r="L437">
        <v>1.68</v>
      </c>
      <c r="M437">
        <v>2.75</v>
      </c>
      <c r="N437">
        <v>71.55</v>
      </c>
      <c r="O437">
        <v>76.239999999999995</v>
      </c>
      <c r="P437">
        <v>73.84</v>
      </c>
      <c r="Q437">
        <v>83</v>
      </c>
      <c r="R437">
        <v>46.99</v>
      </c>
      <c r="S437">
        <v>65</v>
      </c>
      <c r="T437">
        <v>837104</v>
      </c>
      <c r="V437" t="str">
        <v>Buton Tengah</v>
      </c>
      <c r="W437">
        <v>7.75</v>
      </c>
      <c r="X437">
        <v>6.47</v>
      </c>
      <c r="Y437">
        <v>7.37</v>
      </c>
      <c r="Z437">
        <v>13.4</v>
      </c>
      <c r="AA437">
        <v>14.02</v>
      </c>
      <c r="AB437">
        <v>13.44</v>
      </c>
      <c r="AC437">
        <v>73.569999999999993</v>
      </c>
      <c r="AD437">
        <v>62.07</v>
      </c>
      <c r="AE437">
        <v>68.39</v>
      </c>
      <c r="AF437">
        <v>4.93</v>
      </c>
      <c r="AG437">
        <v>0.92</v>
      </c>
      <c r="AH437">
        <v>3.16</v>
      </c>
      <c r="AI437">
        <v>68.73</v>
      </c>
      <c r="AJ437">
        <v>72.67</v>
      </c>
      <c r="AK437">
        <v>70.650000000000006</v>
      </c>
      <c r="AL437">
        <v>74</v>
      </c>
      <c r="AM437">
        <v>58.57</v>
      </c>
      <c r="AN437">
        <v>66.290000000000006</v>
      </c>
      <c r="AO437">
        <v>123113</v>
      </c>
    </row>
    <row r="438" spans="1:41" x14ac:dyDescent="0.35">
      <c r="A438" t="s">
        <v>438</v>
      </c>
      <c r="B438">
        <v>8.5500000000000007</v>
      </c>
      <c r="C438">
        <v>8.73</v>
      </c>
      <c r="D438">
        <v>8.59</v>
      </c>
      <c r="E438">
        <v>13.38</v>
      </c>
      <c r="F438">
        <v>13.52</v>
      </c>
      <c r="G438">
        <v>13.4</v>
      </c>
      <c r="H438">
        <v>74.97</v>
      </c>
      <c r="I438">
        <v>73.48</v>
      </c>
      <c r="J438">
        <v>73.69</v>
      </c>
      <c r="K438">
        <v>3.83</v>
      </c>
      <c r="L438">
        <v>4.29</v>
      </c>
      <c r="M438">
        <v>4.01</v>
      </c>
      <c r="N438">
        <v>71.790000000000006</v>
      </c>
      <c r="O438">
        <v>76.739999999999995</v>
      </c>
      <c r="P438">
        <v>74.209999999999994</v>
      </c>
      <c r="Q438">
        <v>77.760000000000005</v>
      </c>
      <c r="R438">
        <v>44.92</v>
      </c>
      <c r="S438">
        <v>61.34</v>
      </c>
      <c r="T438">
        <v>240424</v>
      </c>
      <c r="V438" t="str">
        <v>Buton Selatan</v>
      </c>
      <c r="W438">
        <v>8.2799999999999994</v>
      </c>
      <c r="X438">
        <v>7.52</v>
      </c>
      <c r="Y438">
        <v>7.8</v>
      </c>
      <c r="Z438">
        <v>13.4</v>
      </c>
      <c r="AA438">
        <v>13.37</v>
      </c>
      <c r="AB438">
        <v>13.37</v>
      </c>
      <c r="AC438">
        <v>75.31</v>
      </c>
      <c r="AD438">
        <v>56.65</v>
      </c>
      <c r="AE438">
        <v>68.540000000000006</v>
      </c>
      <c r="AF438">
        <v>3.87</v>
      </c>
      <c r="AG438">
        <v>1.6</v>
      </c>
      <c r="AH438">
        <v>2.92</v>
      </c>
      <c r="AI438">
        <v>68.45</v>
      </c>
      <c r="AJ438">
        <v>72.38</v>
      </c>
      <c r="AK438">
        <v>70.36</v>
      </c>
      <c r="AL438">
        <v>80.59</v>
      </c>
      <c r="AM438">
        <v>59.81</v>
      </c>
      <c r="AN438">
        <v>70.2</v>
      </c>
      <c r="AO438">
        <v>102794</v>
      </c>
    </row>
    <row r="439" spans="1:41" x14ac:dyDescent="0.35">
      <c r="A439" t="s">
        <v>439</v>
      </c>
      <c r="B439">
        <v>7.84</v>
      </c>
      <c r="C439">
        <v>7.35</v>
      </c>
      <c r="D439">
        <v>7.72</v>
      </c>
      <c r="E439">
        <v>13.28</v>
      </c>
      <c r="F439">
        <v>13.72</v>
      </c>
      <c r="G439">
        <v>13.34</v>
      </c>
      <c r="H439">
        <v>79.180000000000007</v>
      </c>
      <c r="I439">
        <v>72.06</v>
      </c>
      <c r="J439">
        <v>74.72</v>
      </c>
      <c r="K439">
        <v>4.13</v>
      </c>
      <c r="L439">
        <v>2.5099999999999998</v>
      </c>
      <c r="M439">
        <v>3.47</v>
      </c>
      <c r="N439">
        <v>71.510000000000005</v>
      </c>
      <c r="O439">
        <v>76.150000000000006</v>
      </c>
      <c r="P439">
        <v>73.77</v>
      </c>
      <c r="Q439">
        <v>82.58</v>
      </c>
      <c r="R439">
        <v>53.05</v>
      </c>
      <c r="S439">
        <v>67.819999999999993</v>
      </c>
      <c r="T439">
        <v>391456</v>
      </c>
      <c r="V439" t="str">
        <v>Kota Kendari</v>
      </c>
      <c r="W439">
        <v>12.94</v>
      </c>
      <c r="X439">
        <v>12.14</v>
      </c>
      <c r="Y439">
        <v>12.56</v>
      </c>
      <c r="Z439">
        <v>16.97</v>
      </c>
      <c r="AA439">
        <v>16.940000000000001</v>
      </c>
      <c r="AB439">
        <v>16.940000000000001</v>
      </c>
      <c r="AC439">
        <v>88.42</v>
      </c>
      <c r="AD439">
        <v>84.82</v>
      </c>
      <c r="AE439">
        <v>86.36</v>
      </c>
      <c r="AF439">
        <v>4.87</v>
      </c>
      <c r="AG439">
        <v>7.5</v>
      </c>
      <c r="AH439">
        <v>5.94</v>
      </c>
      <c r="AI439">
        <v>72.94</v>
      </c>
      <c r="AJ439">
        <v>78.64</v>
      </c>
      <c r="AK439">
        <v>75.72</v>
      </c>
      <c r="AL439">
        <v>78.3</v>
      </c>
      <c r="AM439">
        <v>54.64</v>
      </c>
      <c r="AN439">
        <v>66.47</v>
      </c>
      <c r="AO439">
        <v>377268</v>
      </c>
    </row>
    <row r="440" spans="1:41" x14ac:dyDescent="0.35">
      <c r="A440" t="s">
        <v>440</v>
      </c>
      <c r="B440">
        <v>8.5299999999999994</v>
      </c>
      <c r="C440">
        <v>8.3000000000000007</v>
      </c>
      <c r="D440">
        <v>8.36</v>
      </c>
      <c r="E440">
        <v>12.75</v>
      </c>
      <c r="F440">
        <v>13.64</v>
      </c>
      <c r="G440">
        <v>13.11</v>
      </c>
      <c r="H440">
        <v>79.180000000000007</v>
      </c>
      <c r="I440">
        <v>74.23</v>
      </c>
      <c r="J440">
        <v>75.489999999999995</v>
      </c>
      <c r="K440">
        <v>4.01</v>
      </c>
      <c r="L440">
        <v>2.02</v>
      </c>
      <c r="M440">
        <v>3.36</v>
      </c>
      <c r="N440">
        <v>72.099999999999994</v>
      </c>
      <c r="O440">
        <v>77.400000000000006</v>
      </c>
      <c r="P440">
        <v>74.69</v>
      </c>
      <c r="Q440">
        <v>79.91</v>
      </c>
      <c r="R440">
        <v>37.03</v>
      </c>
      <c r="S440">
        <v>58.47</v>
      </c>
      <c r="T440">
        <v>333524</v>
      </c>
      <c r="V440" t="str">
        <v>Kota Baubau</v>
      </c>
      <c r="W440">
        <v>11.34</v>
      </c>
      <c r="X440">
        <v>11.05</v>
      </c>
      <c r="Y440">
        <v>11.11</v>
      </c>
      <c r="Z440">
        <v>15.37</v>
      </c>
      <c r="AA440">
        <v>15.71</v>
      </c>
      <c r="AB440">
        <v>15.54</v>
      </c>
      <c r="AC440">
        <v>84.05</v>
      </c>
      <c r="AD440">
        <v>77.72</v>
      </c>
      <c r="AE440">
        <v>80.290000000000006</v>
      </c>
      <c r="AF440">
        <v>3.08</v>
      </c>
      <c r="AG440">
        <v>5.16</v>
      </c>
      <c r="AH440">
        <v>3.95</v>
      </c>
      <c r="AI440">
        <v>72.290000000000006</v>
      </c>
      <c r="AJ440">
        <v>77.7</v>
      </c>
      <c r="AK440">
        <v>74.930000000000007</v>
      </c>
      <c r="AL440">
        <v>76.91</v>
      </c>
      <c r="AM440">
        <v>54.54</v>
      </c>
      <c r="AN440">
        <v>65.73</v>
      </c>
      <c r="AO440">
        <v>170885</v>
      </c>
    </row>
    <row r="441" spans="1:41" x14ac:dyDescent="0.35">
      <c r="A441" t="s">
        <v>441</v>
      </c>
      <c r="B441">
        <v>8.69</v>
      </c>
      <c r="C441">
        <v>8.35</v>
      </c>
      <c r="D441">
        <v>8.5399999999999991</v>
      </c>
      <c r="E441">
        <v>12.61</v>
      </c>
      <c r="F441">
        <v>14.07</v>
      </c>
      <c r="G441">
        <v>13.29</v>
      </c>
      <c r="H441">
        <v>77.709999999999994</v>
      </c>
      <c r="I441">
        <v>75.349999999999994</v>
      </c>
      <c r="J441">
        <v>75.87</v>
      </c>
      <c r="K441">
        <v>3.16</v>
      </c>
      <c r="L441">
        <v>4.5199999999999996</v>
      </c>
      <c r="M441">
        <v>3.65</v>
      </c>
      <c r="N441">
        <v>72.239999999999995</v>
      </c>
      <c r="O441">
        <v>77.63</v>
      </c>
      <c r="P441">
        <v>74.87</v>
      </c>
      <c r="Q441">
        <v>81.48</v>
      </c>
      <c r="R441">
        <v>44.86</v>
      </c>
      <c r="S441">
        <v>63.17</v>
      </c>
      <c r="T441">
        <v>429891</v>
      </c>
      <c r="V441" t="str">
        <v>Boalemo</v>
      </c>
      <c r="W441">
        <v>6.78</v>
      </c>
      <c r="X441">
        <v>7.68</v>
      </c>
      <c r="Y441">
        <v>7.32</v>
      </c>
      <c r="Z441">
        <v>12.08</v>
      </c>
      <c r="AA441">
        <v>13.09</v>
      </c>
      <c r="AB441">
        <v>12.6</v>
      </c>
      <c r="AC441">
        <v>72.510000000000005</v>
      </c>
      <c r="AD441">
        <v>60.73</v>
      </c>
      <c r="AE441">
        <v>69.89</v>
      </c>
      <c r="AF441">
        <v>2.5</v>
      </c>
      <c r="AG441">
        <v>3.98</v>
      </c>
      <c r="AH441">
        <v>3.09</v>
      </c>
      <c r="AI441">
        <v>69.75</v>
      </c>
      <c r="AJ441">
        <v>73.739999999999995</v>
      </c>
      <c r="AK441">
        <v>71.7</v>
      </c>
      <c r="AL441">
        <v>88.48</v>
      </c>
      <c r="AM441">
        <v>60.12</v>
      </c>
      <c r="AN441">
        <v>74.3</v>
      </c>
      <c r="AO441">
        <v>155183</v>
      </c>
    </row>
    <row r="442" spans="1:41" x14ac:dyDescent="0.35">
      <c r="A442" t="s">
        <v>442</v>
      </c>
      <c r="B442">
        <v>9.4600000000000009</v>
      </c>
      <c r="C442">
        <v>9</v>
      </c>
      <c r="D442">
        <v>9.26</v>
      </c>
      <c r="E442">
        <v>13.9</v>
      </c>
      <c r="F442">
        <v>14.43</v>
      </c>
      <c r="G442">
        <v>13.9</v>
      </c>
      <c r="H442">
        <v>77.06</v>
      </c>
      <c r="I442">
        <v>76.13</v>
      </c>
      <c r="J442">
        <v>76.5</v>
      </c>
      <c r="K442">
        <v>1.98</v>
      </c>
      <c r="L442">
        <v>1.53</v>
      </c>
      <c r="M442">
        <v>1.78</v>
      </c>
      <c r="N442">
        <v>71.849999999999994</v>
      </c>
      <c r="O442">
        <v>76.87</v>
      </c>
      <c r="P442">
        <v>74.3</v>
      </c>
      <c r="Q442">
        <v>86.2</v>
      </c>
      <c r="R442">
        <v>68.239999999999995</v>
      </c>
      <c r="S442">
        <v>77.22</v>
      </c>
      <c r="T442">
        <v>241667</v>
      </c>
      <c r="V442" t="str">
        <v>Gorontalo</v>
      </c>
      <c r="W442">
        <v>7.45</v>
      </c>
      <c r="X442">
        <v>8.5299999999999994</v>
      </c>
      <c r="Y442">
        <v>7.96</v>
      </c>
      <c r="Z442">
        <v>12.82</v>
      </c>
      <c r="AA442">
        <v>13.95</v>
      </c>
      <c r="AB442">
        <v>13.23</v>
      </c>
      <c r="AC442">
        <v>74.430000000000007</v>
      </c>
      <c r="AD442">
        <v>63.02</v>
      </c>
      <c r="AE442">
        <v>71.540000000000006</v>
      </c>
      <c r="AF442">
        <v>2.76</v>
      </c>
      <c r="AG442">
        <v>4.08</v>
      </c>
      <c r="AH442">
        <v>3.26</v>
      </c>
      <c r="AI442">
        <v>69.319999999999993</v>
      </c>
      <c r="AJ442">
        <v>73.290000000000006</v>
      </c>
      <c r="AK442">
        <v>71.260000000000005</v>
      </c>
      <c r="AL442">
        <v>83.7</v>
      </c>
      <c r="AM442">
        <v>51.47</v>
      </c>
      <c r="AN442">
        <v>67.59</v>
      </c>
      <c r="AO442">
        <v>413627</v>
      </c>
    </row>
    <row r="443" spans="1:41" x14ac:dyDescent="0.35">
      <c r="A443" t="s">
        <v>443</v>
      </c>
      <c r="B443">
        <v>9.01</v>
      </c>
      <c r="C443">
        <v>8.9</v>
      </c>
      <c r="D443">
        <v>8.9600000000000009</v>
      </c>
      <c r="E443">
        <v>13.09</v>
      </c>
      <c r="F443">
        <v>13.82</v>
      </c>
      <c r="G443">
        <v>13.44</v>
      </c>
      <c r="H443">
        <v>77.84</v>
      </c>
      <c r="I443">
        <v>72.92</v>
      </c>
      <c r="J443">
        <v>74.66</v>
      </c>
      <c r="K443">
        <v>3.39</v>
      </c>
      <c r="L443">
        <v>4.2300000000000004</v>
      </c>
      <c r="M443">
        <v>3.71</v>
      </c>
      <c r="N443">
        <v>71.56</v>
      </c>
      <c r="O443">
        <v>76.25</v>
      </c>
      <c r="P443">
        <v>73.849999999999994</v>
      </c>
      <c r="Q443">
        <v>83.59</v>
      </c>
      <c r="R443">
        <v>51.72</v>
      </c>
      <c r="S443">
        <v>67.66</v>
      </c>
      <c r="T443">
        <v>389256</v>
      </c>
      <c r="V443" t="str">
        <v>Pohuwato</v>
      </c>
      <c r="W443">
        <v>7.52</v>
      </c>
      <c r="X443">
        <v>8.11</v>
      </c>
      <c r="Y443">
        <v>7.79</v>
      </c>
      <c r="Z443">
        <v>12.27</v>
      </c>
      <c r="AA443">
        <v>13.12</v>
      </c>
      <c r="AB443">
        <v>12.49</v>
      </c>
      <c r="AC443">
        <v>72.5</v>
      </c>
      <c r="AD443">
        <v>67.16</v>
      </c>
      <c r="AE443">
        <v>70.59</v>
      </c>
      <c r="AF443">
        <v>2.2999999999999998</v>
      </c>
      <c r="AG443">
        <v>3.71</v>
      </c>
      <c r="AH443">
        <v>2.83</v>
      </c>
      <c r="AI443">
        <v>68.069999999999993</v>
      </c>
      <c r="AJ443">
        <v>72.010000000000005</v>
      </c>
      <c r="AK443">
        <v>70</v>
      </c>
      <c r="AL443">
        <v>88.09</v>
      </c>
      <c r="AM443">
        <v>54.72</v>
      </c>
      <c r="AN443">
        <v>71.41</v>
      </c>
      <c r="AO443">
        <v>155665</v>
      </c>
    </row>
    <row r="444" spans="1:41" x14ac:dyDescent="0.35">
      <c r="A444" t="s">
        <v>444</v>
      </c>
      <c r="B444">
        <v>9.07</v>
      </c>
      <c r="C444">
        <v>8.83</v>
      </c>
      <c r="D444">
        <v>8.92</v>
      </c>
      <c r="E444">
        <v>14.25</v>
      </c>
      <c r="F444">
        <v>14.57</v>
      </c>
      <c r="G444">
        <v>14.25</v>
      </c>
      <c r="H444">
        <v>77.02</v>
      </c>
      <c r="I444">
        <v>69.180000000000007</v>
      </c>
      <c r="J444">
        <v>72.77</v>
      </c>
      <c r="K444">
        <v>2.46</v>
      </c>
      <c r="L444">
        <v>4.6399999999999997</v>
      </c>
      <c r="M444">
        <v>3.44</v>
      </c>
      <c r="N444">
        <v>73.16</v>
      </c>
      <c r="O444">
        <v>77.989999999999995</v>
      </c>
      <c r="P444">
        <v>75.17</v>
      </c>
      <c r="Q444">
        <v>81.900000000000006</v>
      </c>
      <c r="R444">
        <v>71.59</v>
      </c>
      <c r="S444">
        <v>76.75</v>
      </c>
      <c r="T444">
        <v>295345</v>
      </c>
      <c r="V444" t="str">
        <v>Bone Bolango</v>
      </c>
      <c r="W444">
        <v>8.0299999999999994</v>
      </c>
      <c r="X444">
        <v>9.23</v>
      </c>
      <c r="Y444">
        <v>8.6199999999999992</v>
      </c>
      <c r="Z444">
        <v>13.28</v>
      </c>
      <c r="AA444">
        <v>14.89</v>
      </c>
      <c r="AB444">
        <v>13.7</v>
      </c>
      <c r="AC444">
        <v>75.510000000000005</v>
      </c>
      <c r="AD444">
        <v>67.95</v>
      </c>
      <c r="AE444">
        <v>73.3</v>
      </c>
      <c r="AF444">
        <v>4.8099999999999996</v>
      </c>
      <c r="AG444">
        <v>2.62</v>
      </c>
      <c r="AH444">
        <v>4.0199999999999996</v>
      </c>
      <c r="AI444">
        <v>68.8</v>
      </c>
      <c r="AJ444">
        <v>72.739999999999995</v>
      </c>
      <c r="AK444">
        <v>70.73</v>
      </c>
      <c r="AL444">
        <v>85.78</v>
      </c>
      <c r="AM444">
        <v>48.2</v>
      </c>
      <c r="AN444">
        <v>66.989999999999995</v>
      </c>
      <c r="AO444">
        <v>172726</v>
      </c>
    </row>
    <row r="445" spans="1:41" x14ac:dyDescent="0.35">
      <c r="A445" t="s">
        <v>445</v>
      </c>
      <c r="B445">
        <v>8.6999999999999993</v>
      </c>
      <c r="C445">
        <v>8.34</v>
      </c>
      <c r="D445">
        <v>8.51</v>
      </c>
      <c r="E445">
        <v>12.61</v>
      </c>
      <c r="F445">
        <v>12.8</v>
      </c>
      <c r="G445">
        <v>12.63</v>
      </c>
      <c r="H445">
        <v>78.14</v>
      </c>
      <c r="I445">
        <v>71.25</v>
      </c>
      <c r="J445">
        <v>74.81</v>
      </c>
      <c r="K445">
        <v>2.23</v>
      </c>
      <c r="L445">
        <v>2.2599999999999998</v>
      </c>
      <c r="M445">
        <v>2.2400000000000002</v>
      </c>
      <c r="N445">
        <v>71.819999999999993</v>
      </c>
      <c r="O445">
        <v>76.8</v>
      </c>
      <c r="P445">
        <v>74.25</v>
      </c>
      <c r="Q445">
        <v>86.34</v>
      </c>
      <c r="R445">
        <v>60.12</v>
      </c>
      <c r="S445">
        <v>73.23</v>
      </c>
      <c r="T445">
        <v>341516</v>
      </c>
      <c r="V445" t="str">
        <v>Gorontalo Utara</v>
      </c>
      <c r="W445">
        <v>7.21</v>
      </c>
      <c r="X445">
        <v>7.92</v>
      </c>
      <c r="Y445">
        <v>7.56</v>
      </c>
      <c r="Z445">
        <v>12.42</v>
      </c>
      <c r="AA445">
        <v>13.35</v>
      </c>
      <c r="AB445">
        <v>12.71</v>
      </c>
      <c r="AC445">
        <v>72.739999999999995</v>
      </c>
      <c r="AD445">
        <v>60.71</v>
      </c>
      <c r="AE445">
        <v>69.62</v>
      </c>
      <c r="AF445">
        <v>3.11</v>
      </c>
      <c r="AG445">
        <v>2.95</v>
      </c>
      <c r="AH445">
        <v>3.05</v>
      </c>
      <c r="AI445">
        <v>68.33</v>
      </c>
      <c r="AJ445">
        <v>72.260000000000005</v>
      </c>
      <c r="AK445">
        <v>70.25</v>
      </c>
      <c r="AL445">
        <v>90.26</v>
      </c>
      <c r="AM445">
        <v>58.44</v>
      </c>
      <c r="AN445">
        <v>74.349999999999994</v>
      </c>
      <c r="AO445">
        <v>134852</v>
      </c>
    </row>
    <row r="446" spans="1:41" x14ac:dyDescent="0.35">
      <c r="A446" t="s">
        <v>446</v>
      </c>
      <c r="B446">
        <v>9.17</v>
      </c>
      <c r="C446">
        <v>9.0399999999999991</v>
      </c>
      <c r="D446">
        <v>9.0399999999999991</v>
      </c>
      <c r="E446">
        <v>13.3</v>
      </c>
      <c r="F446">
        <v>13.44</v>
      </c>
      <c r="G446">
        <v>13.38</v>
      </c>
      <c r="H446">
        <v>81.150000000000006</v>
      </c>
      <c r="I446">
        <v>74.14</v>
      </c>
      <c r="J446">
        <v>77.28</v>
      </c>
      <c r="K446">
        <v>4.2</v>
      </c>
      <c r="L446">
        <v>2.91</v>
      </c>
      <c r="M446">
        <v>3.7</v>
      </c>
      <c r="N446">
        <v>72.239999999999995</v>
      </c>
      <c r="O446">
        <v>77.62</v>
      </c>
      <c r="P446">
        <v>74.86</v>
      </c>
      <c r="Q446">
        <v>84.76</v>
      </c>
      <c r="R446">
        <v>55.05</v>
      </c>
      <c r="S446">
        <v>69.91</v>
      </c>
      <c r="T446">
        <v>316894</v>
      </c>
      <c r="V446" t="str">
        <v>Kota Gorontalo</v>
      </c>
      <c r="W446">
        <v>10.39</v>
      </c>
      <c r="X446">
        <v>11.06</v>
      </c>
      <c r="Y446">
        <v>10.59</v>
      </c>
      <c r="Z446">
        <v>14.52</v>
      </c>
      <c r="AA446">
        <v>15.11</v>
      </c>
      <c r="AB446">
        <v>14.63</v>
      </c>
      <c r="AC446">
        <v>83.14</v>
      </c>
      <c r="AD446">
        <v>73.790000000000006</v>
      </c>
      <c r="AE446">
        <v>79.97</v>
      </c>
      <c r="AF446">
        <v>4.72</v>
      </c>
      <c r="AG446">
        <v>3.51</v>
      </c>
      <c r="AH446">
        <v>4.25</v>
      </c>
      <c r="AI446">
        <v>71.67</v>
      </c>
      <c r="AJ446">
        <v>76.5</v>
      </c>
      <c r="AK446">
        <v>74.03</v>
      </c>
      <c r="AL446">
        <v>80.39</v>
      </c>
      <c r="AM446">
        <v>50.95</v>
      </c>
      <c r="AN446">
        <v>65.67</v>
      </c>
      <c r="AO446">
        <v>210185</v>
      </c>
    </row>
    <row r="447" spans="1:41" x14ac:dyDescent="0.35">
      <c r="A447" t="s">
        <v>447</v>
      </c>
      <c r="B447">
        <v>8.94</v>
      </c>
      <c r="C447">
        <v>8.6</v>
      </c>
      <c r="D447">
        <v>8.7200000000000006</v>
      </c>
      <c r="E447">
        <v>13.3</v>
      </c>
      <c r="F447">
        <v>13.87</v>
      </c>
      <c r="G447">
        <v>13.53</v>
      </c>
      <c r="H447">
        <v>76.75</v>
      </c>
      <c r="I447">
        <v>68.45</v>
      </c>
      <c r="J447">
        <v>73.239999999999995</v>
      </c>
      <c r="K447">
        <v>2.8</v>
      </c>
      <c r="L447">
        <v>1.04</v>
      </c>
      <c r="M447">
        <v>2.0099999999999998</v>
      </c>
      <c r="N447">
        <v>72.55</v>
      </c>
      <c r="O447">
        <v>78.08</v>
      </c>
      <c r="P447">
        <v>75.239999999999995</v>
      </c>
      <c r="Q447">
        <v>81.59</v>
      </c>
      <c r="R447">
        <v>69.03</v>
      </c>
      <c r="S447">
        <v>75.31</v>
      </c>
      <c r="T447">
        <v>282236</v>
      </c>
      <c r="V447" t="str">
        <v>Majene</v>
      </c>
      <c r="W447">
        <v>9.7100000000000009</v>
      </c>
      <c r="X447">
        <v>9.5299999999999994</v>
      </c>
      <c r="Y447">
        <v>9.68</v>
      </c>
      <c r="Z447">
        <v>13.67</v>
      </c>
      <c r="AA447">
        <v>14.39</v>
      </c>
      <c r="AB447">
        <v>13.84</v>
      </c>
      <c r="AC447">
        <v>76.31</v>
      </c>
      <c r="AD447">
        <v>73.09</v>
      </c>
      <c r="AE447">
        <v>74.150000000000006</v>
      </c>
      <c r="AF447">
        <v>3.33</v>
      </c>
      <c r="AG447">
        <v>4.3600000000000003</v>
      </c>
      <c r="AH447">
        <v>3.74</v>
      </c>
      <c r="AI447">
        <v>68.819999999999993</v>
      </c>
      <c r="AJ447">
        <v>72.760000000000005</v>
      </c>
      <c r="AK447">
        <v>70.739999999999995</v>
      </c>
      <c r="AL447">
        <v>82.87</v>
      </c>
      <c r="AM447">
        <v>53.64</v>
      </c>
      <c r="AN447">
        <v>68.260000000000005</v>
      </c>
      <c r="AO447">
        <v>186367</v>
      </c>
    </row>
    <row r="448" spans="1:41" x14ac:dyDescent="0.35">
      <c r="A448" t="s">
        <v>448</v>
      </c>
      <c r="B448">
        <v>11.8</v>
      </c>
      <c r="C448">
        <v>11.55</v>
      </c>
      <c r="D448">
        <v>11.59</v>
      </c>
      <c r="E448">
        <v>15.58</v>
      </c>
      <c r="F448">
        <v>16.13</v>
      </c>
      <c r="G448">
        <v>15.63</v>
      </c>
      <c r="H448">
        <v>87.52</v>
      </c>
      <c r="I448">
        <v>83.99</v>
      </c>
      <c r="J448">
        <v>85.66</v>
      </c>
      <c r="K448">
        <v>10.039999999999999</v>
      </c>
      <c r="L448">
        <v>8.84</v>
      </c>
      <c r="M448">
        <v>9.6</v>
      </c>
      <c r="N448">
        <v>72.84</v>
      </c>
      <c r="O448">
        <v>78.5</v>
      </c>
      <c r="P448">
        <v>75.599999999999994</v>
      </c>
      <c r="Q448">
        <v>77.5</v>
      </c>
      <c r="R448">
        <v>44.26</v>
      </c>
      <c r="S448">
        <v>60.88</v>
      </c>
      <c r="T448">
        <v>1473907</v>
      </c>
      <c r="V448" t="str">
        <v>Polewali Mandar</v>
      </c>
      <c r="W448">
        <v>8.1300000000000008</v>
      </c>
      <c r="X448">
        <v>7.56</v>
      </c>
      <c r="Y448">
        <v>7.84</v>
      </c>
      <c r="Z448">
        <v>13.25</v>
      </c>
      <c r="AA448">
        <v>14.08</v>
      </c>
      <c r="AB448">
        <v>13.51</v>
      </c>
      <c r="AC448">
        <v>74.099999999999994</v>
      </c>
      <c r="AD448">
        <v>68.930000000000007</v>
      </c>
      <c r="AE448">
        <v>70.709999999999994</v>
      </c>
      <c r="AF448">
        <v>3.07</v>
      </c>
      <c r="AG448">
        <v>3.09</v>
      </c>
      <c r="AH448">
        <v>3.08</v>
      </c>
      <c r="AI448">
        <v>69.53</v>
      </c>
      <c r="AJ448">
        <v>73.5</v>
      </c>
      <c r="AK448">
        <v>71.459999999999994</v>
      </c>
      <c r="AL448">
        <v>86.71</v>
      </c>
      <c r="AM448">
        <v>59.76</v>
      </c>
      <c r="AN448">
        <v>73.239999999999995</v>
      </c>
      <c r="AO448">
        <v>507212</v>
      </c>
    </row>
    <row r="449" spans="1:41" x14ac:dyDescent="0.35">
      <c r="A449" t="s">
        <v>449</v>
      </c>
      <c r="B449">
        <v>11.2</v>
      </c>
      <c r="C449">
        <v>10.79</v>
      </c>
      <c r="D449">
        <v>10.89</v>
      </c>
      <c r="E449">
        <v>14.24</v>
      </c>
      <c r="F449">
        <v>14.9</v>
      </c>
      <c r="G449">
        <v>14.62</v>
      </c>
      <c r="H449">
        <v>82.95</v>
      </c>
      <c r="I449">
        <v>81.489999999999995</v>
      </c>
      <c r="J449">
        <v>81.5</v>
      </c>
      <c r="K449">
        <v>5.29</v>
      </c>
      <c r="L449">
        <v>4.5599999999999996</v>
      </c>
      <c r="M449">
        <v>4.9800000000000004</v>
      </c>
      <c r="N449">
        <v>72.27</v>
      </c>
      <c r="O449">
        <v>77.67</v>
      </c>
      <c r="P449">
        <v>74.900000000000006</v>
      </c>
      <c r="Q449">
        <v>78.930000000000007</v>
      </c>
      <c r="R449">
        <v>55.67</v>
      </c>
      <c r="S449">
        <v>67.3</v>
      </c>
      <c r="T449">
        <v>163404</v>
      </c>
      <c r="V449" t="str">
        <v>Mamasa</v>
      </c>
      <c r="W449">
        <v>8.5500000000000007</v>
      </c>
      <c r="X449">
        <v>8.41</v>
      </c>
      <c r="Y449">
        <v>8.41</v>
      </c>
      <c r="Z449">
        <v>12.33</v>
      </c>
      <c r="AA449">
        <v>13.17</v>
      </c>
      <c r="AB449">
        <v>12.61</v>
      </c>
      <c r="AC449">
        <v>70.63</v>
      </c>
      <c r="AD449">
        <v>69.540000000000006</v>
      </c>
      <c r="AE449">
        <v>69.56</v>
      </c>
      <c r="AF449">
        <v>2.96</v>
      </c>
      <c r="AG449">
        <v>2.85</v>
      </c>
      <c r="AH449">
        <v>2.91</v>
      </c>
      <c r="AI449">
        <v>70.47</v>
      </c>
      <c r="AJ449">
        <v>74.489999999999995</v>
      </c>
      <c r="AK449">
        <v>72.430000000000007</v>
      </c>
      <c r="AL449">
        <v>87.4</v>
      </c>
      <c r="AM449">
        <v>75.900000000000006</v>
      </c>
      <c r="AN449">
        <v>81.650000000000006</v>
      </c>
      <c r="AO449">
        <v>175508</v>
      </c>
    </row>
    <row r="450" spans="1:41" x14ac:dyDescent="0.35">
      <c r="A450" t="s">
        <v>450</v>
      </c>
      <c r="B450">
        <v>11.31</v>
      </c>
      <c r="C450">
        <v>11.13</v>
      </c>
      <c r="D450">
        <v>11.17</v>
      </c>
      <c r="E450">
        <v>14.27</v>
      </c>
      <c r="F450">
        <v>15.86</v>
      </c>
      <c r="G450">
        <v>15.14</v>
      </c>
      <c r="H450">
        <v>82.9</v>
      </c>
      <c r="I450">
        <v>81.59</v>
      </c>
      <c r="J450">
        <v>81.739999999999995</v>
      </c>
      <c r="K450">
        <v>7.75</v>
      </c>
      <c r="L450">
        <v>7.22</v>
      </c>
      <c r="M450">
        <v>7.53</v>
      </c>
      <c r="N450">
        <v>71.959999999999994</v>
      </c>
      <c r="O450">
        <v>77.11</v>
      </c>
      <c r="P450">
        <v>74.47</v>
      </c>
      <c r="Q450">
        <v>78.790000000000006</v>
      </c>
      <c r="R450">
        <v>54.67</v>
      </c>
      <c r="S450">
        <v>66.73</v>
      </c>
      <c r="T450">
        <v>198534</v>
      </c>
      <c r="V450" t="str">
        <v>Mamuju</v>
      </c>
      <c r="W450">
        <v>8.92</v>
      </c>
      <c r="X450">
        <v>8.48</v>
      </c>
      <c r="Y450">
        <v>8.7100000000000009</v>
      </c>
      <c r="Z450">
        <v>12.82</v>
      </c>
      <c r="AA450">
        <v>13.79</v>
      </c>
      <c r="AB450">
        <v>13.3</v>
      </c>
      <c r="AC450">
        <v>75.47</v>
      </c>
      <c r="AD450">
        <v>68.83</v>
      </c>
      <c r="AE450">
        <v>72.77</v>
      </c>
      <c r="AF450">
        <v>2.16</v>
      </c>
      <c r="AG450">
        <v>5.01</v>
      </c>
      <c r="AH450">
        <v>3.38</v>
      </c>
      <c r="AI450">
        <v>70.650000000000006</v>
      </c>
      <c r="AJ450">
        <v>74.680000000000007</v>
      </c>
      <c r="AK450">
        <v>72.61</v>
      </c>
      <c r="AL450">
        <v>86.52</v>
      </c>
      <c r="AM450">
        <v>67.45</v>
      </c>
      <c r="AN450">
        <v>76.989999999999995</v>
      </c>
      <c r="AO450">
        <v>301879</v>
      </c>
    </row>
    <row r="451" spans="1:41" x14ac:dyDescent="0.35">
      <c r="A451" t="s">
        <v>451</v>
      </c>
      <c r="B451">
        <v>9.8000000000000007</v>
      </c>
      <c r="C451">
        <v>9.32</v>
      </c>
      <c r="D451">
        <v>9.56</v>
      </c>
      <c r="E451">
        <v>13.69</v>
      </c>
      <c r="F451">
        <v>14</v>
      </c>
      <c r="G451">
        <v>13.72</v>
      </c>
      <c r="H451">
        <v>78.180000000000007</v>
      </c>
      <c r="I451">
        <v>71.84</v>
      </c>
      <c r="J451">
        <v>74.25</v>
      </c>
      <c r="K451">
        <v>2.85</v>
      </c>
      <c r="L451">
        <v>3.98</v>
      </c>
      <c r="M451">
        <v>3.31</v>
      </c>
      <c r="N451">
        <v>70.099999999999994</v>
      </c>
      <c r="O451">
        <v>74.11</v>
      </c>
      <c r="P451">
        <v>72.06</v>
      </c>
      <c r="Q451">
        <v>83.56</v>
      </c>
      <c r="R451">
        <v>59.49</v>
      </c>
      <c r="S451">
        <v>71.53</v>
      </c>
      <c r="T451">
        <v>2836738</v>
      </c>
      <c r="V451" t="str">
        <v>Mamuju Utara / Pasangkayu</v>
      </c>
      <c r="W451">
        <v>8.4</v>
      </c>
      <c r="X451">
        <v>8.14</v>
      </c>
      <c r="Y451">
        <v>8.14</v>
      </c>
      <c r="Z451">
        <v>12.09</v>
      </c>
      <c r="AA451">
        <v>12.29</v>
      </c>
      <c r="AB451">
        <v>12.1</v>
      </c>
      <c r="AC451">
        <v>75.97</v>
      </c>
      <c r="AD451">
        <v>65.66</v>
      </c>
      <c r="AE451">
        <v>71.62</v>
      </c>
      <c r="AF451">
        <v>1.01</v>
      </c>
      <c r="AG451">
        <v>2.94</v>
      </c>
      <c r="AH451">
        <v>1.69</v>
      </c>
      <c r="AI451">
        <v>68.930000000000007</v>
      </c>
      <c r="AJ451">
        <v>72.88</v>
      </c>
      <c r="AK451">
        <v>70.86</v>
      </c>
      <c r="AL451">
        <v>91.99</v>
      </c>
      <c r="AM451">
        <v>54.11</v>
      </c>
      <c r="AN451">
        <v>73.05</v>
      </c>
      <c r="AO451">
        <v>206581</v>
      </c>
    </row>
    <row r="452" spans="1:41" x14ac:dyDescent="0.35">
      <c r="A452" t="s">
        <v>452</v>
      </c>
      <c r="B452">
        <v>9.64</v>
      </c>
      <c r="C452">
        <v>8.1199999999999992</v>
      </c>
      <c r="D452">
        <v>8.69</v>
      </c>
      <c r="E452">
        <v>14.38</v>
      </c>
      <c r="F452">
        <v>13.96</v>
      </c>
      <c r="G452">
        <v>13.97</v>
      </c>
      <c r="H452">
        <v>77.19</v>
      </c>
      <c r="I452">
        <v>63.81</v>
      </c>
      <c r="J452">
        <v>70.22</v>
      </c>
      <c r="K452">
        <v>3.6</v>
      </c>
      <c r="L452">
        <v>2.81</v>
      </c>
      <c r="M452">
        <v>3.3</v>
      </c>
      <c r="N452">
        <v>68.739999999999995</v>
      </c>
      <c r="O452">
        <v>72.680000000000007</v>
      </c>
      <c r="P452">
        <v>70.66</v>
      </c>
      <c r="Q452">
        <v>76.62</v>
      </c>
      <c r="R452">
        <v>48.19</v>
      </c>
      <c r="S452">
        <v>62.41</v>
      </c>
      <c r="T452">
        <v>123845</v>
      </c>
      <c r="V452" t="str">
        <v>Mamuju Tengah</v>
      </c>
      <c r="W452">
        <v>8.33</v>
      </c>
      <c r="X452">
        <v>8</v>
      </c>
      <c r="Y452">
        <v>8.1</v>
      </c>
      <c r="Z452">
        <v>12.65</v>
      </c>
      <c r="AA452">
        <v>13.22</v>
      </c>
      <c r="AB452">
        <v>12.69</v>
      </c>
      <c r="AC452">
        <v>73.7</v>
      </c>
      <c r="AD452">
        <v>64.05</v>
      </c>
      <c r="AE452">
        <v>69.17</v>
      </c>
      <c r="AF452">
        <v>1.01</v>
      </c>
      <c r="AG452">
        <v>2.69</v>
      </c>
      <c r="AH452">
        <v>1.58</v>
      </c>
      <c r="AI452">
        <v>68.52</v>
      </c>
      <c r="AJ452">
        <v>72.45</v>
      </c>
      <c r="AK452">
        <v>70.44</v>
      </c>
      <c r="AL452">
        <v>91.11</v>
      </c>
      <c r="AM452">
        <v>49.77</v>
      </c>
      <c r="AN452">
        <v>70.44</v>
      </c>
      <c r="AO452">
        <v>147788</v>
      </c>
    </row>
    <row r="453" spans="1:41" x14ac:dyDescent="0.35">
      <c r="A453" t="s">
        <v>453</v>
      </c>
      <c r="B453">
        <v>9.59</v>
      </c>
      <c r="C453">
        <v>8.33</v>
      </c>
      <c r="D453">
        <v>8.86</v>
      </c>
      <c r="E453">
        <v>14.18</v>
      </c>
      <c r="F453">
        <v>14.31</v>
      </c>
      <c r="G453">
        <v>14.18</v>
      </c>
      <c r="H453">
        <v>77.180000000000007</v>
      </c>
      <c r="I453">
        <v>68.510000000000005</v>
      </c>
      <c r="J453">
        <v>72.23</v>
      </c>
      <c r="K453">
        <v>3.92</v>
      </c>
      <c r="L453">
        <v>4.41</v>
      </c>
      <c r="M453">
        <v>4.1399999999999997</v>
      </c>
      <c r="N453">
        <v>69.83</v>
      </c>
      <c r="O453">
        <v>73.819999999999993</v>
      </c>
      <c r="P453">
        <v>71.77</v>
      </c>
      <c r="Q453">
        <v>76.92</v>
      </c>
      <c r="R453">
        <v>62.1</v>
      </c>
      <c r="S453">
        <v>69.510000000000005</v>
      </c>
      <c r="T453">
        <v>231267</v>
      </c>
      <c r="V453" t="str">
        <v>Maluku Tenggara Barat / Kepulauan Tanimbar</v>
      </c>
      <c r="W453">
        <v>10.07</v>
      </c>
      <c r="X453">
        <v>9.93</v>
      </c>
      <c r="Y453">
        <v>9.93</v>
      </c>
      <c r="Z453">
        <v>12.4</v>
      </c>
      <c r="AA453">
        <v>13.2</v>
      </c>
      <c r="AB453">
        <v>12.58</v>
      </c>
      <c r="AC453">
        <v>71.73</v>
      </c>
      <c r="AD453">
        <v>63.15</v>
      </c>
      <c r="AE453">
        <v>68.47</v>
      </c>
      <c r="AF453">
        <v>4.6100000000000003</v>
      </c>
      <c r="AG453">
        <v>3.73</v>
      </c>
      <c r="AH453">
        <v>4.21</v>
      </c>
      <c r="AI453">
        <v>68.62</v>
      </c>
      <c r="AJ453">
        <v>72.55</v>
      </c>
      <c r="AK453">
        <v>70.53</v>
      </c>
      <c r="AL453">
        <v>68.7</v>
      </c>
      <c r="AM453">
        <v>57.57</v>
      </c>
      <c r="AN453">
        <v>63.14</v>
      </c>
      <c r="AO453">
        <v>132317</v>
      </c>
    </row>
    <row r="454" spans="1:41" x14ac:dyDescent="0.35">
      <c r="A454" t="s">
        <v>454</v>
      </c>
      <c r="B454">
        <v>10</v>
      </c>
      <c r="C454">
        <v>9.66</v>
      </c>
      <c r="D454">
        <v>9.8000000000000007</v>
      </c>
      <c r="E454">
        <v>12.76</v>
      </c>
      <c r="F454">
        <v>13.56</v>
      </c>
      <c r="G454">
        <v>13.11</v>
      </c>
      <c r="H454">
        <v>78.72</v>
      </c>
      <c r="I454">
        <v>74.319999999999993</v>
      </c>
      <c r="J454">
        <v>75.09</v>
      </c>
      <c r="K454">
        <v>1.76</v>
      </c>
      <c r="L454">
        <v>4.37</v>
      </c>
      <c r="M454">
        <v>2.81</v>
      </c>
      <c r="N454">
        <v>71.03</v>
      </c>
      <c r="O454">
        <v>75.150000000000006</v>
      </c>
      <c r="P454">
        <v>73.040000000000006</v>
      </c>
      <c r="Q454">
        <v>88.95</v>
      </c>
      <c r="R454">
        <v>63.8</v>
      </c>
      <c r="S454">
        <v>76.38</v>
      </c>
      <c r="T454">
        <v>278549</v>
      </c>
      <c r="V454" t="str">
        <v>Maluku Tenggara</v>
      </c>
      <c r="W454">
        <v>10.19</v>
      </c>
      <c r="X454">
        <v>9.85</v>
      </c>
      <c r="Y454">
        <v>9.85</v>
      </c>
      <c r="Z454">
        <v>12.81</v>
      </c>
      <c r="AA454">
        <v>13.36</v>
      </c>
      <c r="AB454">
        <v>13.11</v>
      </c>
      <c r="AC454">
        <v>72.930000000000007</v>
      </c>
      <c r="AD454">
        <v>70.48</v>
      </c>
      <c r="AE454">
        <v>71.16</v>
      </c>
      <c r="AF454">
        <v>7.62</v>
      </c>
      <c r="AG454">
        <v>4.05</v>
      </c>
      <c r="AH454">
        <v>6.01</v>
      </c>
      <c r="AI454">
        <v>69.31</v>
      </c>
      <c r="AJ454">
        <v>73.27</v>
      </c>
      <c r="AK454">
        <v>71.239999999999995</v>
      </c>
      <c r="AL454">
        <v>74.31</v>
      </c>
      <c r="AM454">
        <v>59.76</v>
      </c>
      <c r="AN454">
        <v>67.040000000000006</v>
      </c>
      <c r="AO454">
        <v>127502</v>
      </c>
    </row>
    <row r="455" spans="1:41" x14ac:dyDescent="0.35">
      <c r="A455" t="s">
        <v>455</v>
      </c>
      <c r="B455">
        <v>9.76</v>
      </c>
      <c r="C455">
        <v>9.35</v>
      </c>
      <c r="D455">
        <v>9.5500000000000007</v>
      </c>
      <c r="E455">
        <v>13.07</v>
      </c>
      <c r="F455">
        <v>13.85</v>
      </c>
      <c r="G455">
        <v>13.17</v>
      </c>
      <c r="H455">
        <v>80.52</v>
      </c>
      <c r="I455">
        <v>73.3</v>
      </c>
      <c r="J455">
        <v>76.92</v>
      </c>
      <c r="K455">
        <v>1.37</v>
      </c>
      <c r="L455">
        <v>3.58</v>
      </c>
      <c r="M455">
        <v>2.25</v>
      </c>
      <c r="N455">
        <v>71.56</v>
      </c>
      <c r="O455">
        <v>76.27</v>
      </c>
      <c r="P455">
        <v>73.86</v>
      </c>
      <c r="Q455">
        <v>89.12</v>
      </c>
      <c r="R455">
        <v>62.44</v>
      </c>
      <c r="S455">
        <v>75.78</v>
      </c>
      <c r="T455">
        <v>251538</v>
      </c>
      <c r="V455" t="str">
        <v>Maluku Tengah</v>
      </c>
      <c r="W455">
        <v>10.14</v>
      </c>
      <c r="X455">
        <v>10.06</v>
      </c>
      <c r="Y455">
        <v>10.06</v>
      </c>
      <c r="Z455">
        <v>14.06</v>
      </c>
      <c r="AA455">
        <v>15.33</v>
      </c>
      <c r="AB455">
        <v>14.68</v>
      </c>
      <c r="AC455">
        <v>76.650000000000006</v>
      </c>
      <c r="AD455">
        <v>75.81</v>
      </c>
      <c r="AE455">
        <v>75.87</v>
      </c>
      <c r="AF455">
        <v>7.04</v>
      </c>
      <c r="AG455">
        <v>6.78</v>
      </c>
      <c r="AH455">
        <v>6.93</v>
      </c>
      <c r="AI455">
        <v>69.349999999999994</v>
      </c>
      <c r="AJ455">
        <v>73.31</v>
      </c>
      <c r="AK455">
        <v>71.28</v>
      </c>
      <c r="AL455">
        <v>75.099999999999994</v>
      </c>
      <c r="AM455">
        <v>57.23</v>
      </c>
      <c r="AN455">
        <v>66.17</v>
      </c>
      <c r="AO455">
        <v>445618</v>
      </c>
    </row>
    <row r="456" spans="1:41" x14ac:dyDescent="0.35">
      <c r="A456" t="s">
        <v>456</v>
      </c>
      <c r="B456">
        <v>9.1999999999999993</v>
      </c>
      <c r="C456">
        <v>8.58</v>
      </c>
      <c r="D456">
        <v>8.9700000000000006</v>
      </c>
      <c r="E456">
        <v>12.73</v>
      </c>
      <c r="F456">
        <v>13.39</v>
      </c>
      <c r="G456">
        <v>12.95</v>
      </c>
      <c r="H456">
        <v>76.36</v>
      </c>
      <c r="I456">
        <v>67.98</v>
      </c>
      <c r="J456">
        <v>72.319999999999993</v>
      </c>
      <c r="K456">
        <v>2.59</v>
      </c>
      <c r="L456">
        <v>4.3</v>
      </c>
      <c r="M456">
        <v>3.23</v>
      </c>
      <c r="N456">
        <v>70</v>
      </c>
      <c r="O456">
        <v>74</v>
      </c>
      <c r="P456">
        <v>71.95</v>
      </c>
      <c r="Q456">
        <v>85.96</v>
      </c>
      <c r="R456">
        <v>54.61</v>
      </c>
      <c r="S456">
        <v>70.290000000000006</v>
      </c>
      <c r="T456">
        <v>334616</v>
      </c>
      <c r="V456" t="str">
        <v>Buru</v>
      </c>
      <c r="W456">
        <v>9.51</v>
      </c>
      <c r="X456">
        <v>9.01</v>
      </c>
      <c r="Y456">
        <v>9.2799999999999994</v>
      </c>
      <c r="Z456">
        <v>13.19</v>
      </c>
      <c r="AA456">
        <v>13.96</v>
      </c>
      <c r="AB456">
        <v>13.25</v>
      </c>
      <c r="AC456">
        <v>77.84</v>
      </c>
      <c r="AD456">
        <v>71.540000000000006</v>
      </c>
      <c r="AE456">
        <v>73.239999999999995</v>
      </c>
      <c r="AF456">
        <v>3.49</v>
      </c>
      <c r="AG456">
        <v>6.63</v>
      </c>
      <c r="AH456">
        <v>4.66</v>
      </c>
      <c r="AI456">
        <v>68.64</v>
      </c>
      <c r="AJ456">
        <v>72.569999999999993</v>
      </c>
      <c r="AK456">
        <v>70.56</v>
      </c>
      <c r="AL456">
        <v>89.29</v>
      </c>
      <c r="AM456">
        <v>55.58</v>
      </c>
      <c r="AN456">
        <v>72.44</v>
      </c>
      <c r="AO456">
        <v>144124</v>
      </c>
    </row>
    <row r="457" spans="1:41" x14ac:dyDescent="0.35">
      <c r="A457" t="s">
        <v>457</v>
      </c>
      <c r="B457">
        <v>8.5</v>
      </c>
      <c r="C457">
        <v>8.1999999999999993</v>
      </c>
      <c r="D457">
        <v>8.27</v>
      </c>
      <c r="E457">
        <v>11.91</v>
      </c>
      <c r="F457">
        <v>12.58</v>
      </c>
      <c r="G457">
        <v>11.98</v>
      </c>
      <c r="H457">
        <v>73.92</v>
      </c>
      <c r="I457">
        <v>64</v>
      </c>
      <c r="J457">
        <v>69.540000000000006</v>
      </c>
      <c r="K457">
        <v>3.05</v>
      </c>
      <c r="L457">
        <v>1.69</v>
      </c>
      <c r="M457">
        <v>2.52</v>
      </c>
      <c r="N457">
        <v>69.37</v>
      </c>
      <c r="O457">
        <v>73.34</v>
      </c>
      <c r="P457">
        <v>71.31</v>
      </c>
      <c r="Q457">
        <v>86.25</v>
      </c>
      <c r="R457">
        <v>56.51</v>
      </c>
      <c r="S457">
        <v>71.38</v>
      </c>
      <c r="T457">
        <v>163160</v>
      </c>
      <c r="V457" t="str">
        <v>Kepulauan Aru</v>
      </c>
      <c r="W457">
        <v>9.51</v>
      </c>
      <c r="X457">
        <v>9.2799999999999994</v>
      </c>
      <c r="Y457">
        <v>9.4600000000000009</v>
      </c>
      <c r="Z457">
        <v>12.4</v>
      </c>
      <c r="AA457">
        <v>12.92</v>
      </c>
      <c r="AB457">
        <v>12.51</v>
      </c>
      <c r="AC457">
        <v>73.819999999999993</v>
      </c>
      <c r="AD457">
        <v>66.319999999999993</v>
      </c>
      <c r="AE457">
        <v>69.73</v>
      </c>
      <c r="AF457">
        <v>1.08</v>
      </c>
      <c r="AG457">
        <v>4.2699999999999996</v>
      </c>
      <c r="AH457">
        <v>2.1</v>
      </c>
      <c r="AI457">
        <v>68.680000000000007</v>
      </c>
      <c r="AJ457">
        <v>72.61</v>
      </c>
      <c r="AK457">
        <v>70.599999999999994</v>
      </c>
      <c r="AL457">
        <v>81.67</v>
      </c>
      <c r="AM457">
        <v>40.479999999999997</v>
      </c>
      <c r="AN457">
        <v>61.08</v>
      </c>
      <c r="AO457">
        <v>110930</v>
      </c>
    </row>
    <row r="458" spans="1:41" x14ac:dyDescent="0.35">
      <c r="A458" t="s">
        <v>458</v>
      </c>
      <c r="B458">
        <v>9.09</v>
      </c>
      <c r="C458">
        <v>8.36</v>
      </c>
      <c r="D458">
        <v>8.5399999999999991</v>
      </c>
      <c r="E458">
        <v>13.71</v>
      </c>
      <c r="F458">
        <v>13.5</v>
      </c>
      <c r="G458">
        <v>13.55</v>
      </c>
      <c r="H458">
        <v>77.209999999999994</v>
      </c>
      <c r="I458">
        <v>69.27</v>
      </c>
      <c r="J458">
        <v>72.59</v>
      </c>
      <c r="K458">
        <v>3.26</v>
      </c>
      <c r="L458">
        <v>4.5199999999999996</v>
      </c>
      <c r="M458">
        <v>3.82</v>
      </c>
      <c r="N458">
        <v>69.17</v>
      </c>
      <c r="O458">
        <v>73.13</v>
      </c>
      <c r="P458">
        <v>71.099999999999994</v>
      </c>
      <c r="Q458">
        <v>82</v>
      </c>
      <c r="R458">
        <v>65.52</v>
      </c>
      <c r="S458">
        <v>73.760000000000005</v>
      </c>
      <c r="T458">
        <v>120039</v>
      </c>
      <c r="V458" t="str">
        <v>Seram Bagian Barat</v>
      </c>
      <c r="W458">
        <v>9.65</v>
      </c>
      <c r="X458">
        <v>9.5399999999999991</v>
      </c>
      <c r="Y458">
        <v>9.6</v>
      </c>
      <c r="Z458">
        <v>13.5</v>
      </c>
      <c r="AA458">
        <v>13.83</v>
      </c>
      <c r="AB458">
        <v>13.71</v>
      </c>
      <c r="AC458">
        <v>73.14</v>
      </c>
      <c r="AD458">
        <v>72.2</v>
      </c>
      <c r="AE458">
        <v>72.91</v>
      </c>
      <c r="AF458">
        <v>3.3</v>
      </c>
      <c r="AG458">
        <v>7.25</v>
      </c>
      <c r="AH458">
        <v>4.92</v>
      </c>
      <c r="AI458">
        <v>69.63</v>
      </c>
      <c r="AJ458">
        <v>73.61</v>
      </c>
      <c r="AK458">
        <v>71.58</v>
      </c>
      <c r="AL458">
        <v>81.86</v>
      </c>
      <c r="AM458">
        <v>59.21</v>
      </c>
      <c r="AN458">
        <v>70.540000000000006</v>
      </c>
      <c r="AO458">
        <v>229622</v>
      </c>
    </row>
    <row r="459" spans="1:41" x14ac:dyDescent="0.35">
      <c r="A459" t="s">
        <v>459</v>
      </c>
      <c r="B459">
        <v>8.82</v>
      </c>
      <c r="C459">
        <v>9.2200000000000006</v>
      </c>
      <c r="D459">
        <v>9.06</v>
      </c>
      <c r="E459">
        <v>12.25</v>
      </c>
      <c r="F459">
        <v>12.55</v>
      </c>
      <c r="G459">
        <v>12.25</v>
      </c>
      <c r="H459">
        <v>72.95</v>
      </c>
      <c r="I459">
        <v>72.22</v>
      </c>
      <c r="J459">
        <v>72.37</v>
      </c>
      <c r="K459">
        <v>1.19</v>
      </c>
      <c r="L459">
        <v>2.2000000000000002</v>
      </c>
      <c r="M459">
        <v>1.62</v>
      </c>
      <c r="N459">
        <v>68.84</v>
      </c>
      <c r="O459">
        <v>72.790000000000006</v>
      </c>
      <c r="P459">
        <v>70.77</v>
      </c>
      <c r="Q459">
        <v>89.13</v>
      </c>
      <c r="R459">
        <v>67.930000000000007</v>
      </c>
      <c r="S459">
        <v>78.53</v>
      </c>
      <c r="T459">
        <v>151357</v>
      </c>
      <c r="V459" t="str">
        <v>Seram Bagian Timur</v>
      </c>
      <c r="W459">
        <v>9.67</v>
      </c>
      <c r="X459">
        <v>8.59</v>
      </c>
      <c r="Y459">
        <v>9.25</v>
      </c>
      <c r="Z459">
        <v>13.03</v>
      </c>
      <c r="AA459">
        <v>13.49</v>
      </c>
      <c r="AB459">
        <v>13.07</v>
      </c>
      <c r="AC459">
        <v>74.97</v>
      </c>
      <c r="AD459">
        <v>67.069999999999993</v>
      </c>
      <c r="AE459">
        <v>71.099999999999994</v>
      </c>
      <c r="AF459">
        <v>3.67</v>
      </c>
      <c r="AG459">
        <v>2.4700000000000002</v>
      </c>
      <c r="AH459">
        <v>3.18</v>
      </c>
      <c r="AI459">
        <v>67.260000000000005</v>
      </c>
      <c r="AJ459">
        <v>71.22</v>
      </c>
      <c r="AK459">
        <v>69.19</v>
      </c>
      <c r="AL459">
        <v>72.760000000000005</v>
      </c>
      <c r="AM459">
        <v>50.66</v>
      </c>
      <c r="AN459">
        <v>61.71</v>
      </c>
      <c r="AO459">
        <v>149475</v>
      </c>
    </row>
    <row r="460" spans="1:41" x14ac:dyDescent="0.35">
      <c r="A460" t="s">
        <v>460</v>
      </c>
      <c r="B460">
        <v>9.81</v>
      </c>
      <c r="C460">
        <v>8.94</v>
      </c>
      <c r="D460">
        <v>9.2799999999999994</v>
      </c>
      <c r="E460">
        <v>13.54</v>
      </c>
      <c r="F460">
        <v>13.31</v>
      </c>
      <c r="G460">
        <v>13.33</v>
      </c>
      <c r="H460">
        <v>75.23</v>
      </c>
      <c r="I460">
        <v>69.790000000000006</v>
      </c>
      <c r="J460">
        <v>71.290000000000006</v>
      </c>
      <c r="K460">
        <v>1.01</v>
      </c>
      <c r="L460">
        <v>3.18</v>
      </c>
      <c r="M460">
        <v>1.98</v>
      </c>
      <c r="N460">
        <v>69.53</v>
      </c>
      <c r="O460">
        <v>73.5</v>
      </c>
      <c r="P460">
        <v>71.47</v>
      </c>
      <c r="Q460">
        <v>88.93</v>
      </c>
      <c r="R460">
        <v>74.87</v>
      </c>
      <c r="S460">
        <v>81.900000000000006</v>
      </c>
      <c r="T460">
        <v>70615</v>
      </c>
      <c r="V460" t="str">
        <v>Maluku Barat Daya</v>
      </c>
      <c r="W460">
        <v>9.4700000000000006</v>
      </c>
      <c r="X460">
        <v>9.2899999999999991</v>
      </c>
      <c r="Y460">
        <v>9.39</v>
      </c>
      <c r="Z460">
        <v>12.8</v>
      </c>
      <c r="AA460">
        <v>13.23</v>
      </c>
      <c r="AB460">
        <v>12.94</v>
      </c>
      <c r="AC460">
        <v>72.58</v>
      </c>
      <c r="AD460">
        <v>65.98</v>
      </c>
      <c r="AE460">
        <v>68.66</v>
      </c>
      <c r="AF460">
        <v>1.83</v>
      </c>
      <c r="AG460">
        <v>3.88</v>
      </c>
      <c r="AH460">
        <v>2.69</v>
      </c>
      <c r="AI460">
        <v>68.19</v>
      </c>
      <c r="AJ460">
        <v>72.12</v>
      </c>
      <c r="AK460">
        <v>70.11</v>
      </c>
      <c r="AL460">
        <v>80.510000000000005</v>
      </c>
      <c r="AM460">
        <v>61.16</v>
      </c>
      <c r="AN460">
        <v>70.84</v>
      </c>
      <c r="AO460">
        <v>88571</v>
      </c>
    </row>
    <row r="461" spans="1:41" x14ac:dyDescent="0.35">
      <c r="A461" t="s">
        <v>461</v>
      </c>
      <c r="B461">
        <v>10.220000000000001</v>
      </c>
      <c r="C461">
        <v>9.42</v>
      </c>
      <c r="D461">
        <v>9.7899999999999991</v>
      </c>
      <c r="E461">
        <v>12.92</v>
      </c>
      <c r="F461">
        <v>13.39</v>
      </c>
      <c r="G461">
        <v>13.15</v>
      </c>
      <c r="H461">
        <v>77.72</v>
      </c>
      <c r="I461">
        <v>68.069999999999993</v>
      </c>
      <c r="J461">
        <v>73.42</v>
      </c>
      <c r="K461">
        <v>3.95</v>
      </c>
      <c r="L461">
        <v>4.05</v>
      </c>
      <c r="M461">
        <v>3.99</v>
      </c>
      <c r="N461">
        <v>68.81</v>
      </c>
      <c r="O461">
        <v>72.75</v>
      </c>
      <c r="P461">
        <v>70.73</v>
      </c>
      <c r="Q461">
        <v>85.83</v>
      </c>
      <c r="R461">
        <v>59.06</v>
      </c>
      <c r="S461">
        <v>72.45</v>
      </c>
      <c r="T461">
        <v>75395</v>
      </c>
      <c r="V461" t="str">
        <v>Buru Selatan</v>
      </c>
      <c r="W461">
        <v>9.11</v>
      </c>
      <c r="X461">
        <v>8.42</v>
      </c>
      <c r="Y461">
        <v>8.74</v>
      </c>
      <c r="Z461">
        <v>12.98</v>
      </c>
      <c r="AA461">
        <v>13.08</v>
      </c>
      <c r="AB461">
        <v>13.01</v>
      </c>
      <c r="AC461">
        <v>75.38</v>
      </c>
      <c r="AD461">
        <v>65.930000000000007</v>
      </c>
      <c r="AE461">
        <v>69.36</v>
      </c>
      <c r="AF461">
        <v>0.78</v>
      </c>
      <c r="AG461">
        <v>2.0099999999999998</v>
      </c>
      <c r="AH461">
        <v>1.29</v>
      </c>
      <c r="AI461">
        <v>68.62</v>
      </c>
      <c r="AJ461">
        <v>72.55</v>
      </c>
      <c r="AK461">
        <v>70.540000000000006</v>
      </c>
      <c r="AL461">
        <v>82.95</v>
      </c>
      <c r="AM461">
        <v>61.2</v>
      </c>
      <c r="AN461">
        <v>72.08</v>
      </c>
      <c r="AO461">
        <v>82219</v>
      </c>
    </row>
    <row r="462" spans="1:41" x14ac:dyDescent="0.35">
      <c r="A462" t="s">
        <v>462</v>
      </c>
      <c r="B462">
        <v>8.69</v>
      </c>
      <c r="C462">
        <v>8.3000000000000007</v>
      </c>
      <c r="D462">
        <v>8.65</v>
      </c>
      <c r="E462">
        <v>12.73</v>
      </c>
      <c r="F462">
        <v>12.71</v>
      </c>
      <c r="G462">
        <v>12.73</v>
      </c>
      <c r="H462">
        <v>71.39</v>
      </c>
      <c r="I462">
        <v>70.930000000000007</v>
      </c>
      <c r="J462">
        <v>71.19</v>
      </c>
      <c r="K462">
        <v>1.73</v>
      </c>
      <c r="L462">
        <v>2.94</v>
      </c>
      <c r="M462">
        <v>2.2000000000000002</v>
      </c>
      <c r="N462">
        <v>71.31</v>
      </c>
      <c r="O462">
        <v>75.739999999999995</v>
      </c>
      <c r="P462">
        <v>73.47</v>
      </c>
      <c r="Q462">
        <v>90.05</v>
      </c>
      <c r="R462">
        <v>59.76</v>
      </c>
      <c r="S462">
        <v>74.91</v>
      </c>
      <c r="T462">
        <v>129312</v>
      </c>
      <c r="V462" t="str">
        <v>Kota Ambon</v>
      </c>
      <c r="W462">
        <v>12.35</v>
      </c>
      <c r="X462">
        <v>12.4</v>
      </c>
      <c r="Y462">
        <v>12.37</v>
      </c>
      <c r="Z462">
        <v>15.67</v>
      </c>
      <c r="AA462">
        <v>16.71</v>
      </c>
      <c r="AB462">
        <v>16.09</v>
      </c>
      <c r="AC462">
        <v>85.26</v>
      </c>
      <c r="AD462">
        <v>83.84</v>
      </c>
      <c r="AE462">
        <v>83.97</v>
      </c>
      <c r="AF462">
        <v>10.63</v>
      </c>
      <c r="AG462">
        <v>12.35</v>
      </c>
      <c r="AH462">
        <v>11.37</v>
      </c>
      <c r="AI462">
        <v>71.37</v>
      </c>
      <c r="AJ462">
        <v>75.86</v>
      </c>
      <c r="AK462">
        <v>73.56</v>
      </c>
      <c r="AL462">
        <v>76.14</v>
      </c>
      <c r="AM462">
        <v>56.45</v>
      </c>
      <c r="AN462">
        <v>66.3</v>
      </c>
      <c r="AO462">
        <v>366301</v>
      </c>
    </row>
    <row r="463" spans="1:41" x14ac:dyDescent="0.35">
      <c r="A463" t="s">
        <v>463</v>
      </c>
      <c r="B463">
        <v>10.07</v>
      </c>
      <c r="C463">
        <v>9.19</v>
      </c>
      <c r="D463">
        <v>9.61</v>
      </c>
      <c r="E463">
        <v>12.32</v>
      </c>
      <c r="F463">
        <v>13.07</v>
      </c>
      <c r="G463">
        <v>12.57</v>
      </c>
      <c r="H463">
        <v>74.39</v>
      </c>
      <c r="I463">
        <v>64.69</v>
      </c>
      <c r="J463">
        <v>69.39</v>
      </c>
      <c r="K463">
        <v>2.14</v>
      </c>
      <c r="L463">
        <v>0.63</v>
      </c>
      <c r="M463">
        <v>1.52</v>
      </c>
      <c r="N463">
        <v>68.47</v>
      </c>
      <c r="O463">
        <v>72.400000000000006</v>
      </c>
      <c r="P463">
        <v>70.38</v>
      </c>
      <c r="Q463">
        <v>89.34</v>
      </c>
      <c r="R463">
        <v>64.55</v>
      </c>
      <c r="S463">
        <v>76.95</v>
      </c>
      <c r="T463">
        <v>40353</v>
      </c>
      <c r="V463" t="str">
        <v>Kota Tual</v>
      </c>
      <c r="W463">
        <v>11.12</v>
      </c>
      <c r="X463">
        <v>10.45</v>
      </c>
      <c r="Y463">
        <v>10.68</v>
      </c>
      <c r="Z463">
        <v>14.02</v>
      </c>
      <c r="AA463">
        <v>14.88</v>
      </c>
      <c r="AB463">
        <v>14.03</v>
      </c>
      <c r="AC463">
        <v>77.540000000000006</v>
      </c>
      <c r="AD463">
        <v>68.989999999999995</v>
      </c>
      <c r="AE463">
        <v>72.88</v>
      </c>
      <c r="AF463">
        <v>10.16</v>
      </c>
      <c r="AG463">
        <v>6.95</v>
      </c>
      <c r="AH463">
        <v>8.9600000000000009</v>
      </c>
      <c r="AI463">
        <v>70.099999999999994</v>
      </c>
      <c r="AJ463">
        <v>74.099999999999994</v>
      </c>
      <c r="AK463">
        <v>72.05</v>
      </c>
      <c r="AL463">
        <v>76.7</v>
      </c>
      <c r="AM463">
        <v>44.74</v>
      </c>
      <c r="AN463">
        <v>60.72</v>
      </c>
      <c r="AO463">
        <v>93884</v>
      </c>
    </row>
    <row r="464" spans="1:41" x14ac:dyDescent="0.35">
      <c r="A464" t="s">
        <v>464</v>
      </c>
      <c r="B464">
        <v>8.91</v>
      </c>
      <c r="C464">
        <v>7.77</v>
      </c>
      <c r="D464">
        <v>8.31</v>
      </c>
      <c r="E464">
        <v>12.72</v>
      </c>
      <c r="F464">
        <v>12.9</v>
      </c>
      <c r="G464">
        <v>12.75</v>
      </c>
      <c r="H464">
        <v>73.319999999999993</v>
      </c>
      <c r="I464">
        <v>66.06</v>
      </c>
      <c r="J464">
        <v>69.180000000000007</v>
      </c>
      <c r="K464">
        <v>1.78</v>
      </c>
      <c r="L464">
        <v>4.05</v>
      </c>
      <c r="M464">
        <v>2.76</v>
      </c>
      <c r="N464">
        <v>69.39</v>
      </c>
      <c r="O464">
        <v>73.36</v>
      </c>
      <c r="P464">
        <v>71.319999999999993</v>
      </c>
      <c r="Q464">
        <v>86.56</v>
      </c>
      <c r="R464">
        <v>64.13</v>
      </c>
      <c r="S464">
        <v>75.349999999999994</v>
      </c>
      <c r="T464">
        <v>92632</v>
      </c>
      <c r="V464" t="str">
        <v>Halmahera Barat</v>
      </c>
      <c r="W464">
        <v>9.11</v>
      </c>
      <c r="X464">
        <v>8.52</v>
      </c>
      <c r="Y464">
        <v>8.6</v>
      </c>
      <c r="Z464">
        <v>13.23</v>
      </c>
      <c r="AA464">
        <v>13.33</v>
      </c>
      <c r="AB464">
        <v>13.26</v>
      </c>
      <c r="AC464">
        <v>74.349999999999994</v>
      </c>
      <c r="AD464">
        <v>66.61</v>
      </c>
      <c r="AE464">
        <v>69.75</v>
      </c>
      <c r="AF464">
        <v>3.07</v>
      </c>
      <c r="AG464">
        <v>5.36</v>
      </c>
      <c r="AH464">
        <v>4.0599999999999996</v>
      </c>
      <c r="AI464">
        <v>69.180000000000007</v>
      </c>
      <c r="AJ464">
        <v>73.14</v>
      </c>
      <c r="AK464">
        <v>71.11</v>
      </c>
      <c r="AL464">
        <v>76.72</v>
      </c>
      <c r="AM464">
        <v>62.43</v>
      </c>
      <c r="AN464">
        <v>69.58</v>
      </c>
      <c r="AO464">
        <v>139126</v>
      </c>
    </row>
    <row r="465" spans="1:41" x14ac:dyDescent="0.35">
      <c r="A465" t="s">
        <v>465</v>
      </c>
      <c r="B465">
        <v>7.75</v>
      </c>
      <c r="C465">
        <v>6.47</v>
      </c>
      <c r="D465">
        <v>7.37</v>
      </c>
      <c r="E465">
        <v>13.4</v>
      </c>
      <c r="F465">
        <v>14.02</v>
      </c>
      <c r="G465">
        <v>13.44</v>
      </c>
      <c r="H465">
        <v>73.569999999999993</v>
      </c>
      <c r="I465">
        <v>62.07</v>
      </c>
      <c r="J465">
        <v>68.39</v>
      </c>
      <c r="K465">
        <v>4.93</v>
      </c>
      <c r="L465">
        <v>0.92</v>
      </c>
      <c r="M465">
        <v>3.16</v>
      </c>
      <c r="N465">
        <v>68.73</v>
      </c>
      <c r="O465">
        <v>72.67</v>
      </c>
      <c r="P465">
        <v>70.650000000000006</v>
      </c>
      <c r="Q465">
        <v>74</v>
      </c>
      <c r="R465">
        <v>58.57</v>
      </c>
      <c r="S465">
        <v>66.290000000000006</v>
      </c>
      <c r="T465">
        <v>123113</v>
      </c>
      <c r="V465" t="str">
        <v>Halmahera Tengah</v>
      </c>
      <c r="W465">
        <v>9.57</v>
      </c>
      <c r="X465">
        <v>9.0399999999999991</v>
      </c>
      <c r="Y465">
        <v>9.2100000000000009</v>
      </c>
      <c r="Z465">
        <v>13.72</v>
      </c>
      <c r="AA465">
        <v>13.6</v>
      </c>
      <c r="AB465">
        <v>13.69</v>
      </c>
      <c r="AC465">
        <v>75.569999999999993</v>
      </c>
      <c r="AD465">
        <v>68.599999999999994</v>
      </c>
      <c r="AE465">
        <v>71.569999999999993</v>
      </c>
      <c r="AF465">
        <v>2.38</v>
      </c>
      <c r="AG465">
        <v>7.21</v>
      </c>
      <c r="AH465">
        <v>3.96</v>
      </c>
      <c r="AI465">
        <v>68.97</v>
      </c>
      <c r="AJ465">
        <v>72.92</v>
      </c>
      <c r="AK465">
        <v>70.900000000000006</v>
      </c>
      <c r="AL465">
        <v>90.62</v>
      </c>
      <c r="AM465">
        <v>49.83</v>
      </c>
      <c r="AN465">
        <v>70.23</v>
      </c>
      <c r="AO465">
        <v>63104</v>
      </c>
    </row>
    <row r="466" spans="1:41" x14ac:dyDescent="0.35">
      <c r="A466" t="s">
        <v>466</v>
      </c>
      <c r="B466">
        <v>8.2799999999999994</v>
      </c>
      <c r="C466">
        <v>7.52</v>
      </c>
      <c r="D466">
        <v>7.8</v>
      </c>
      <c r="E466">
        <v>13.4</v>
      </c>
      <c r="F466">
        <v>13.37</v>
      </c>
      <c r="G466">
        <v>13.37</v>
      </c>
      <c r="H466">
        <v>75.31</v>
      </c>
      <c r="I466">
        <v>56.65</v>
      </c>
      <c r="J466">
        <v>68.540000000000006</v>
      </c>
      <c r="K466">
        <v>3.87</v>
      </c>
      <c r="L466">
        <v>1.6</v>
      </c>
      <c r="M466">
        <v>2.92</v>
      </c>
      <c r="N466">
        <v>68.45</v>
      </c>
      <c r="O466">
        <v>72.38</v>
      </c>
      <c r="P466">
        <v>70.36</v>
      </c>
      <c r="Q466">
        <v>80.59</v>
      </c>
      <c r="R466">
        <v>59.81</v>
      </c>
      <c r="S466">
        <v>70.2</v>
      </c>
      <c r="T466">
        <v>102794</v>
      </c>
      <c r="V466" t="str">
        <v>Kepulauan Sula</v>
      </c>
      <c r="W466">
        <v>9.58</v>
      </c>
      <c r="X466">
        <v>9.17</v>
      </c>
      <c r="Y466">
        <v>9.1999999999999993</v>
      </c>
      <c r="Z466">
        <v>13.22</v>
      </c>
      <c r="AA466">
        <v>13.16</v>
      </c>
      <c r="AB466">
        <v>13.16</v>
      </c>
      <c r="AC466">
        <v>72.7</v>
      </c>
      <c r="AD466">
        <v>68.03</v>
      </c>
      <c r="AE466">
        <v>68.89</v>
      </c>
      <c r="AF466">
        <v>1.61</v>
      </c>
      <c r="AG466">
        <v>5.87</v>
      </c>
      <c r="AH466">
        <v>3.11</v>
      </c>
      <c r="AI466">
        <v>67.260000000000005</v>
      </c>
      <c r="AJ466">
        <v>71.22</v>
      </c>
      <c r="AK466">
        <v>69.19</v>
      </c>
      <c r="AL466">
        <v>80.95</v>
      </c>
      <c r="AM466">
        <v>46.61</v>
      </c>
      <c r="AN466">
        <v>63.78</v>
      </c>
      <c r="AO466">
        <v>110535</v>
      </c>
    </row>
    <row r="467" spans="1:41" x14ac:dyDescent="0.35">
      <c r="A467" t="s">
        <v>467</v>
      </c>
      <c r="B467">
        <v>12.94</v>
      </c>
      <c r="C467">
        <v>12.14</v>
      </c>
      <c r="D467">
        <v>12.56</v>
      </c>
      <c r="E467">
        <v>16.97</v>
      </c>
      <c r="F467">
        <v>16.940000000000001</v>
      </c>
      <c r="G467">
        <v>16.940000000000001</v>
      </c>
      <c r="H467">
        <v>88.42</v>
      </c>
      <c r="I467">
        <v>84.82</v>
      </c>
      <c r="J467">
        <v>86.36</v>
      </c>
      <c r="K467">
        <v>4.87</v>
      </c>
      <c r="L467">
        <v>7.5</v>
      </c>
      <c r="M467">
        <v>5.94</v>
      </c>
      <c r="N467">
        <v>72.94</v>
      </c>
      <c r="O467">
        <v>78.64</v>
      </c>
      <c r="P467">
        <v>75.72</v>
      </c>
      <c r="Q467">
        <v>78.3</v>
      </c>
      <c r="R467">
        <v>54.64</v>
      </c>
      <c r="S467">
        <v>66.47</v>
      </c>
      <c r="T467">
        <v>377268</v>
      </c>
      <c r="V467" t="str">
        <v>Halmahera Selatan</v>
      </c>
      <c r="W467">
        <v>8.8000000000000007</v>
      </c>
      <c r="X467">
        <v>8.09</v>
      </c>
      <c r="Y467">
        <v>8.43</v>
      </c>
      <c r="Z467">
        <v>13.2</v>
      </c>
      <c r="AA467">
        <v>12.92</v>
      </c>
      <c r="AB467">
        <v>13.05</v>
      </c>
      <c r="AC467">
        <v>74.150000000000006</v>
      </c>
      <c r="AD467">
        <v>65.19</v>
      </c>
      <c r="AE467">
        <v>69.05</v>
      </c>
      <c r="AF467">
        <v>1.58</v>
      </c>
      <c r="AG467">
        <v>3.99</v>
      </c>
      <c r="AH467">
        <v>2.5499999999999998</v>
      </c>
      <c r="AI467">
        <v>69.05</v>
      </c>
      <c r="AJ467">
        <v>73</v>
      </c>
      <c r="AK467">
        <v>70.98</v>
      </c>
      <c r="AL467">
        <v>85.86</v>
      </c>
      <c r="AM467">
        <v>63.67</v>
      </c>
      <c r="AN467">
        <v>74.77</v>
      </c>
      <c r="AO467">
        <v>269008</v>
      </c>
    </row>
    <row r="468" spans="1:41" x14ac:dyDescent="0.35">
      <c r="A468" t="s">
        <v>468</v>
      </c>
      <c r="B468">
        <v>11.34</v>
      </c>
      <c r="C468">
        <v>11.05</v>
      </c>
      <c r="D468">
        <v>11.11</v>
      </c>
      <c r="E468">
        <v>15.37</v>
      </c>
      <c r="F468">
        <v>15.71</v>
      </c>
      <c r="G468">
        <v>15.54</v>
      </c>
      <c r="H468">
        <v>84.05</v>
      </c>
      <c r="I468">
        <v>77.72</v>
      </c>
      <c r="J468">
        <v>80.290000000000006</v>
      </c>
      <c r="K468">
        <v>3.08</v>
      </c>
      <c r="L468">
        <v>5.16</v>
      </c>
      <c r="M468">
        <v>3.95</v>
      </c>
      <c r="N468">
        <v>72.290000000000006</v>
      </c>
      <c r="O468">
        <v>77.7</v>
      </c>
      <c r="P468">
        <v>74.930000000000007</v>
      </c>
      <c r="Q468">
        <v>76.91</v>
      </c>
      <c r="R468">
        <v>54.54</v>
      </c>
      <c r="S468">
        <v>65.73</v>
      </c>
      <c r="T468">
        <v>170885</v>
      </c>
      <c r="V468" t="str">
        <v>Halmahera Utara</v>
      </c>
      <c r="W468">
        <v>9.25</v>
      </c>
      <c r="X468">
        <v>8.57</v>
      </c>
      <c r="Y468">
        <v>8.84</v>
      </c>
      <c r="Z468">
        <v>13.81</v>
      </c>
      <c r="AA468">
        <v>13.74</v>
      </c>
      <c r="AB468">
        <v>13.81</v>
      </c>
      <c r="AC468">
        <v>76.25</v>
      </c>
      <c r="AD468">
        <v>69.319999999999993</v>
      </c>
      <c r="AE468">
        <v>71.25</v>
      </c>
      <c r="AF468">
        <v>7.24</v>
      </c>
      <c r="AG468">
        <v>5.77</v>
      </c>
      <c r="AH468">
        <v>6.7</v>
      </c>
      <c r="AI468">
        <v>70.349999999999994</v>
      </c>
      <c r="AJ468">
        <v>74.36</v>
      </c>
      <c r="AK468">
        <v>72.3</v>
      </c>
      <c r="AL468">
        <v>87.35</v>
      </c>
      <c r="AM468">
        <v>54.12</v>
      </c>
      <c r="AN468">
        <v>70.739999999999995</v>
      </c>
      <c r="AO468">
        <v>210263</v>
      </c>
    </row>
    <row r="469" spans="1:41" x14ac:dyDescent="0.35">
      <c r="A469" t="s">
        <v>469</v>
      </c>
      <c r="B469">
        <v>7.89</v>
      </c>
      <c r="C469">
        <v>8.9</v>
      </c>
      <c r="D469">
        <v>8.3800000000000008</v>
      </c>
      <c r="E469">
        <v>12.88</v>
      </c>
      <c r="F469">
        <v>13.86</v>
      </c>
      <c r="G469">
        <v>13.18</v>
      </c>
      <c r="H469">
        <v>74.930000000000007</v>
      </c>
      <c r="I469">
        <v>66.81</v>
      </c>
      <c r="J469">
        <v>72.62</v>
      </c>
      <c r="K469">
        <v>3.3</v>
      </c>
      <c r="L469">
        <v>3.61</v>
      </c>
      <c r="M469">
        <v>3.42</v>
      </c>
      <c r="N469">
        <v>69.13</v>
      </c>
      <c r="O469">
        <v>73.09</v>
      </c>
      <c r="P469">
        <v>71.06</v>
      </c>
      <c r="Q469">
        <v>85.3</v>
      </c>
      <c r="R469">
        <v>53.12</v>
      </c>
      <c r="S469">
        <v>69.209999999999994</v>
      </c>
      <c r="T469">
        <v>1242238</v>
      </c>
      <c r="V469" t="str">
        <v>Halmahera Timur</v>
      </c>
      <c r="W469">
        <v>9.35</v>
      </c>
      <c r="X469">
        <v>8.84</v>
      </c>
      <c r="Y469">
        <v>9.07</v>
      </c>
      <c r="Z469">
        <v>13.54</v>
      </c>
      <c r="AA469">
        <v>12.95</v>
      </c>
      <c r="AB469">
        <v>13.01</v>
      </c>
      <c r="AC469">
        <v>76.59</v>
      </c>
      <c r="AD469">
        <v>63.6</v>
      </c>
      <c r="AE469">
        <v>71.11</v>
      </c>
      <c r="AF469">
        <v>5.04</v>
      </c>
      <c r="AG469">
        <v>4.49</v>
      </c>
      <c r="AH469">
        <v>4.8499999999999996</v>
      </c>
      <c r="AI469">
        <v>70.09</v>
      </c>
      <c r="AJ469">
        <v>74.09</v>
      </c>
      <c r="AK469">
        <v>72.040000000000006</v>
      </c>
      <c r="AL469">
        <v>87.02</v>
      </c>
      <c r="AM469">
        <v>51.62</v>
      </c>
      <c r="AN469">
        <v>69.319999999999993</v>
      </c>
      <c r="AO469">
        <v>99869</v>
      </c>
    </row>
    <row r="470" spans="1:41" x14ac:dyDescent="0.35">
      <c r="A470" t="s">
        <v>470</v>
      </c>
      <c r="B470">
        <v>6.78</v>
      </c>
      <c r="C470">
        <v>7.68</v>
      </c>
      <c r="D470">
        <v>7.32</v>
      </c>
      <c r="E470">
        <v>12.08</v>
      </c>
      <c r="F470">
        <v>13.09</v>
      </c>
      <c r="G470">
        <v>12.6</v>
      </c>
      <c r="H470">
        <v>72.510000000000005</v>
      </c>
      <c r="I470">
        <v>60.73</v>
      </c>
      <c r="J470">
        <v>69.89</v>
      </c>
      <c r="K470">
        <v>2.5</v>
      </c>
      <c r="L470">
        <v>3.98</v>
      </c>
      <c r="M470">
        <v>3.09</v>
      </c>
      <c r="N470">
        <v>69.75</v>
      </c>
      <c r="O470">
        <v>73.739999999999995</v>
      </c>
      <c r="P470">
        <v>71.7</v>
      </c>
      <c r="Q470">
        <v>88.48</v>
      </c>
      <c r="R470">
        <v>60.12</v>
      </c>
      <c r="S470">
        <v>74.3</v>
      </c>
      <c r="T470">
        <v>155183</v>
      </c>
      <c r="V470" t="str">
        <v>Pulau Morotai</v>
      </c>
      <c r="W470">
        <v>8.3699999999999992</v>
      </c>
      <c r="X470">
        <v>7.43</v>
      </c>
      <c r="Y470">
        <v>7.91</v>
      </c>
      <c r="Z470">
        <v>13.19</v>
      </c>
      <c r="AA470">
        <v>13.11</v>
      </c>
      <c r="AB470">
        <v>13.19</v>
      </c>
      <c r="AC470">
        <v>73.72</v>
      </c>
      <c r="AD470">
        <v>53.79</v>
      </c>
      <c r="AE470">
        <v>67.86</v>
      </c>
      <c r="AF470">
        <v>3.73</v>
      </c>
      <c r="AG470">
        <v>6.59</v>
      </c>
      <c r="AH470">
        <v>4.74</v>
      </c>
      <c r="AI470">
        <v>69.69</v>
      </c>
      <c r="AJ470">
        <v>73.67</v>
      </c>
      <c r="AK470">
        <v>71.63</v>
      </c>
      <c r="AL470">
        <v>84.04</v>
      </c>
      <c r="AM470">
        <v>49.31</v>
      </c>
      <c r="AN470">
        <v>66.680000000000007</v>
      </c>
      <c r="AO470">
        <v>80968</v>
      </c>
    </row>
    <row r="471" spans="1:41" x14ac:dyDescent="0.35">
      <c r="A471" t="s">
        <v>471</v>
      </c>
      <c r="B471">
        <v>7.45</v>
      </c>
      <c r="C471">
        <v>8.5299999999999994</v>
      </c>
      <c r="D471">
        <v>7.96</v>
      </c>
      <c r="E471">
        <v>12.82</v>
      </c>
      <c r="F471">
        <v>13.95</v>
      </c>
      <c r="G471">
        <v>13.23</v>
      </c>
      <c r="H471">
        <v>74.430000000000007</v>
      </c>
      <c r="I471">
        <v>63.02</v>
      </c>
      <c r="J471">
        <v>71.540000000000006</v>
      </c>
      <c r="K471">
        <v>2.76</v>
      </c>
      <c r="L471">
        <v>4.08</v>
      </c>
      <c r="M471">
        <v>3.26</v>
      </c>
      <c r="N471">
        <v>69.319999999999993</v>
      </c>
      <c r="O471">
        <v>73.290000000000006</v>
      </c>
      <c r="P471">
        <v>71.260000000000005</v>
      </c>
      <c r="Q471">
        <v>83.7</v>
      </c>
      <c r="R471">
        <v>51.47</v>
      </c>
      <c r="S471">
        <v>67.59</v>
      </c>
      <c r="T471">
        <v>413627</v>
      </c>
      <c r="V471" t="str">
        <v>Pulau Taliabu</v>
      </c>
      <c r="W471">
        <v>8.4600000000000009</v>
      </c>
      <c r="X471">
        <v>8.01</v>
      </c>
      <c r="Y471">
        <v>8.15</v>
      </c>
      <c r="Z471">
        <v>12.79</v>
      </c>
      <c r="AA471">
        <v>13.12</v>
      </c>
      <c r="AB471">
        <v>12.89</v>
      </c>
      <c r="AC471">
        <v>71.569999999999993</v>
      </c>
      <c r="AD471">
        <v>61.08</v>
      </c>
      <c r="AE471">
        <v>65.61</v>
      </c>
      <c r="AF471">
        <v>2.0099999999999998</v>
      </c>
      <c r="AG471">
        <v>6.11</v>
      </c>
      <c r="AH471">
        <v>3.4</v>
      </c>
      <c r="AI471">
        <v>65.59</v>
      </c>
      <c r="AJ471">
        <v>69.56</v>
      </c>
      <c r="AK471">
        <v>67.52</v>
      </c>
      <c r="AL471">
        <v>83.69</v>
      </c>
      <c r="AM471">
        <v>46.74</v>
      </c>
      <c r="AN471">
        <v>65.22</v>
      </c>
      <c r="AO471">
        <v>62230</v>
      </c>
    </row>
    <row r="472" spans="1:41" x14ac:dyDescent="0.35">
      <c r="A472" t="s">
        <v>472</v>
      </c>
      <c r="B472">
        <v>7.52</v>
      </c>
      <c r="C472">
        <v>8.11</v>
      </c>
      <c r="D472">
        <v>7.79</v>
      </c>
      <c r="E472">
        <v>12.27</v>
      </c>
      <c r="F472">
        <v>13.12</v>
      </c>
      <c r="G472">
        <v>12.49</v>
      </c>
      <c r="H472">
        <v>72.5</v>
      </c>
      <c r="I472">
        <v>67.16</v>
      </c>
      <c r="J472">
        <v>70.59</v>
      </c>
      <c r="K472">
        <v>2.2999999999999998</v>
      </c>
      <c r="L472">
        <v>3.71</v>
      </c>
      <c r="M472">
        <v>2.83</v>
      </c>
      <c r="N472">
        <v>68.069999999999993</v>
      </c>
      <c r="O472">
        <v>72.010000000000005</v>
      </c>
      <c r="P472">
        <v>70</v>
      </c>
      <c r="Q472">
        <v>88.09</v>
      </c>
      <c r="R472">
        <v>54.72</v>
      </c>
      <c r="S472">
        <v>71.41</v>
      </c>
      <c r="T472">
        <v>155665</v>
      </c>
      <c r="V472" t="str">
        <v>Kota Ternate</v>
      </c>
      <c r="W472">
        <v>12.36</v>
      </c>
      <c r="X472">
        <v>11.83</v>
      </c>
      <c r="Y472">
        <v>12.09</v>
      </c>
      <c r="Z472">
        <v>15.95</v>
      </c>
      <c r="AA472">
        <v>15.93</v>
      </c>
      <c r="AB472">
        <v>15.93</v>
      </c>
      <c r="AC472">
        <v>86.35</v>
      </c>
      <c r="AD472">
        <v>80.12</v>
      </c>
      <c r="AE472">
        <v>83.01</v>
      </c>
      <c r="AF472">
        <v>7.76</v>
      </c>
      <c r="AG472">
        <v>5.52</v>
      </c>
      <c r="AH472">
        <v>6.92</v>
      </c>
      <c r="AI472">
        <v>71.239999999999995</v>
      </c>
      <c r="AJ472">
        <v>75.58</v>
      </c>
      <c r="AK472">
        <v>73.36</v>
      </c>
      <c r="AL472">
        <v>79.19</v>
      </c>
      <c r="AM472">
        <v>48.46</v>
      </c>
      <c r="AN472">
        <v>63.83</v>
      </c>
      <c r="AO472">
        <v>216773</v>
      </c>
    </row>
    <row r="473" spans="1:41" x14ac:dyDescent="0.35">
      <c r="A473" t="s">
        <v>473</v>
      </c>
      <c r="B473">
        <v>8.0299999999999994</v>
      </c>
      <c r="C473">
        <v>9.23</v>
      </c>
      <c r="D473">
        <v>8.6199999999999992</v>
      </c>
      <c r="E473">
        <v>13.28</v>
      </c>
      <c r="F473">
        <v>14.89</v>
      </c>
      <c r="G473">
        <v>13.7</v>
      </c>
      <c r="H473">
        <v>75.510000000000005</v>
      </c>
      <c r="I473">
        <v>67.95</v>
      </c>
      <c r="J473">
        <v>73.3</v>
      </c>
      <c r="K473">
        <v>4.8099999999999996</v>
      </c>
      <c r="L473">
        <v>2.62</v>
      </c>
      <c r="M473">
        <v>4.0199999999999996</v>
      </c>
      <c r="N473">
        <v>68.8</v>
      </c>
      <c r="O473">
        <v>72.739999999999995</v>
      </c>
      <c r="P473">
        <v>70.73</v>
      </c>
      <c r="Q473">
        <v>85.78</v>
      </c>
      <c r="R473">
        <v>48.2</v>
      </c>
      <c r="S473">
        <v>66.989999999999995</v>
      </c>
      <c r="T473">
        <v>172726</v>
      </c>
      <c r="V473" t="str">
        <v>Kota Tidore Kepulauan</v>
      </c>
      <c r="W473">
        <v>10.51</v>
      </c>
      <c r="X473">
        <v>10.09</v>
      </c>
      <c r="Y473">
        <v>10.18</v>
      </c>
      <c r="Z473">
        <v>14.22</v>
      </c>
      <c r="AA473">
        <v>15.33</v>
      </c>
      <c r="AB473">
        <v>14.5</v>
      </c>
      <c r="AC473">
        <v>76.83</v>
      </c>
      <c r="AD473">
        <v>74.53</v>
      </c>
      <c r="AE473">
        <v>74.63</v>
      </c>
      <c r="AF473">
        <v>4.03</v>
      </c>
      <c r="AG473">
        <v>4.01</v>
      </c>
      <c r="AH473">
        <v>4.0199999999999996</v>
      </c>
      <c r="AI473">
        <v>71.010000000000005</v>
      </c>
      <c r="AJ473">
        <v>75.099999999999994</v>
      </c>
      <c r="AK473">
        <v>73</v>
      </c>
      <c r="AL473">
        <v>86.32</v>
      </c>
      <c r="AM473">
        <v>53.16</v>
      </c>
      <c r="AN473">
        <v>69.739999999999995</v>
      </c>
      <c r="AO473">
        <v>121948</v>
      </c>
    </row>
    <row r="474" spans="1:41" x14ac:dyDescent="0.35">
      <c r="A474" t="s">
        <v>474</v>
      </c>
      <c r="B474">
        <v>7.21</v>
      </c>
      <c r="C474">
        <v>7.92</v>
      </c>
      <c r="D474">
        <v>7.56</v>
      </c>
      <c r="E474">
        <v>12.42</v>
      </c>
      <c r="F474">
        <v>13.35</v>
      </c>
      <c r="G474">
        <v>12.71</v>
      </c>
      <c r="H474">
        <v>72.739999999999995</v>
      </c>
      <c r="I474">
        <v>60.71</v>
      </c>
      <c r="J474">
        <v>69.62</v>
      </c>
      <c r="K474">
        <v>3.11</v>
      </c>
      <c r="L474">
        <v>2.95</v>
      </c>
      <c r="M474">
        <v>3.05</v>
      </c>
      <c r="N474">
        <v>68.33</v>
      </c>
      <c r="O474">
        <v>72.260000000000005</v>
      </c>
      <c r="P474">
        <v>70.25</v>
      </c>
      <c r="Q474">
        <v>90.26</v>
      </c>
      <c r="R474">
        <v>58.44</v>
      </c>
      <c r="S474">
        <v>74.349999999999994</v>
      </c>
      <c r="T474">
        <v>134852</v>
      </c>
      <c r="V474" t="str">
        <v>Fakfak</v>
      </c>
      <c r="W474">
        <v>10.84</v>
      </c>
      <c r="X474">
        <v>8.9700000000000006</v>
      </c>
      <c r="Y474">
        <v>9.35</v>
      </c>
      <c r="Z474">
        <v>14.8</v>
      </c>
      <c r="AA474">
        <v>15.38</v>
      </c>
      <c r="AB474">
        <v>14.8</v>
      </c>
      <c r="AC474">
        <v>78.2</v>
      </c>
      <c r="AD474">
        <v>66.760000000000005</v>
      </c>
      <c r="AE474">
        <v>72</v>
      </c>
      <c r="AF474">
        <v>5.1100000000000003</v>
      </c>
      <c r="AG474">
        <v>8.44</v>
      </c>
      <c r="AH474">
        <v>6.4</v>
      </c>
      <c r="AI474">
        <v>69.84</v>
      </c>
      <c r="AJ474">
        <v>73.83</v>
      </c>
      <c r="AK474">
        <v>71.78</v>
      </c>
      <c r="AL474">
        <v>75.819999999999993</v>
      </c>
      <c r="AM474">
        <v>49.99</v>
      </c>
      <c r="AN474">
        <v>62.91</v>
      </c>
      <c r="AO474">
        <v>91441</v>
      </c>
    </row>
    <row r="475" spans="1:41" x14ac:dyDescent="0.35">
      <c r="A475" t="s">
        <v>475</v>
      </c>
      <c r="B475">
        <v>10.39</v>
      </c>
      <c r="C475">
        <v>11.06</v>
      </c>
      <c r="D475">
        <v>10.59</v>
      </c>
      <c r="E475">
        <v>14.52</v>
      </c>
      <c r="F475">
        <v>15.11</v>
      </c>
      <c r="G475">
        <v>14.63</v>
      </c>
      <c r="H475">
        <v>83.14</v>
      </c>
      <c r="I475">
        <v>73.790000000000006</v>
      </c>
      <c r="J475">
        <v>79.97</v>
      </c>
      <c r="K475">
        <v>4.72</v>
      </c>
      <c r="L475">
        <v>3.51</v>
      </c>
      <c r="M475">
        <v>4.25</v>
      </c>
      <c r="N475">
        <v>71.67</v>
      </c>
      <c r="O475">
        <v>76.5</v>
      </c>
      <c r="P475">
        <v>74.03</v>
      </c>
      <c r="Q475">
        <v>80.39</v>
      </c>
      <c r="R475">
        <v>50.95</v>
      </c>
      <c r="S475">
        <v>65.67</v>
      </c>
      <c r="T475">
        <v>210185</v>
      </c>
      <c r="V475" t="str">
        <v>Kaimana</v>
      </c>
      <c r="W475">
        <v>10.26</v>
      </c>
      <c r="X475">
        <v>8.3699999999999992</v>
      </c>
      <c r="Y475">
        <v>9.02</v>
      </c>
      <c r="Z475">
        <v>12.52</v>
      </c>
      <c r="AA475">
        <v>12.51</v>
      </c>
      <c r="AB475">
        <v>12.52</v>
      </c>
      <c r="AC475">
        <v>75.239999999999995</v>
      </c>
      <c r="AD475">
        <v>64.260000000000005</v>
      </c>
      <c r="AE475">
        <v>69.7</v>
      </c>
      <c r="AF475">
        <v>5.0599999999999996</v>
      </c>
      <c r="AG475">
        <v>6.72</v>
      </c>
      <c r="AH475">
        <v>5.75</v>
      </c>
      <c r="AI475">
        <v>67.62</v>
      </c>
      <c r="AJ475">
        <v>71.569999999999993</v>
      </c>
      <c r="AK475">
        <v>69.540000000000006</v>
      </c>
      <c r="AL475">
        <v>73.42</v>
      </c>
      <c r="AM475">
        <v>56.44</v>
      </c>
      <c r="AN475">
        <v>64.930000000000007</v>
      </c>
      <c r="AO475">
        <v>67795</v>
      </c>
    </row>
    <row r="476" spans="1:41" x14ac:dyDescent="0.35">
      <c r="A476" t="s">
        <v>476</v>
      </c>
      <c r="B476">
        <v>8.52</v>
      </c>
      <c r="C476">
        <v>8.23</v>
      </c>
      <c r="D476">
        <v>8.31</v>
      </c>
      <c r="E476">
        <v>12.79</v>
      </c>
      <c r="F476">
        <v>13.3</v>
      </c>
      <c r="G476">
        <v>12.9</v>
      </c>
      <c r="H476">
        <v>74.930000000000007</v>
      </c>
      <c r="I476">
        <v>68.260000000000005</v>
      </c>
      <c r="J476">
        <v>71.16</v>
      </c>
      <c r="K476">
        <v>2.4</v>
      </c>
      <c r="L476">
        <v>3.56</v>
      </c>
      <c r="M476">
        <v>2.86</v>
      </c>
      <c r="N476">
        <v>69.5</v>
      </c>
      <c r="O476">
        <v>73.47</v>
      </c>
      <c r="P476">
        <v>71.44</v>
      </c>
      <c r="Q476">
        <v>87.47</v>
      </c>
      <c r="R476">
        <v>60.68</v>
      </c>
      <c r="S476">
        <v>74.08</v>
      </c>
      <c r="T476">
        <v>1525335</v>
      </c>
      <c r="V476" t="str">
        <v>Teluk Wondama</v>
      </c>
      <c r="W476">
        <v>9.81</v>
      </c>
      <c r="X476">
        <v>7.54</v>
      </c>
      <c r="Y476">
        <v>7.56</v>
      </c>
      <c r="Z476">
        <v>11.92</v>
      </c>
      <c r="AA476">
        <v>12.11</v>
      </c>
      <c r="AB476">
        <v>11.97</v>
      </c>
      <c r="AC476">
        <v>72.55</v>
      </c>
      <c r="AD476">
        <v>58.75</v>
      </c>
      <c r="AE476">
        <v>65.260000000000005</v>
      </c>
      <c r="AF476">
        <v>3.58</v>
      </c>
      <c r="AG476">
        <v>3.07</v>
      </c>
      <c r="AH476">
        <v>3.37</v>
      </c>
      <c r="AI476">
        <v>63.85</v>
      </c>
      <c r="AJ476">
        <v>67.72</v>
      </c>
      <c r="AK476">
        <v>65.739999999999995</v>
      </c>
      <c r="AL476">
        <v>74.760000000000005</v>
      </c>
      <c r="AM476">
        <v>57.55</v>
      </c>
      <c r="AN476">
        <v>66.16</v>
      </c>
      <c r="AO476">
        <v>46595</v>
      </c>
    </row>
    <row r="477" spans="1:41" x14ac:dyDescent="0.35">
      <c r="A477" t="s">
        <v>477</v>
      </c>
      <c r="B477">
        <v>9.7100000000000009</v>
      </c>
      <c r="C477">
        <v>9.5299999999999994</v>
      </c>
      <c r="D477">
        <v>9.68</v>
      </c>
      <c r="E477">
        <v>13.67</v>
      </c>
      <c r="F477">
        <v>14.39</v>
      </c>
      <c r="G477">
        <v>13.84</v>
      </c>
      <c r="H477">
        <v>76.31</v>
      </c>
      <c r="I477">
        <v>73.09</v>
      </c>
      <c r="J477">
        <v>74.150000000000006</v>
      </c>
      <c r="K477">
        <v>3.33</v>
      </c>
      <c r="L477">
        <v>4.3600000000000003</v>
      </c>
      <c r="M477">
        <v>3.74</v>
      </c>
      <c r="N477">
        <v>68.819999999999993</v>
      </c>
      <c r="O477">
        <v>72.760000000000005</v>
      </c>
      <c r="P477">
        <v>70.739999999999995</v>
      </c>
      <c r="Q477">
        <v>82.87</v>
      </c>
      <c r="R477">
        <v>53.64</v>
      </c>
      <c r="S477">
        <v>68.260000000000005</v>
      </c>
      <c r="T477">
        <v>186367</v>
      </c>
      <c r="V477" t="str">
        <v>Teluk Bintuni</v>
      </c>
      <c r="W477">
        <v>9.93</v>
      </c>
      <c r="X477">
        <v>8.73</v>
      </c>
      <c r="Y477">
        <v>8.77</v>
      </c>
      <c r="Z477">
        <v>12.88</v>
      </c>
      <c r="AA477">
        <v>12.61</v>
      </c>
      <c r="AB477">
        <v>12.63</v>
      </c>
      <c r="AC477">
        <v>75.52</v>
      </c>
      <c r="AD477">
        <v>65.77</v>
      </c>
      <c r="AE477">
        <v>70.319999999999993</v>
      </c>
      <c r="AF477">
        <v>4.43</v>
      </c>
      <c r="AG477">
        <v>1.87</v>
      </c>
      <c r="AH477">
        <v>3.63</v>
      </c>
      <c r="AI477">
        <v>66.55</v>
      </c>
      <c r="AJ477">
        <v>70.53</v>
      </c>
      <c r="AK477">
        <v>68.489999999999995</v>
      </c>
      <c r="AL477">
        <v>83.31</v>
      </c>
      <c r="AM477">
        <v>55.12</v>
      </c>
      <c r="AN477">
        <v>69.22</v>
      </c>
      <c r="AO477">
        <v>92009</v>
      </c>
    </row>
    <row r="478" spans="1:41" x14ac:dyDescent="0.35">
      <c r="A478" t="s">
        <v>478</v>
      </c>
      <c r="B478">
        <v>8.1300000000000008</v>
      </c>
      <c r="C478">
        <v>7.56</v>
      </c>
      <c r="D478">
        <v>7.84</v>
      </c>
      <c r="E478">
        <v>13.25</v>
      </c>
      <c r="F478">
        <v>14.08</v>
      </c>
      <c r="G478">
        <v>13.51</v>
      </c>
      <c r="H478">
        <v>74.099999999999994</v>
      </c>
      <c r="I478">
        <v>68.930000000000007</v>
      </c>
      <c r="J478">
        <v>70.709999999999994</v>
      </c>
      <c r="K478">
        <v>3.07</v>
      </c>
      <c r="L478">
        <v>3.09</v>
      </c>
      <c r="M478">
        <v>3.08</v>
      </c>
      <c r="N478">
        <v>69.53</v>
      </c>
      <c r="O478">
        <v>73.5</v>
      </c>
      <c r="P478">
        <v>71.459999999999994</v>
      </c>
      <c r="Q478">
        <v>86.71</v>
      </c>
      <c r="R478">
        <v>59.76</v>
      </c>
      <c r="S478">
        <v>73.239999999999995</v>
      </c>
      <c r="T478">
        <v>507212</v>
      </c>
      <c r="V478" t="str">
        <v>Manokwari</v>
      </c>
      <c r="W478">
        <v>11.18</v>
      </c>
      <c r="X478">
        <v>8.89</v>
      </c>
      <c r="Y478">
        <v>8.89</v>
      </c>
      <c r="Z478">
        <v>14.02</v>
      </c>
      <c r="AA478">
        <v>13.84</v>
      </c>
      <c r="AB478">
        <v>13.87</v>
      </c>
      <c r="AC478">
        <v>82.84</v>
      </c>
      <c r="AD478">
        <v>70.97</v>
      </c>
      <c r="AE478">
        <v>75.959999999999994</v>
      </c>
      <c r="AF478">
        <v>6.73</v>
      </c>
      <c r="AG478">
        <v>3.91</v>
      </c>
      <c r="AH478">
        <v>5.65</v>
      </c>
      <c r="AI478">
        <v>70.930000000000007</v>
      </c>
      <c r="AJ478">
        <v>74.97</v>
      </c>
      <c r="AK478">
        <v>72.900000000000006</v>
      </c>
      <c r="AL478">
        <v>80.790000000000006</v>
      </c>
      <c r="AM478">
        <v>54.07</v>
      </c>
      <c r="AN478">
        <v>67.430000000000007</v>
      </c>
      <c r="AO478">
        <v>208021</v>
      </c>
    </row>
    <row r="479" spans="1:41" x14ac:dyDescent="0.35">
      <c r="A479" t="s">
        <v>479</v>
      </c>
      <c r="B479">
        <v>8.5500000000000007</v>
      </c>
      <c r="C479">
        <v>8.41</v>
      </c>
      <c r="D479">
        <v>8.41</v>
      </c>
      <c r="E479">
        <v>12.33</v>
      </c>
      <c r="F479">
        <v>13.17</v>
      </c>
      <c r="G479">
        <v>12.61</v>
      </c>
      <c r="H479">
        <v>70.63</v>
      </c>
      <c r="I479">
        <v>69.540000000000006</v>
      </c>
      <c r="J479">
        <v>69.56</v>
      </c>
      <c r="K479">
        <v>2.96</v>
      </c>
      <c r="L479">
        <v>2.85</v>
      </c>
      <c r="M479">
        <v>2.91</v>
      </c>
      <c r="N479">
        <v>70.47</v>
      </c>
      <c r="O479">
        <v>74.489999999999995</v>
      </c>
      <c r="P479">
        <v>72.430000000000007</v>
      </c>
      <c r="Q479">
        <v>87.4</v>
      </c>
      <c r="R479">
        <v>75.900000000000006</v>
      </c>
      <c r="S479">
        <v>81.650000000000006</v>
      </c>
      <c r="T479">
        <v>175508</v>
      </c>
      <c r="V479" t="str">
        <v>Manokwari Selatan</v>
      </c>
      <c r="W479">
        <v>10.18</v>
      </c>
      <c r="X479">
        <v>6.71</v>
      </c>
      <c r="Y479">
        <v>7.33</v>
      </c>
      <c r="Z479">
        <v>12.84</v>
      </c>
      <c r="AA479">
        <v>13.25</v>
      </c>
      <c r="AB479">
        <v>12.84</v>
      </c>
      <c r="AC479">
        <v>72.31</v>
      </c>
      <c r="AD479">
        <v>50.54</v>
      </c>
      <c r="AE479">
        <v>63.24</v>
      </c>
      <c r="AF479">
        <v>3.42</v>
      </c>
      <c r="AG479">
        <v>1.55</v>
      </c>
      <c r="AH479">
        <v>2.62</v>
      </c>
      <c r="AI479">
        <v>66.59</v>
      </c>
      <c r="AJ479">
        <v>70.569999999999993</v>
      </c>
      <c r="AK479">
        <v>68.53</v>
      </c>
      <c r="AL479">
        <v>81.87</v>
      </c>
      <c r="AM479">
        <v>65.19</v>
      </c>
      <c r="AN479">
        <v>73.53</v>
      </c>
      <c r="AO479">
        <v>39571</v>
      </c>
    </row>
    <row r="480" spans="1:41" x14ac:dyDescent="0.35">
      <c r="A480" t="s">
        <v>480</v>
      </c>
      <c r="B480">
        <v>8.92</v>
      </c>
      <c r="C480">
        <v>8.48</v>
      </c>
      <c r="D480">
        <v>8.7100000000000009</v>
      </c>
      <c r="E480">
        <v>12.82</v>
      </c>
      <c r="F480">
        <v>13.79</v>
      </c>
      <c r="G480">
        <v>13.3</v>
      </c>
      <c r="H480">
        <v>75.47</v>
      </c>
      <c r="I480">
        <v>68.83</v>
      </c>
      <c r="J480">
        <v>72.77</v>
      </c>
      <c r="K480">
        <v>2.16</v>
      </c>
      <c r="L480">
        <v>5.01</v>
      </c>
      <c r="M480">
        <v>3.38</v>
      </c>
      <c r="N480">
        <v>70.650000000000006</v>
      </c>
      <c r="O480">
        <v>74.680000000000007</v>
      </c>
      <c r="P480">
        <v>72.61</v>
      </c>
      <c r="Q480">
        <v>86.52</v>
      </c>
      <c r="R480">
        <v>67.45</v>
      </c>
      <c r="S480">
        <v>76.989999999999995</v>
      </c>
      <c r="T480">
        <v>301879</v>
      </c>
      <c r="V480" t="str">
        <v>Pegunungan Arfak</v>
      </c>
      <c r="W480">
        <v>9.08</v>
      </c>
      <c r="X480">
        <v>5.5</v>
      </c>
      <c r="Y480">
        <v>5.84</v>
      </c>
      <c r="Z480">
        <v>11.82</v>
      </c>
      <c r="AA480">
        <v>9.4600000000000009</v>
      </c>
      <c r="AB480">
        <v>11.81</v>
      </c>
      <c r="AC480">
        <v>67.13</v>
      </c>
      <c r="AD480">
        <v>54.45</v>
      </c>
      <c r="AE480">
        <v>59.53</v>
      </c>
      <c r="AF480">
        <v>0.51</v>
      </c>
      <c r="AG480">
        <v>0.95</v>
      </c>
      <c r="AH480">
        <v>0.72</v>
      </c>
      <c r="AI480">
        <v>65.98</v>
      </c>
      <c r="AJ480">
        <v>69.97</v>
      </c>
      <c r="AK480">
        <v>67.92</v>
      </c>
      <c r="AL480">
        <v>90.22</v>
      </c>
      <c r="AM480">
        <v>89.32</v>
      </c>
      <c r="AN480">
        <v>89.77</v>
      </c>
      <c r="AO480">
        <v>42213</v>
      </c>
    </row>
    <row r="481" spans="1:41" x14ac:dyDescent="0.35">
      <c r="A481" t="s">
        <v>481</v>
      </c>
      <c r="B481">
        <v>8.4</v>
      </c>
      <c r="C481">
        <v>8.14</v>
      </c>
      <c r="D481">
        <v>8.14</v>
      </c>
      <c r="E481">
        <v>12.09</v>
      </c>
      <c r="F481">
        <v>12.29</v>
      </c>
      <c r="G481">
        <v>12.1</v>
      </c>
      <c r="H481">
        <v>75.97</v>
      </c>
      <c r="I481">
        <v>65.66</v>
      </c>
      <c r="J481">
        <v>71.62</v>
      </c>
      <c r="K481">
        <v>1.01</v>
      </c>
      <c r="L481">
        <v>2.94</v>
      </c>
      <c r="M481">
        <v>1.69</v>
      </c>
      <c r="N481">
        <v>68.930000000000007</v>
      </c>
      <c r="O481">
        <v>72.88</v>
      </c>
      <c r="P481">
        <v>70.86</v>
      </c>
      <c r="Q481">
        <v>91.99</v>
      </c>
      <c r="R481">
        <v>54.11</v>
      </c>
      <c r="S481">
        <v>73.05</v>
      </c>
      <c r="T481">
        <v>206581</v>
      </c>
      <c r="V481" t="str">
        <v>Raja Ampat</v>
      </c>
      <c r="W481">
        <v>9.51</v>
      </c>
      <c r="X481">
        <v>8.3699999999999992</v>
      </c>
      <c r="Y481">
        <v>8.5500000000000007</v>
      </c>
      <c r="Z481">
        <v>12.5</v>
      </c>
      <c r="AA481">
        <v>12.2</v>
      </c>
      <c r="AB481">
        <v>12.2</v>
      </c>
      <c r="AC481">
        <v>73.14</v>
      </c>
      <c r="AD481">
        <v>58.36</v>
      </c>
      <c r="AE481">
        <v>67.36</v>
      </c>
      <c r="AF481">
        <v>4.45</v>
      </c>
      <c r="AG481">
        <v>4.54</v>
      </c>
      <c r="AH481">
        <v>4.4800000000000004</v>
      </c>
      <c r="AI481">
        <v>65.39</v>
      </c>
      <c r="AJ481">
        <v>69.34</v>
      </c>
      <c r="AK481">
        <v>67.319999999999993</v>
      </c>
      <c r="AL481">
        <v>79</v>
      </c>
      <c r="AM481">
        <v>49.23</v>
      </c>
      <c r="AN481">
        <v>64.12</v>
      </c>
      <c r="AO481">
        <v>71605</v>
      </c>
    </row>
    <row r="482" spans="1:41" x14ac:dyDescent="0.35">
      <c r="A482" t="s">
        <v>482</v>
      </c>
      <c r="B482">
        <v>8.33</v>
      </c>
      <c r="C482">
        <v>8</v>
      </c>
      <c r="D482">
        <v>8.1</v>
      </c>
      <c r="E482">
        <v>12.65</v>
      </c>
      <c r="F482">
        <v>13.22</v>
      </c>
      <c r="G482">
        <v>12.69</v>
      </c>
      <c r="H482">
        <v>73.7</v>
      </c>
      <c r="I482">
        <v>64.05</v>
      </c>
      <c r="J482">
        <v>69.17</v>
      </c>
      <c r="K482">
        <v>1.01</v>
      </c>
      <c r="L482">
        <v>2.69</v>
      </c>
      <c r="M482">
        <v>1.58</v>
      </c>
      <c r="N482">
        <v>68.52</v>
      </c>
      <c r="O482">
        <v>72.45</v>
      </c>
      <c r="P482">
        <v>70.44</v>
      </c>
      <c r="Q482">
        <v>91.11</v>
      </c>
      <c r="R482">
        <v>49.77</v>
      </c>
      <c r="S482">
        <v>70.44</v>
      </c>
      <c r="T482">
        <v>147788</v>
      </c>
      <c r="V482" t="str">
        <v>Sorong</v>
      </c>
      <c r="W482">
        <v>9.74</v>
      </c>
      <c r="X482">
        <v>8.81</v>
      </c>
      <c r="Y482">
        <v>9.02</v>
      </c>
      <c r="Z482">
        <v>14.12</v>
      </c>
      <c r="AA482">
        <v>13.95</v>
      </c>
      <c r="AB482">
        <v>14.1</v>
      </c>
      <c r="AC482">
        <v>75.47</v>
      </c>
      <c r="AD482">
        <v>65.83</v>
      </c>
      <c r="AE482">
        <v>70.599999999999994</v>
      </c>
      <c r="AF482">
        <v>4.53</v>
      </c>
      <c r="AG482">
        <v>4.16</v>
      </c>
      <c r="AH482">
        <v>4.3899999999999997</v>
      </c>
      <c r="AI482">
        <v>68.47</v>
      </c>
      <c r="AJ482">
        <v>72.400000000000006</v>
      </c>
      <c r="AK482">
        <v>70.38</v>
      </c>
      <c r="AL482">
        <v>84.28</v>
      </c>
      <c r="AM482">
        <v>54.64</v>
      </c>
      <c r="AN482">
        <v>69.459999999999994</v>
      </c>
      <c r="AO482">
        <v>124207</v>
      </c>
    </row>
    <row r="483" spans="1:41" x14ac:dyDescent="0.35">
      <c r="A483" t="s">
        <v>483</v>
      </c>
      <c r="B483">
        <v>10.54</v>
      </c>
      <c r="C483">
        <v>10.48</v>
      </c>
      <c r="D483">
        <v>10.51</v>
      </c>
      <c r="E483">
        <v>13.93</v>
      </c>
      <c r="F483">
        <v>14.46</v>
      </c>
      <c r="G483">
        <v>14.1</v>
      </c>
      <c r="H483">
        <v>77.349999999999994</v>
      </c>
      <c r="I483">
        <v>72.63</v>
      </c>
      <c r="J483">
        <v>74.09</v>
      </c>
      <c r="K483">
        <v>5.9</v>
      </c>
      <c r="L483">
        <v>6.8</v>
      </c>
      <c r="M483">
        <v>6.27</v>
      </c>
      <c r="N483">
        <v>69.099999999999994</v>
      </c>
      <c r="O483">
        <v>73.05</v>
      </c>
      <c r="P483">
        <v>71.02</v>
      </c>
      <c r="Q483">
        <v>77.45</v>
      </c>
      <c r="R483">
        <v>55.71</v>
      </c>
      <c r="S483">
        <v>66.58</v>
      </c>
      <c r="T483">
        <v>1970563</v>
      </c>
      <c r="V483" t="str">
        <v>Sorong Selatan</v>
      </c>
      <c r="W483">
        <v>9.8000000000000007</v>
      </c>
      <c r="X483">
        <v>8.06</v>
      </c>
      <c r="Y483">
        <v>8.06</v>
      </c>
      <c r="Z483">
        <v>14.07</v>
      </c>
      <c r="AA483">
        <v>13.13</v>
      </c>
      <c r="AB483">
        <v>13.32</v>
      </c>
      <c r="AC483">
        <v>71.209999999999994</v>
      </c>
      <c r="AD483">
        <v>60.14</v>
      </c>
      <c r="AE483">
        <v>65.45</v>
      </c>
      <c r="AF483">
        <v>4.7699999999999996</v>
      </c>
      <c r="AG483">
        <v>0.91</v>
      </c>
      <c r="AH483">
        <v>3.14</v>
      </c>
      <c r="AI483">
        <v>65.47</v>
      </c>
      <c r="AJ483">
        <v>69.430000000000007</v>
      </c>
      <c r="AK483">
        <v>67.400000000000006</v>
      </c>
      <c r="AL483">
        <v>76.61</v>
      </c>
      <c r="AM483">
        <v>61.12</v>
      </c>
      <c r="AN483">
        <v>68.87</v>
      </c>
      <c r="AO483">
        <v>57297</v>
      </c>
    </row>
    <row r="484" spans="1:41" x14ac:dyDescent="0.35">
      <c r="A484" t="s">
        <v>484</v>
      </c>
      <c r="B484">
        <v>10.07</v>
      </c>
      <c r="C484">
        <v>9.93</v>
      </c>
      <c r="D484">
        <v>9.93</v>
      </c>
      <c r="E484">
        <v>12.4</v>
      </c>
      <c r="F484">
        <v>13.2</v>
      </c>
      <c r="G484">
        <v>12.58</v>
      </c>
      <c r="H484">
        <v>71.73</v>
      </c>
      <c r="I484">
        <v>63.15</v>
      </c>
      <c r="J484">
        <v>68.47</v>
      </c>
      <c r="K484">
        <v>4.6100000000000003</v>
      </c>
      <c r="L484">
        <v>3.73</v>
      </c>
      <c r="M484">
        <v>4.21</v>
      </c>
      <c r="N484">
        <v>68.62</v>
      </c>
      <c r="O484">
        <v>72.55</v>
      </c>
      <c r="P484">
        <v>70.53</v>
      </c>
      <c r="Q484">
        <v>68.7</v>
      </c>
      <c r="R484">
        <v>57.57</v>
      </c>
      <c r="S484">
        <v>63.14</v>
      </c>
      <c r="T484">
        <v>132317</v>
      </c>
      <c r="V484" t="str">
        <v>Maybrat</v>
      </c>
      <c r="W484">
        <v>9.76</v>
      </c>
      <c r="X484">
        <v>7.41</v>
      </c>
      <c r="Y484">
        <v>7.66</v>
      </c>
      <c r="Z484">
        <v>14.53</v>
      </c>
      <c r="AA484">
        <v>13.45</v>
      </c>
      <c r="AB484">
        <v>13.52</v>
      </c>
      <c r="AC484">
        <v>70.349999999999994</v>
      </c>
      <c r="AD484">
        <v>56.29</v>
      </c>
      <c r="AE484">
        <v>62.68</v>
      </c>
      <c r="AF484">
        <v>6.35</v>
      </c>
      <c r="AG484">
        <v>0.97</v>
      </c>
      <c r="AH484">
        <v>3.78</v>
      </c>
      <c r="AI484">
        <v>64.31</v>
      </c>
      <c r="AJ484">
        <v>68.209999999999994</v>
      </c>
      <c r="AK484">
        <v>66.209999999999994</v>
      </c>
      <c r="AL484">
        <v>83.94</v>
      </c>
      <c r="AM484">
        <v>77.06</v>
      </c>
      <c r="AN484">
        <v>80.5</v>
      </c>
      <c r="AO484">
        <v>48803</v>
      </c>
    </row>
    <row r="485" spans="1:41" x14ac:dyDescent="0.35">
      <c r="A485" t="s">
        <v>485</v>
      </c>
      <c r="B485">
        <v>10.19</v>
      </c>
      <c r="C485">
        <v>9.85</v>
      </c>
      <c r="D485">
        <v>9.85</v>
      </c>
      <c r="E485">
        <v>12.81</v>
      </c>
      <c r="F485">
        <v>13.36</v>
      </c>
      <c r="G485">
        <v>13.11</v>
      </c>
      <c r="H485">
        <v>72.930000000000007</v>
      </c>
      <c r="I485">
        <v>70.48</v>
      </c>
      <c r="J485">
        <v>71.16</v>
      </c>
      <c r="K485">
        <v>7.62</v>
      </c>
      <c r="L485">
        <v>4.05</v>
      </c>
      <c r="M485">
        <v>6.01</v>
      </c>
      <c r="N485">
        <v>69.31</v>
      </c>
      <c r="O485">
        <v>73.27</v>
      </c>
      <c r="P485">
        <v>71.239999999999995</v>
      </c>
      <c r="Q485">
        <v>74.31</v>
      </c>
      <c r="R485">
        <v>59.76</v>
      </c>
      <c r="S485">
        <v>67.040000000000006</v>
      </c>
      <c r="T485">
        <v>127502</v>
      </c>
      <c r="V485" t="str">
        <v>Tambrauw</v>
      </c>
      <c r="W485">
        <v>8.18</v>
      </c>
      <c r="X485">
        <v>5.78</v>
      </c>
      <c r="Y485">
        <v>6.01</v>
      </c>
      <c r="Z485">
        <v>13.23</v>
      </c>
      <c r="AA485">
        <v>11.79</v>
      </c>
      <c r="AB485">
        <v>12.47</v>
      </c>
      <c r="AC485">
        <v>68.19</v>
      </c>
      <c r="AD485">
        <v>49.36</v>
      </c>
      <c r="AE485">
        <v>59.28</v>
      </c>
      <c r="AF485">
        <v>0.89</v>
      </c>
      <c r="AG485">
        <v>3.48</v>
      </c>
      <c r="AH485">
        <v>2.0299999999999998</v>
      </c>
      <c r="AI485">
        <v>64.27</v>
      </c>
      <c r="AJ485">
        <v>68.16</v>
      </c>
      <c r="AK485">
        <v>66.17</v>
      </c>
      <c r="AL485">
        <v>86.09</v>
      </c>
      <c r="AM485">
        <v>73.239999999999995</v>
      </c>
      <c r="AN485">
        <v>79.67</v>
      </c>
      <c r="AO485">
        <v>32070</v>
      </c>
    </row>
    <row r="486" spans="1:41" x14ac:dyDescent="0.35">
      <c r="A486" t="s">
        <v>486</v>
      </c>
      <c r="B486">
        <v>10.14</v>
      </c>
      <c r="C486">
        <v>10.06</v>
      </c>
      <c r="D486">
        <v>10.06</v>
      </c>
      <c r="E486">
        <v>14.06</v>
      </c>
      <c r="F486">
        <v>15.33</v>
      </c>
      <c r="G486">
        <v>14.68</v>
      </c>
      <c r="H486">
        <v>76.650000000000006</v>
      </c>
      <c r="I486">
        <v>75.81</v>
      </c>
      <c r="J486">
        <v>75.87</v>
      </c>
      <c r="K486">
        <v>7.04</v>
      </c>
      <c r="L486">
        <v>6.78</v>
      </c>
      <c r="M486">
        <v>6.93</v>
      </c>
      <c r="N486">
        <v>69.349999999999994</v>
      </c>
      <c r="O486">
        <v>73.31</v>
      </c>
      <c r="P486">
        <v>71.28</v>
      </c>
      <c r="Q486">
        <v>75.099999999999994</v>
      </c>
      <c r="R486">
        <v>57.23</v>
      </c>
      <c r="S486">
        <v>66.17</v>
      </c>
      <c r="T486">
        <v>445618</v>
      </c>
      <c r="V486" t="str">
        <v>Kota Sorong</v>
      </c>
      <c r="W486">
        <v>11.74</v>
      </c>
      <c r="X486">
        <v>11.57</v>
      </c>
      <c r="Y486">
        <v>11.59</v>
      </c>
      <c r="Z486">
        <v>14.38</v>
      </c>
      <c r="AA486">
        <v>14.68</v>
      </c>
      <c r="AB486">
        <v>14.44</v>
      </c>
      <c r="AC486">
        <v>84.89</v>
      </c>
      <c r="AD486">
        <v>78.540000000000006</v>
      </c>
      <c r="AE486">
        <v>81.03</v>
      </c>
      <c r="AF486">
        <v>7.4</v>
      </c>
      <c r="AG486">
        <v>15.59</v>
      </c>
      <c r="AH486">
        <v>10.35</v>
      </c>
      <c r="AI486">
        <v>71.44</v>
      </c>
      <c r="AJ486">
        <v>76</v>
      </c>
      <c r="AK486">
        <v>73.66</v>
      </c>
      <c r="AL486">
        <v>78.61</v>
      </c>
      <c r="AM486">
        <v>49.02</v>
      </c>
      <c r="AN486">
        <v>63.82</v>
      </c>
      <c r="AO486">
        <v>302452</v>
      </c>
    </row>
    <row r="487" spans="1:41" x14ac:dyDescent="0.35">
      <c r="A487" t="s">
        <v>487</v>
      </c>
      <c r="B487">
        <v>9.51</v>
      </c>
      <c r="C487">
        <v>9.01</v>
      </c>
      <c r="D487">
        <v>9.2799999999999994</v>
      </c>
      <c r="E487">
        <v>13.19</v>
      </c>
      <c r="F487">
        <v>13.96</v>
      </c>
      <c r="G487">
        <v>13.25</v>
      </c>
      <c r="H487">
        <v>77.84</v>
      </c>
      <c r="I487">
        <v>71.540000000000006</v>
      </c>
      <c r="J487">
        <v>73.239999999999995</v>
      </c>
      <c r="K487">
        <v>3.49</v>
      </c>
      <c r="L487">
        <v>6.63</v>
      </c>
      <c r="M487">
        <v>4.66</v>
      </c>
      <c r="N487">
        <v>68.64</v>
      </c>
      <c r="O487">
        <v>72.569999999999993</v>
      </c>
      <c r="P487">
        <v>70.56</v>
      </c>
      <c r="Q487">
        <v>89.29</v>
      </c>
      <c r="R487">
        <v>55.58</v>
      </c>
      <c r="S487">
        <v>72.44</v>
      </c>
      <c r="T487">
        <v>144124</v>
      </c>
      <c r="V487" t="str">
        <v>Jayapura</v>
      </c>
      <c r="W487">
        <v>11</v>
      </c>
      <c r="X487">
        <v>10.06</v>
      </c>
      <c r="Y487">
        <v>10.77</v>
      </c>
      <c r="Z487">
        <v>14.59</v>
      </c>
      <c r="AA487">
        <v>14.86</v>
      </c>
      <c r="AB487">
        <v>14.81</v>
      </c>
      <c r="AC487">
        <v>80.209999999999994</v>
      </c>
      <c r="AD487">
        <v>73.8</v>
      </c>
      <c r="AE487">
        <v>76.14</v>
      </c>
      <c r="AF487">
        <v>7.4</v>
      </c>
      <c r="AG487">
        <v>10.78</v>
      </c>
      <c r="AH487">
        <v>8.66</v>
      </c>
      <c r="AI487">
        <v>68.900000000000006</v>
      </c>
      <c r="AJ487">
        <v>72.84</v>
      </c>
      <c r="AK487">
        <v>70.819999999999993</v>
      </c>
      <c r="AL487">
        <v>77.66</v>
      </c>
      <c r="AM487">
        <v>50.87</v>
      </c>
      <c r="AN487">
        <v>64.27</v>
      </c>
      <c r="AO487">
        <v>174850</v>
      </c>
    </row>
    <row r="488" spans="1:41" x14ac:dyDescent="0.35">
      <c r="A488" t="s">
        <v>488</v>
      </c>
      <c r="B488">
        <v>9.51</v>
      </c>
      <c r="C488">
        <v>9.2799999999999994</v>
      </c>
      <c r="D488">
        <v>9.4600000000000009</v>
      </c>
      <c r="E488">
        <v>12.4</v>
      </c>
      <c r="F488">
        <v>12.92</v>
      </c>
      <c r="G488">
        <v>12.51</v>
      </c>
      <c r="H488">
        <v>73.819999999999993</v>
      </c>
      <c r="I488">
        <v>66.319999999999993</v>
      </c>
      <c r="J488">
        <v>69.73</v>
      </c>
      <c r="K488">
        <v>1.08</v>
      </c>
      <c r="L488">
        <v>4.2699999999999996</v>
      </c>
      <c r="M488">
        <v>2.1</v>
      </c>
      <c r="N488">
        <v>68.680000000000007</v>
      </c>
      <c r="O488">
        <v>72.61</v>
      </c>
      <c r="P488">
        <v>70.599999999999994</v>
      </c>
      <c r="Q488">
        <v>81.67</v>
      </c>
      <c r="R488">
        <v>40.479999999999997</v>
      </c>
      <c r="S488">
        <v>61.08</v>
      </c>
      <c r="T488">
        <v>110930</v>
      </c>
      <c r="V488" t="str">
        <v>Kepulauan Yapen</v>
      </c>
      <c r="W488">
        <v>10.44</v>
      </c>
      <c r="X488">
        <v>9.06</v>
      </c>
      <c r="Y488">
        <v>9.8000000000000007</v>
      </c>
      <c r="Z488">
        <v>12.95</v>
      </c>
      <c r="AA488">
        <v>13.46</v>
      </c>
      <c r="AB488">
        <v>13</v>
      </c>
      <c r="AC488">
        <v>75.83</v>
      </c>
      <c r="AD488">
        <v>68.56</v>
      </c>
      <c r="AE488">
        <v>70.930000000000007</v>
      </c>
      <c r="AF488">
        <v>5.32</v>
      </c>
      <c r="AG488">
        <v>8.92</v>
      </c>
      <c r="AH488">
        <v>6.58</v>
      </c>
      <c r="AI488">
        <v>69.12</v>
      </c>
      <c r="AJ488">
        <v>73.08</v>
      </c>
      <c r="AK488">
        <v>71.05</v>
      </c>
      <c r="AL488">
        <v>70.09</v>
      </c>
      <c r="AM488">
        <v>40.950000000000003</v>
      </c>
      <c r="AN488">
        <v>55.52</v>
      </c>
      <c r="AO488">
        <v>120122</v>
      </c>
    </row>
    <row r="489" spans="1:41" x14ac:dyDescent="0.35">
      <c r="A489" t="s">
        <v>489</v>
      </c>
      <c r="B489">
        <v>9.65</v>
      </c>
      <c r="C489">
        <v>9.5399999999999991</v>
      </c>
      <c r="D489">
        <v>9.6</v>
      </c>
      <c r="E489">
        <v>13.5</v>
      </c>
      <c r="F489">
        <v>13.83</v>
      </c>
      <c r="G489">
        <v>13.71</v>
      </c>
      <c r="H489">
        <v>73.14</v>
      </c>
      <c r="I489">
        <v>72.2</v>
      </c>
      <c r="J489">
        <v>72.91</v>
      </c>
      <c r="K489">
        <v>3.3</v>
      </c>
      <c r="L489">
        <v>7.25</v>
      </c>
      <c r="M489">
        <v>4.92</v>
      </c>
      <c r="N489">
        <v>69.63</v>
      </c>
      <c r="O489">
        <v>73.61</v>
      </c>
      <c r="P489">
        <v>71.58</v>
      </c>
      <c r="Q489">
        <v>81.86</v>
      </c>
      <c r="R489">
        <v>59.21</v>
      </c>
      <c r="S489">
        <v>70.540000000000006</v>
      </c>
      <c r="T489">
        <v>229622</v>
      </c>
      <c r="V489" t="str">
        <v>Biak Numfor</v>
      </c>
      <c r="W489">
        <v>10.96</v>
      </c>
      <c r="X489">
        <v>10.27</v>
      </c>
      <c r="Y489">
        <v>10.69</v>
      </c>
      <c r="Z489">
        <v>14.26</v>
      </c>
      <c r="AA489">
        <v>14.24</v>
      </c>
      <c r="AB489">
        <v>14.25</v>
      </c>
      <c r="AC489">
        <v>79.98</v>
      </c>
      <c r="AD489">
        <v>73.14</v>
      </c>
      <c r="AE489">
        <v>75.48</v>
      </c>
      <c r="AF489">
        <v>7.06</v>
      </c>
      <c r="AG489">
        <v>6.32</v>
      </c>
      <c r="AH489">
        <v>6.74</v>
      </c>
      <c r="AI489">
        <v>69.28</v>
      </c>
      <c r="AJ489">
        <v>73.239999999999995</v>
      </c>
      <c r="AK489">
        <v>71.209999999999994</v>
      </c>
      <c r="AL489">
        <v>81.3</v>
      </c>
      <c r="AM489">
        <v>66.05</v>
      </c>
      <c r="AN489">
        <v>73.680000000000007</v>
      </c>
      <c r="AO489">
        <v>142790</v>
      </c>
    </row>
    <row r="490" spans="1:41" x14ac:dyDescent="0.35">
      <c r="A490" t="s">
        <v>490</v>
      </c>
      <c r="B490">
        <v>9.67</v>
      </c>
      <c r="C490">
        <v>8.59</v>
      </c>
      <c r="D490">
        <v>9.25</v>
      </c>
      <c r="E490">
        <v>13.03</v>
      </c>
      <c r="F490">
        <v>13.49</v>
      </c>
      <c r="G490">
        <v>13.07</v>
      </c>
      <c r="H490">
        <v>74.97</v>
      </c>
      <c r="I490">
        <v>67.069999999999993</v>
      </c>
      <c r="J490">
        <v>71.099999999999994</v>
      </c>
      <c r="K490">
        <v>3.67</v>
      </c>
      <c r="L490">
        <v>2.4700000000000002</v>
      </c>
      <c r="M490">
        <v>3.18</v>
      </c>
      <c r="N490">
        <v>67.260000000000005</v>
      </c>
      <c r="O490">
        <v>71.22</v>
      </c>
      <c r="P490">
        <v>69.19</v>
      </c>
      <c r="Q490">
        <v>72.760000000000005</v>
      </c>
      <c r="R490">
        <v>50.66</v>
      </c>
      <c r="S490">
        <v>61.71</v>
      </c>
      <c r="T490">
        <v>149475</v>
      </c>
      <c r="V490" t="str">
        <v>Sarmi</v>
      </c>
      <c r="W490">
        <v>10.06</v>
      </c>
      <c r="X490">
        <v>9.19</v>
      </c>
      <c r="Y490">
        <v>9.7899999999999991</v>
      </c>
      <c r="Z490">
        <v>13.14</v>
      </c>
      <c r="AA490">
        <v>12.61</v>
      </c>
      <c r="AB490">
        <v>12.61</v>
      </c>
      <c r="AC490">
        <v>74.11</v>
      </c>
      <c r="AD490">
        <v>62.87</v>
      </c>
      <c r="AE490">
        <v>68.78</v>
      </c>
      <c r="AF490">
        <v>4.32</v>
      </c>
      <c r="AG490">
        <v>4.4400000000000004</v>
      </c>
      <c r="AH490">
        <v>4.37</v>
      </c>
      <c r="AI490">
        <v>68.34</v>
      </c>
      <c r="AJ490">
        <v>72.27</v>
      </c>
      <c r="AK490">
        <v>70.25</v>
      </c>
      <c r="AL490">
        <v>80.36</v>
      </c>
      <c r="AM490">
        <v>63.94</v>
      </c>
      <c r="AN490">
        <v>72.150000000000006</v>
      </c>
      <c r="AO490">
        <v>43475</v>
      </c>
    </row>
    <row r="491" spans="1:41" x14ac:dyDescent="0.35">
      <c r="A491" t="s">
        <v>491</v>
      </c>
      <c r="B491">
        <v>9.4700000000000006</v>
      </c>
      <c r="C491">
        <v>9.2899999999999991</v>
      </c>
      <c r="D491">
        <v>9.39</v>
      </c>
      <c r="E491">
        <v>12.8</v>
      </c>
      <c r="F491">
        <v>13.23</v>
      </c>
      <c r="G491">
        <v>12.94</v>
      </c>
      <c r="H491">
        <v>72.58</v>
      </c>
      <c r="I491">
        <v>65.98</v>
      </c>
      <c r="J491">
        <v>68.66</v>
      </c>
      <c r="K491">
        <v>1.83</v>
      </c>
      <c r="L491">
        <v>3.88</v>
      </c>
      <c r="M491">
        <v>2.69</v>
      </c>
      <c r="N491">
        <v>68.19</v>
      </c>
      <c r="O491">
        <v>72.12</v>
      </c>
      <c r="P491">
        <v>70.11</v>
      </c>
      <c r="Q491">
        <v>80.510000000000005</v>
      </c>
      <c r="R491">
        <v>61.16</v>
      </c>
      <c r="S491">
        <v>70.84</v>
      </c>
      <c r="T491">
        <v>88571</v>
      </c>
      <c r="V491" t="str">
        <v>Keerom</v>
      </c>
      <c r="W491">
        <v>9.09</v>
      </c>
      <c r="X491">
        <v>8.27</v>
      </c>
      <c r="Y491">
        <v>8.7799999999999994</v>
      </c>
      <c r="Z491">
        <v>12.73</v>
      </c>
      <c r="AA491">
        <v>12.52</v>
      </c>
      <c r="AB491">
        <v>12.53</v>
      </c>
      <c r="AC491">
        <v>75.069999999999993</v>
      </c>
      <c r="AD491">
        <v>66.56</v>
      </c>
      <c r="AE491">
        <v>70.430000000000007</v>
      </c>
      <c r="AF491">
        <v>3.75</v>
      </c>
      <c r="AG491">
        <v>4.04</v>
      </c>
      <c r="AH491">
        <v>3.87</v>
      </c>
      <c r="AI491">
        <v>68.37</v>
      </c>
      <c r="AJ491">
        <v>72.31</v>
      </c>
      <c r="AK491">
        <v>70.290000000000006</v>
      </c>
      <c r="AL491">
        <v>87.71</v>
      </c>
      <c r="AM491">
        <v>68.69</v>
      </c>
      <c r="AN491">
        <v>78.2</v>
      </c>
      <c r="AO491">
        <v>64833</v>
      </c>
    </row>
    <row r="492" spans="1:41" x14ac:dyDescent="0.35">
      <c r="A492" t="s">
        <v>492</v>
      </c>
      <c r="B492">
        <v>9.11</v>
      </c>
      <c r="C492">
        <v>8.42</v>
      </c>
      <c r="D492">
        <v>8.74</v>
      </c>
      <c r="E492">
        <v>12.98</v>
      </c>
      <c r="F492">
        <v>13.08</v>
      </c>
      <c r="G492">
        <v>13.01</v>
      </c>
      <c r="H492">
        <v>75.38</v>
      </c>
      <c r="I492">
        <v>65.930000000000007</v>
      </c>
      <c r="J492">
        <v>69.36</v>
      </c>
      <c r="K492">
        <v>0.78</v>
      </c>
      <c r="L492">
        <v>2.0099999999999998</v>
      </c>
      <c r="M492">
        <v>1.29</v>
      </c>
      <c r="N492">
        <v>68.62</v>
      </c>
      <c r="O492">
        <v>72.55</v>
      </c>
      <c r="P492">
        <v>70.540000000000006</v>
      </c>
      <c r="Q492">
        <v>82.95</v>
      </c>
      <c r="R492">
        <v>61.2</v>
      </c>
      <c r="S492">
        <v>72.08</v>
      </c>
      <c r="T492">
        <v>82219</v>
      </c>
      <c r="V492" t="str">
        <v>Waropen</v>
      </c>
      <c r="W492">
        <v>9.94</v>
      </c>
      <c r="X492">
        <v>8.75</v>
      </c>
      <c r="Y492">
        <v>9.43</v>
      </c>
      <c r="Z492">
        <v>13.04</v>
      </c>
      <c r="AA492">
        <v>12.96</v>
      </c>
      <c r="AB492">
        <v>12.96</v>
      </c>
      <c r="AC492">
        <v>74.709999999999994</v>
      </c>
      <c r="AD492">
        <v>54.53</v>
      </c>
      <c r="AE492">
        <v>68.91</v>
      </c>
      <c r="AF492">
        <v>7.31</v>
      </c>
      <c r="AG492">
        <v>3.78</v>
      </c>
      <c r="AH492">
        <v>5.98</v>
      </c>
      <c r="AI492">
        <v>68.02</v>
      </c>
      <c r="AJ492">
        <v>71.959999999999994</v>
      </c>
      <c r="AK492">
        <v>69.94</v>
      </c>
      <c r="AL492">
        <v>76.36</v>
      </c>
      <c r="AM492">
        <v>52.94</v>
      </c>
      <c r="AN492">
        <v>64.650000000000006</v>
      </c>
      <c r="AO492">
        <v>36295</v>
      </c>
    </row>
    <row r="493" spans="1:41" x14ac:dyDescent="0.35">
      <c r="A493" t="s">
        <v>493</v>
      </c>
      <c r="B493">
        <v>12.35</v>
      </c>
      <c r="C493">
        <v>12.4</v>
      </c>
      <c r="D493">
        <v>12.37</v>
      </c>
      <c r="E493">
        <v>15.67</v>
      </c>
      <c r="F493">
        <v>16.71</v>
      </c>
      <c r="G493">
        <v>16.09</v>
      </c>
      <c r="H493">
        <v>85.26</v>
      </c>
      <c r="I493">
        <v>83.84</v>
      </c>
      <c r="J493">
        <v>83.97</v>
      </c>
      <c r="K493">
        <v>10.63</v>
      </c>
      <c r="L493">
        <v>12.35</v>
      </c>
      <c r="M493">
        <v>11.37</v>
      </c>
      <c r="N493">
        <v>71.37</v>
      </c>
      <c r="O493">
        <v>75.86</v>
      </c>
      <c r="P493">
        <v>73.56</v>
      </c>
      <c r="Q493">
        <v>76.14</v>
      </c>
      <c r="R493">
        <v>56.45</v>
      </c>
      <c r="S493">
        <v>66.3</v>
      </c>
      <c r="T493">
        <v>366301</v>
      </c>
      <c r="V493" t="str">
        <v>Supiori</v>
      </c>
      <c r="W493">
        <v>9.8699999999999992</v>
      </c>
      <c r="X493">
        <v>8.5500000000000007</v>
      </c>
      <c r="Y493">
        <v>9.39</v>
      </c>
      <c r="Z493">
        <v>13.83</v>
      </c>
      <c r="AA493">
        <v>12.96</v>
      </c>
      <c r="AB493">
        <v>13.21</v>
      </c>
      <c r="AC493">
        <v>73.12</v>
      </c>
      <c r="AD493">
        <v>57.99</v>
      </c>
      <c r="AE493">
        <v>67.3</v>
      </c>
      <c r="AF493">
        <v>9.1199999999999992</v>
      </c>
      <c r="AG493">
        <v>4.57</v>
      </c>
      <c r="AH493">
        <v>7.32</v>
      </c>
      <c r="AI493">
        <v>68.069999999999993</v>
      </c>
      <c r="AJ493">
        <v>72.010000000000005</v>
      </c>
      <c r="AK493">
        <v>70</v>
      </c>
      <c r="AL493">
        <v>66.739999999999995</v>
      </c>
      <c r="AM493">
        <v>47.44</v>
      </c>
      <c r="AN493">
        <v>57.09</v>
      </c>
      <c r="AO493">
        <v>25028</v>
      </c>
    </row>
    <row r="494" spans="1:41" x14ac:dyDescent="0.35">
      <c r="A494" t="s">
        <v>494</v>
      </c>
      <c r="B494">
        <v>11.12</v>
      </c>
      <c r="C494">
        <v>10.45</v>
      </c>
      <c r="D494">
        <v>10.68</v>
      </c>
      <c r="E494">
        <v>14.02</v>
      </c>
      <c r="F494">
        <v>14.88</v>
      </c>
      <c r="G494">
        <v>14.03</v>
      </c>
      <c r="H494">
        <v>77.540000000000006</v>
      </c>
      <c r="I494">
        <v>68.989999999999995</v>
      </c>
      <c r="J494">
        <v>72.88</v>
      </c>
      <c r="K494">
        <v>10.16</v>
      </c>
      <c r="L494">
        <v>6.95</v>
      </c>
      <c r="M494">
        <v>8.9600000000000009</v>
      </c>
      <c r="N494">
        <v>70.099999999999994</v>
      </c>
      <c r="O494">
        <v>74.099999999999994</v>
      </c>
      <c r="P494">
        <v>72.05</v>
      </c>
      <c r="Q494">
        <v>76.7</v>
      </c>
      <c r="R494">
        <v>44.74</v>
      </c>
      <c r="S494">
        <v>60.72</v>
      </c>
      <c r="T494">
        <v>93884</v>
      </c>
      <c r="V494" t="str">
        <v>Mamberamo Raya</v>
      </c>
      <c r="W494">
        <v>7.1</v>
      </c>
      <c r="X494">
        <v>5.32</v>
      </c>
      <c r="Y494">
        <v>6.74</v>
      </c>
      <c r="Z494">
        <v>12.26</v>
      </c>
      <c r="AA494">
        <v>11.92</v>
      </c>
      <c r="AB494">
        <v>12.05</v>
      </c>
      <c r="AC494">
        <v>65.680000000000007</v>
      </c>
      <c r="AD494">
        <v>55.35</v>
      </c>
      <c r="AE494">
        <v>60.48</v>
      </c>
      <c r="AF494">
        <v>1.78</v>
      </c>
      <c r="AG494">
        <v>3.99</v>
      </c>
      <c r="AH494">
        <v>2.41</v>
      </c>
      <c r="AI494">
        <v>67.27</v>
      </c>
      <c r="AJ494">
        <v>71.239999999999995</v>
      </c>
      <c r="AK494">
        <v>69.209999999999994</v>
      </c>
      <c r="AL494">
        <v>65.7</v>
      </c>
      <c r="AM494">
        <v>28.98</v>
      </c>
      <c r="AN494">
        <v>47.34</v>
      </c>
      <c r="AO494">
        <v>40135</v>
      </c>
    </row>
    <row r="495" spans="1:41" x14ac:dyDescent="0.35">
      <c r="A495" t="s">
        <v>495</v>
      </c>
      <c r="B495">
        <v>9.69</v>
      </c>
      <c r="C495">
        <v>9.3000000000000007</v>
      </c>
      <c r="D495">
        <v>9.5</v>
      </c>
      <c r="E495">
        <v>13.81</v>
      </c>
      <c r="F495">
        <v>13.76</v>
      </c>
      <c r="G495">
        <v>13.76</v>
      </c>
      <c r="H495">
        <v>77.11</v>
      </c>
      <c r="I495">
        <v>70.260000000000005</v>
      </c>
      <c r="J495">
        <v>72.52</v>
      </c>
      <c r="K495">
        <v>4.1900000000000004</v>
      </c>
      <c r="L495">
        <v>5.15</v>
      </c>
      <c r="M495">
        <v>4.55</v>
      </c>
      <c r="N495">
        <v>69.53</v>
      </c>
      <c r="O495">
        <v>73.5</v>
      </c>
      <c r="P495">
        <v>71.47</v>
      </c>
      <c r="Q495">
        <v>83.85</v>
      </c>
      <c r="R495">
        <v>54.29</v>
      </c>
      <c r="S495">
        <v>69.069999999999993</v>
      </c>
      <c r="T495">
        <v>1373824</v>
      </c>
      <c r="V495" t="str">
        <v>Kota Jayapura</v>
      </c>
      <c r="W495">
        <v>12.4</v>
      </c>
      <c r="X495">
        <v>11.91</v>
      </c>
      <c r="Y495">
        <v>12.08</v>
      </c>
      <c r="Z495">
        <v>15.54</v>
      </c>
      <c r="AA495">
        <v>15.27</v>
      </c>
      <c r="AB495">
        <v>15.28</v>
      </c>
      <c r="AC495">
        <v>85.1</v>
      </c>
      <c r="AD495">
        <v>80.900000000000006</v>
      </c>
      <c r="AE495">
        <v>82.26</v>
      </c>
      <c r="AF495">
        <v>7.13</v>
      </c>
      <c r="AG495">
        <v>8.6999999999999993</v>
      </c>
      <c r="AH495">
        <v>7.68</v>
      </c>
      <c r="AI495">
        <v>70.38</v>
      </c>
      <c r="AJ495">
        <v>74.39</v>
      </c>
      <c r="AK495">
        <v>72.34</v>
      </c>
      <c r="AL495">
        <v>74.5</v>
      </c>
      <c r="AM495">
        <v>46</v>
      </c>
      <c r="AN495">
        <v>60.25</v>
      </c>
      <c r="AO495">
        <v>426109</v>
      </c>
    </row>
    <row r="496" spans="1:41" x14ac:dyDescent="0.35">
      <c r="A496" t="s">
        <v>496</v>
      </c>
      <c r="B496">
        <v>9.11</v>
      </c>
      <c r="C496">
        <v>8.52</v>
      </c>
      <c r="D496">
        <v>8.6</v>
      </c>
      <c r="E496">
        <v>13.23</v>
      </c>
      <c r="F496">
        <v>13.33</v>
      </c>
      <c r="G496">
        <v>13.26</v>
      </c>
      <c r="H496">
        <v>74.349999999999994</v>
      </c>
      <c r="I496">
        <v>66.61</v>
      </c>
      <c r="J496">
        <v>69.75</v>
      </c>
      <c r="K496">
        <v>3.07</v>
      </c>
      <c r="L496">
        <v>5.36</v>
      </c>
      <c r="M496">
        <v>4.0599999999999996</v>
      </c>
      <c r="N496">
        <v>69.180000000000007</v>
      </c>
      <c r="O496">
        <v>73.14</v>
      </c>
      <c r="P496">
        <v>71.11</v>
      </c>
      <c r="Q496">
        <v>76.72</v>
      </c>
      <c r="R496">
        <v>62.43</v>
      </c>
      <c r="S496">
        <v>69.58</v>
      </c>
      <c r="T496">
        <v>139126</v>
      </c>
      <c r="V496" t="str">
        <v>Merauke</v>
      </c>
      <c r="W496">
        <v>9.7799999999999994</v>
      </c>
      <c r="X496">
        <v>9.35</v>
      </c>
      <c r="Y496">
        <v>9.61</v>
      </c>
      <c r="Z496">
        <v>14.51</v>
      </c>
      <c r="AA496">
        <v>14.49</v>
      </c>
      <c r="AB496">
        <v>14.49</v>
      </c>
      <c r="AC496">
        <v>79.94</v>
      </c>
      <c r="AD496">
        <v>71.94</v>
      </c>
      <c r="AE496">
        <v>75.11</v>
      </c>
      <c r="AF496">
        <v>4.1500000000000004</v>
      </c>
      <c r="AG496">
        <v>4.6900000000000004</v>
      </c>
      <c r="AH496">
        <v>4.3499999999999996</v>
      </c>
      <c r="AI496">
        <v>69.7</v>
      </c>
      <c r="AJ496">
        <v>73.69</v>
      </c>
      <c r="AK496">
        <v>71.650000000000006</v>
      </c>
      <c r="AL496">
        <v>79.569999999999993</v>
      </c>
      <c r="AM496">
        <v>52.08</v>
      </c>
      <c r="AN496">
        <v>65.83</v>
      </c>
      <c r="AO496">
        <v>241544</v>
      </c>
    </row>
    <row r="497" spans="1:41" x14ac:dyDescent="0.35">
      <c r="A497" t="s">
        <v>497</v>
      </c>
      <c r="B497">
        <v>9.57</v>
      </c>
      <c r="C497">
        <v>9.0399999999999991</v>
      </c>
      <c r="D497">
        <v>9.2100000000000009</v>
      </c>
      <c r="E497">
        <v>13.72</v>
      </c>
      <c r="F497">
        <v>13.6</v>
      </c>
      <c r="G497">
        <v>13.69</v>
      </c>
      <c r="H497">
        <v>75.569999999999993</v>
      </c>
      <c r="I497">
        <v>68.599999999999994</v>
      </c>
      <c r="J497">
        <v>71.569999999999993</v>
      </c>
      <c r="K497">
        <v>2.38</v>
      </c>
      <c r="L497">
        <v>7.21</v>
      </c>
      <c r="M497">
        <v>3.96</v>
      </c>
      <c r="N497">
        <v>68.97</v>
      </c>
      <c r="O497">
        <v>72.92</v>
      </c>
      <c r="P497">
        <v>70.900000000000006</v>
      </c>
      <c r="Q497">
        <v>90.62</v>
      </c>
      <c r="R497">
        <v>49.83</v>
      </c>
      <c r="S497">
        <v>70.23</v>
      </c>
      <c r="T497">
        <v>63104</v>
      </c>
      <c r="V497" t="str">
        <v>Boven Digoel</v>
      </c>
      <c r="W497">
        <v>9.77</v>
      </c>
      <c r="X497">
        <v>8.8800000000000008</v>
      </c>
      <c r="Y497">
        <v>9.43</v>
      </c>
      <c r="Z497">
        <v>11.96</v>
      </c>
      <c r="AA497">
        <v>11.62</v>
      </c>
      <c r="AB497">
        <v>11.69</v>
      </c>
      <c r="AC497">
        <v>73.72</v>
      </c>
      <c r="AD497">
        <v>60.04</v>
      </c>
      <c r="AE497">
        <v>68.62</v>
      </c>
      <c r="AF497">
        <v>4.43</v>
      </c>
      <c r="AG497">
        <v>2.2400000000000002</v>
      </c>
      <c r="AH497">
        <v>3.66</v>
      </c>
      <c r="AI497">
        <v>67.7</v>
      </c>
      <c r="AJ497">
        <v>71.650000000000006</v>
      </c>
      <c r="AK497">
        <v>69.63</v>
      </c>
      <c r="AL497">
        <v>78.87</v>
      </c>
      <c r="AM497">
        <v>51.09</v>
      </c>
      <c r="AN497">
        <v>64.98</v>
      </c>
      <c r="AO497">
        <v>70275</v>
      </c>
    </row>
    <row r="498" spans="1:41" x14ac:dyDescent="0.35">
      <c r="A498" t="s">
        <v>498</v>
      </c>
      <c r="B498">
        <v>9.58</v>
      </c>
      <c r="C498">
        <v>9.17</v>
      </c>
      <c r="D498">
        <v>9.1999999999999993</v>
      </c>
      <c r="E498">
        <v>13.22</v>
      </c>
      <c r="F498">
        <v>13.16</v>
      </c>
      <c r="G498">
        <v>13.16</v>
      </c>
      <c r="H498">
        <v>72.7</v>
      </c>
      <c r="I498">
        <v>68.03</v>
      </c>
      <c r="J498">
        <v>68.89</v>
      </c>
      <c r="K498">
        <v>1.61</v>
      </c>
      <c r="L498">
        <v>5.87</v>
      </c>
      <c r="M498">
        <v>3.11</v>
      </c>
      <c r="N498">
        <v>67.260000000000005</v>
      </c>
      <c r="O498">
        <v>71.22</v>
      </c>
      <c r="P498">
        <v>69.19</v>
      </c>
      <c r="Q498">
        <v>80.95</v>
      </c>
      <c r="R498">
        <v>46.61</v>
      </c>
      <c r="S498">
        <v>63.78</v>
      </c>
      <c r="T498">
        <v>110535</v>
      </c>
      <c r="V498" t="str">
        <v>Mappi</v>
      </c>
      <c r="W498">
        <v>8.08</v>
      </c>
      <c r="X498">
        <v>6.77</v>
      </c>
      <c r="Y498">
        <v>7.41</v>
      </c>
      <c r="Z498">
        <v>11.37</v>
      </c>
      <c r="AA498">
        <v>11.91</v>
      </c>
      <c r="AB498">
        <v>11.42</v>
      </c>
      <c r="AC498">
        <v>67.78</v>
      </c>
      <c r="AD498">
        <v>58.56</v>
      </c>
      <c r="AE498">
        <v>62.6</v>
      </c>
      <c r="AF498">
        <v>7.08</v>
      </c>
      <c r="AG498">
        <v>3.47</v>
      </c>
      <c r="AH498">
        <v>5.61</v>
      </c>
      <c r="AI498">
        <v>64.58</v>
      </c>
      <c r="AJ498">
        <v>68.5</v>
      </c>
      <c r="AK498">
        <v>66.489999999999995</v>
      </c>
      <c r="AL498">
        <v>74.540000000000006</v>
      </c>
      <c r="AM498">
        <v>55.56</v>
      </c>
      <c r="AN498">
        <v>65.05</v>
      </c>
      <c r="AO498">
        <v>116948</v>
      </c>
    </row>
    <row r="499" spans="1:41" x14ac:dyDescent="0.35">
      <c r="A499" t="s">
        <v>499</v>
      </c>
      <c r="B499">
        <v>8.8000000000000007</v>
      </c>
      <c r="C499">
        <v>8.09</v>
      </c>
      <c r="D499">
        <v>8.43</v>
      </c>
      <c r="E499">
        <v>13.2</v>
      </c>
      <c r="F499">
        <v>12.92</v>
      </c>
      <c r="G499">
        <v>13.05</v>
      </c>
      <c r="H499">
        <v>74.150000000000006</v>
      </c>
      <c r="I499">
        <v>65.19</v>
      </c>
      <c r="J499">
        <v>69.05</v>
      </c>
      <c r="K499">
        <v>1.58</v>
      </c>
      <c r="L499">
        <v>3.99</v>
      </c>
      <c r="M499">
        <v>2.5499999999999998</v>
      </c>
      <c r="N499">
        <v>69.05</v>
      </c>
      <c r="O499">
        <v>73</v>
      </c>
      <c r="P499">
        <v>70.98</v>
      </c>
      <c r="Q499">
        <v>85.86</v>
      </c>
      <c r="R499">
        <v>63.67</v>
      </c>
      <c r="S499">
        <v>74.77</v>
      </c>
      <c r="T499">
        <v>269008</v>
      </c>
      <c r="V499" t="str">
        <v>Asmat</v>
      </c>
      <c r="W499">
        <v>7.06</v>
      </c>
      <c r="X499">
        <v>5.41</v>
      </c>
      <c r="Y499">
        <v>6.1</v>
      </c>
      <c r="Z499">
        <v>9.9499999999999993</v>
      </c>
      <c r="AA499">
        <v>9.61</v>
      </c>
      <c r="AB499">
        <v>9.75</v>
      </c>
      <c r="AC499">
        <v>65.14</v>
      </c>
      <c r="AD499">
        <v>39.42</v>
      </c>
      <c r="AE499">
        <v>58.55</v>
      </c>
      <c r="AF499">
        <v>3.33</v>
      </c>
      <c r="AG499">
        <v>0.41</v>
      </c>
      <c r="AH499">
        <v>2.0699999999999998</v>
      </c>
      <c r="AI499">
        <v>66.37</v>
      </c>
      <c r="AJ499">
        <v>70.349999999999994</v>
      </c>
      <c r="AK499">
        <v>68.31</v>
      </c>
      <c r="AL499">
        <v>78.42</v>
      </c>
      <c r="AM499">
        <v>65.430000000000007</v>
      </c>
      <c r="AN499">
        <v>71.930000000000007</v>
      </c>
      <c r="AO499">
        <v>120884</v>
      </c>
    </row>
    <row r="500" spans="1:41" x14ac:dyDescent="0.35">
      <c r="A500" t="s">
        <v>500</v>
      </c>
      <c r="B500">
        <v>9.25</v>
      </c>
      <c r="C500">
        <v>8.57</v>
      </c>
      <c r="D500">
        <v>8.84</v>
      </c>
      <c r="E500">
        <v>13.81</v>
      </c>
      <c r="F500">
        <v>13.74</v>
      </c>
      <c r="G500">
        <v>13.81</v>
      </c>
      <c r="H500">
        <v>76.25</v>
      </c>
      <c r="I500">
        <v>69.319999999999993</v>
      </c>
      <c r="J500">
        <v>71.25</v>
      </c>
      <c r="K500">
        <v>7.24</v>
      </c>
      <c r="L500">
        <v>5.77</v>
      </c>
      <c r="M500">
        <v>6.7</v>
      </c>
      <c r="N500">
        <v>70.349999999999994</v>
      </c>
      <c r="O500">
        <v>74.36</v>
      </c>
      <c r="P500">
        <v>72.3</v>
      </c>
      <c r="Q500">
        <v>87.35</v>
      </c>
      <c r="R500">
        <v>54.12</v>
      </c>
      <c r="S500">
        <v>70.739999999999995</v>
      </c>
      <c r="T500">
        <v>210263</v>
      </c>
      <c r="V500" t="str">
        <v>Mimika</v>
      </c>
      <c r="W500">
        <v>10.82</v>
      </c>
      <c r="X500">
        <v>10.45</v>
      </c>
      <c r="Y500">
        <v>10.73</v>
      </c>
      <c r="Z500">
        <v>13.13</v>
      </c>
      <c r="AA500">
        <v>13.36</v>
      </c>
      <c r="AB500">
        <v>13.17</v>
      </c>
      <c r="AC500">
        <v>82.36</v>
      </c>
      <c r="AD500">
        <v>65.28</v>
      </c>
      <c r="AE500">
        <v>77.27</v>
      </c>
      <c r="AF500">
        <v>6.78</v>
      </c>
      <c r="AG500">
        <v>6.68</v>
      </c>
      <c r="AH500">
        <v>6.75</v>
      </c>
      <c r="AI500">
        <v>71.3</v>
      </c>
      <c r="AJ500">
        <v>75.709999999999994</v>
      </c>
      <c r="AK500">
        <v>73.45</v>
      </c>
      <c r="AL500">
        <v>84.56</v>
      </c>
      <c r="AM500">
        <v>47.77</v>
      </c>
      <c r="AN500">
        <v>66.17</v>
      </c>
      <c r="AO500">
        <v>331628</v>
      </c>
    </row>
    <row r="501" spans="1:41" x14ac:dyDescent="0.35">
      <c r="A501" t="s">
        <v>501</v>
      </c>
      <c r="B501">
        <v>9.35</v>
      </c>
      <c r="C501">
        <v>8.84</v>
      </c>
      <c r="D501">
        <v>9.07</v>
      </c>
      <c r="E501">
        <v>13.54</v>
      </c>
      <c r="F501">
        <v>12.95</v>
      </c>
      <c r="G501">
        <v>13.01</v>
      </c>
      <c r="H501">
        <v>76.59</v>
      </c>
      <c r="I501">
        <v>63.6</v>
      </c>
      <c r="J501">
        <v>71.11</v>
      </c>
      <c r="K501">
        <v>5.04</v>
      </c>
      <c r="L501">
        <v>4.49</v>
      </c>
      <c r="M501">
        <v>4.8499999999999996</v>
      </c>
      <c r="N501">
        <v>70.09</v>
      </c>
      <c r="O501">
        <v>74.09</v>
      </c>
      <c r="P501">
        <v>72.040000000000006</v>
      </c>
      <c r="Q501">
        <v>87.02</v>
      </c>
      <c r="R501">
        <v>51.62</v>
      </c>
      <c r="S501">
        <v>69.319999999999993</v>
      </c>
      <c r="T501">
        <v>99869</v>
      </c>
      <c r="V501" t="str">
        <v>Dogiyai</v>
      </c>
      <c r="W501">
        <v>5.47</v>
      </c>
      <c r="X501">
        <v>4.16</v>
      </c>
      <c r="Y501">
        <v>4.99</v>
      </c>
      <c r="Z501">
        <v>10.53</v>
      </c>
      <c r="AA501">
        <v>10.91</v>
      </c>
      <c r="AB501">
        <v>10.64</v>
      </c>
      <c r="AC501">
        <v>62.37</v>
      </c>
      <c r="AD501">
        <v>51.48</v>
      </c>
      <c r="AE501">
        <v>57.96</v>
      </c>
      <c r="AF501">
        <v>2.4300000000000002</v>
      </c>
      <c r="AG501">
        <v>2.1800000000000002</v>
      </c>
      <c r="AH501">
        <v>2.3199999999999998</v>
      </c>
      <c r="AI501">
        <v>64.83</v>
      </c>
      <c r="AJ501">
        <v>68.760000000000005</v>
      </c>
      <c r="AK501">
        <v>66.75</v>
      </c>
      <c r="AL501">
        <v>93.77</v>
      </c>
      <c r="AM501">
        <v>81.19</v>
      </c>
      <c r="AN501">
        <v>87.48</v>
      </c>
      <c r="AO501">
        <v>127270</v>
      </c>
    </row>
    <row r="502" spans="1:41" x14ac:dyDescent="0.35">
      <c r="A502" t="s">
        <v>502</v>
      </c>
      <c r="B502">
        <v>8.3699999999999992</v>
      </c>
      <c r="C502">
        <v>7.43</v>
      </c>
      <c r="D502">
        <v>7.91</v>
      </c>
      <c r="E502">
        <v>13.19</v>
      </c>
      <c r="F502">
        <v>13.11</v>
      </c>
      <c r="G502">
        <v>13.19</v>
      </c>
      <c r="H502">
        <v>73.72</v>
      </c>
      <c r="I502">
        <v>53.79</v>
      </c>
      <c r="J502">
        <v>67.86</v>
      </c>
      <c r="K502">
        <v>3.73</v>
      </c>
      <c r="L502">
        <v>6.59</v>
      </c>
      <c r="M502">
        <v>4.74</v>
      </c>
      <c r="N502">
        <v>69.69</v>
      </c>
      <c r="O502">
        <v>73.67</v>
      </c>
      <c r="P502">
        <v>71.63</v>
      </c>
      <c r="Q502">
        <v>84.04</v>
      </c>
      <c r="R502">
        <v>49.31</v>
      </c>
      <c r="S502">
        <v>66.680000000000007</v>
      </c>
      <c r="T502">
        <v>80968</v>
      </c>
      <c r="V502" t="str">
        <v>Deiyai</v>
      </c>
      <c r="W502">
        <v>4.42</v>
      </c>
      <c r="X502">
        <v>2.02</v>
      </c>
      <c r="Y502">
        <v>3.3</v>
      </c>
      <c r="Z502">
        <v>10.85</v>
      </c>
      <c r="AA502">
        <v>9.56</v>
      </c>
      <c r="AB502">
        <v>9.8699999999999992</v>
      </c>
      <c r="AC502">
        <v>59.02</v>
      </c>
      <c r="AD502">
        <v>43.07</v>
      </c>
      <c r="AE502">
        <v>52.81</v>
      </c>
      <c r="AF502">
        <v>3.74</v>
      </c>
      <c r="AG502">
        <v>3.42</v>
      </c>
      <c r="AH502">
        <v>3.59</v>
      </c>
      <c r="AI502">
        <v>64.92</v>
      </c>
      <c r="AJ502">
        <v>68.849999999999994</v>
      </c>
      <c r="AK502">
        <v>66.84</v>
      </c>
      <c r="AL502">
        <v>71.87</v>
      </c>
      <c r="AM502">
        <v>68.39</v>
      </c>
      <c r="AN502">
        <v>70.13</v>
      </c>
      <c r="AO502">
        <v>108362</v>
      </c>
    </row>
    <row r="503" spans="1:41" x14ac:dyDescent="0.35">
      <c r="A503" t="s">
        <v>503</v>
      </c>
      <c r="B503">
        <v>8.4600000000000009</v>
      </c>
      <c r="C503">
        <v>8.01</v>
      </c>
      <c r="D503">
        <v>8.15</v>
      </c>
      <c r="E503">
        <v>12.79</v>
      </c>
      <c r="F503">
        <v>13.12</v>
      </c>
      <c r="G503">
        <v>12.89</v>
      </c>
      <c r="H503">
        <v>71.569999999999993</v>
      </c>
      <c r="I503">
        <v>61.08</v>
      </c>
      <c r="J503">
        <v>65.61</v>
      </c>
      <c r="K503">
        <v>2.0099999999999998</v>
      </c>
      <c r="L503">
        <v>6.11</v>
      </c>
      <c r="M503">
        <v>3.4</v>
      </c>
      <c r="N503">
        <v>65.59</v>
      </c>
      <c r="O503">
        <v>69.56</v>
      </c>
      <c r="P503">
        <v>67.52</v>
      </c>
      <c r="Q503">
        <v>83.69</v>
      </c>
      <c r="R503">
        <v>46.74</v>
      </c>
      <c r="S503">
        <v>65.22</v>
      </c>
      <c r="T503">
        <v>62230</v>
      </c>
      <c r="V503" t="str">
        <v>Nabire</v>
      </c>
      <c r="W503">
        <v>10.66</v>
      </c>
      <c r="X503">
        <v>10.050000000000001</v>
      </c>
      <c r="Y503">
        <v>10.43</v>
      </c>
      <c r="Z503">
        <v>13.01</v>
      </c>
      <c r="AA503">
        <v>12.97</v>
      </c>
      <c r="AB503">
        <v>12.97</v>
      </c>
      <c r="AC503">
        <v>78</v>
      </c>
      <c r="AD503">
        <v>71.45</v>
      </c>
      <c r="AE503">
        <v>72.89</v>
      </c>
      <c r="AF503">
        <v>3.23</v>
      </c>
      <c r="AG503">
        <v>3.03</v>
      </c>
      <c r="AH503">
        <v>3.16</v>
      </c>
      <c r="AI503">
        <v>68.58</v>
      </c>
      <c r="AJ503">
        <v>72.510000000000005</v>
      </c>
      <c r="AK503">
        <v>70.5</v>
      </c>
      <c r="AL503">
        <v>82.98</v>
      </c>
      <c r="AM503">
        <v>52.37</v>
      </c>
      <c r="AN503">
        <v>67.680000000000007</v>
      </c>
      <c r="AO503">
        <v>176930</v>
      </c>
    </row>
    <row r="504" spans="1:41" x14ac:dyDescent="0.35">
      <c r="A504" t="s">
        <v>504</v>
      </c>
      <c r="B504">
        <v>12.36</v>
      </c>
      <c r="C504">
        <v>11.83</v>
      </c>
      <c r="D504">
        <v>12.09</v>
      </c>
      <c r="E504">
        <v>15.95</v>
      </c>
      <c r="F504">
        <v>15.93</v>
      </c>
      <c r="G504">
        <v>15.93</v>
      </c>
      <c r="H504">
        <v>86.35</v>
      </c>
      <c r="I504">
        <v>80.12</v>
      </c>
      <c r="J504">
        <v>83.01</v>
      </c>
      <c r="K504">
        <v>7.76</v>
      </c>
      <c r="L504">
        <v>5.52</v>
      </c>
      <c r="M504">
        <v>6.92</v>
      </c>
      <c r="N504">
        <v>71.239999999999995</v>
      </c>
      <c r="O504">
        <v>75.58</v>
      </c>
      <c r="P504">
        <v>73.36</v>
      </c>
      <c r="Q504">
        <v>79.19</v>
      </c>
      <c r="R504">
        <v>48.46</v>
      </c>
      <c r="S504">
        <v>63.83</v>
      </c>
      <c r="T504">
        <v>216773</v>
      </c>
      <c r="V504" t="str">
        <v>Paniai</v>
      </c>
      <c r="W504">
        <v>5.0999999999999996</v>
      </c>
      <c r="X504">
        <v>3.59</v>
      </c>
      <c r="Y504">
        <v>4.82</v>
      </c>
      <c r="Z504">
        <v>11.07</v>
      </c>
      <c r="AA504">
        <v>10.19</v>
      </c>
      <c r="AB504">
        <v>10.55</v>
      </c>
      <c r="AC504">
        <v>65.52</v>
      </c>
      <c r="AD504">
        <v>46.61</v>
      </c>
      <c r="AE504">
        <v>60.04</v>
      </c>
      <c r="AF504">
        <v>3.82</v>
      </c>
      <c r="AG504">
        <v>4.5599999999999996</v>
      </c>
      <c r="AH504">
        <v>4.13</v>
      </c>
      <c r="AI504">
        <v>67.92</v>
      </c>
      <c r="AJ504">
        <v>71.86</v>
      </c>
      <c r="AK504">
        <v>69.84</v>
      </c>
      <c r="AL504">
        <v>72.62</v>
      </c>
      <c r="AM504">
        <v>62.8</v>
      </c>
      <c r="AN504">
        <v>67.709999999999994</v>
      </c>
      <c r="AO504">
        <v>240343</v>
      </c>
    </row>
    <row r="505" spans="1:41" x14ac:dyDescent="0.35">
      <c r="A505" t="s">
        <v>505</v>
      </c>
      <c r="B505">
        <v>10.51</v>
      </c>
      <c r="C505">
        <v>10.09</v>
      </c>
      <c r="D505">
        <v>10.18</v>
      </c>
      <c r="E505">
        <v>14.22</v>
      </c>
      <c r="F505">
        <v>15.33</v>
      </c>
      <c r="G505">
        <v>14.5</v>
      </c>
      <c r="H505">
        <v>76.83</v>
      </c>
      <c r="I505">
        <v>74.53</v>
      </c>
      <c r="J505">
        <v>74.63</v>
      </c>
      <c r="K505">
        <v>4.03</v>
      </c>
      <c r="L505">
        <v>4.01</v>
      </c>
      <c r="M505">
        <v>4.0199999999999996</v>
      </c>
      <c r="N505">
        <v>71.010000000000005</v>
      </c>
      <c r="O505">
        <v>75.099999999999994</v>
      </c>
      <c r="P505">
        <v>73</v>
      </c>
      <c r="Q505">
        <v>86.32</v>
      </c>
      <c r="R505">
        <v>53.16</v>
      </c>
      <c r="S505">
        <v>69.739999999999995</v>
      </c>
      <c r="T505">
        <v>121948</v>
      </c>
      <c r="V505" t="str">
        <v>Intan Jaya</v>
      </c>
      <c r="W505">
        <v>4.79</v>
      </c>
      <c r="X505">
        <v>2.2000000000000002</v>
      </c>
      <c r="Y505">
        <v>3.38</v>
      </c>
      <c r="Z505">
        <v>8.5</v>
      </c>
      <c r="AA505">
        <v>7.17</v>
      </c>
      <c r="AB505">
        <v>7.84</v>
      </c>
      <c r="AC505">
        <v>58.28</v>
      </c>
      <c r="AD505">
        <v>43.41</v>
      </c>
      <c r="AE505">
        <v>51.56</v>
      </c>
      <c r="AF505">
        <v>7.43</v>
      </c>
      <c r="AG505">
        <v>8.81</v>
      </c>
      <c r="AH505">
        <v>8.0500000000000007</v>
      </c>
      <c r="AI505">
        <v>64.930000000000007</v>
      </c>
      <c r="AJ505">
        <v>68.86</v>
      </c>
      <c r="AK505">
        <v>66.849999999999994</v>
      </c>
      <c r="AL505">
        <v>60.23</v>
      </c>
      <c r="AM505">
        <v>53.43</v>
      </c>
      <c r="AN505">
        <v>56.83</v>
      </c>
      <c r="AO505">
        <v>145902</v>
      </c>
    </row>
    <row r="506" spans="1:41" x14ac:dyDescent="0.35">
      <c r="A506" t="s">
        <v>506</v>
      </c>
      <c r="B506">
        <v>10.28</v>
      </c>
      <c r="C506">
        <v>7.73</v>
      </c>
      <c r="D506">
        <v>8.07</v>
      </c>
      <c r="E506">
        <v>13.21</v>
      </c>
      <c r="F506">
        <v>13.2</v>
      </c>
      <c r="G506">
        <v>13.21</v>
      </c>
      <c r="H506">
        <v>75.44</v>
      </c>
      <c r="I506">
        <v>62.52</v>
      </c>
      <c r="J506">
        <v>68.48</v>
      </c>
      <c r="K506">
        <v>4.9400000000000004</v>
      </c>
      <c r="L506">
        <v>3.96</v>
      </c>
      <c r="M506">
        <v>4.55</v>
      </c>
      <c r="N506">
        <v>66.819999999999993</v>
      </c>
      <c r="O506">
        <v>70.790000000000006</v>
      </c>
      <c r="P506">
        <v>68.760000000000005</v>
      </c>
      <c r="Q506">
        <v>80.03</v>
      </c>
      <c r="R506">
        <v>57.73</v>
      </c>
      <c r="S506">
        <v>68.88</v>
      </c>
      <c r="T506">
        <v>1224079</v>
      </c>
      <c r="V506" t="str">
        <v>Puncak</v>
      </c>
      <c r="W506">
        <v>2.79</v>
      </c>
      <c r="X506">
        <v>1.66</v>
      </c>
      <c r="Y506">
        <v>2.4</v>
      </c>
      <c r="Z506">
        <v>5.91</v>
      </c>
      <c r="AA506">
        <v>5.44</v>
      </c>
      <c r="AB506">
        <v>5.61</v>
      </c>
      <c r="AC506">
        <v>47.88</v>
      </c>
      <c r="AD506">
        <v>41.71</v>
      </c>
      <c r="AE506">
        <v>45.95</v>
      </c>
      <c r="AF506">
        <v>0</v>
      </c>
      <c r="AG506">
        <v>0.3</v>
      </c>
      <c r="AH506">
        <v>0.14000000000000001</v>
      </c>
      <c r="AI506">
        <v>65.010000000000005</v>
      </c>
      <c r="AJ506">
        <v>68.95</v>
      </c>
      <c r="AK506">
        <v>66.94</v>
      </c>
      <c r="AL506">
        <v>93.06</v>
      </c>
      <c r="AM506">
        <v>91.58</v>
      </c>
      <c r="AN506">
        <v>92.32</v>
      </c>
      <c r="AO506">
        <v>124408</v>
      </c>
    </row>
    <row r="507" spans="1:41" x14ac:dyDescent="0.35">
      <c r="A507" t="s">
        <v>507</v>
      </c>
      <c r="B507">
        <v>10.84</v>
      </c>
      <c r="C507">
        <v>8.9700000000000006</v>
      </c>
      <c r="D507">
        <v>9.35</v>
      </c>
      <c r="E507">
        <v>14.8</v>
      </c>
      <c r="F507">
        <v>15.38</v>
      </c>
      <c r="G507">
        <v>14.8</v>
      </c>
      <c r="H507">
        <v>78.2</v>
      </c>
      <c r="I507">
        <v>66.760000000000005</v>
      </c>
      <c r="J507">
        <v>72</v>
      </c>
      <c r="K507">
        <v>5.1100000000000003</v>
      </c>
      <c r="L507">
        <v>8.44</v>
      </c>
      <c r="M507">
        <v>6.4</v>
      </c>
      <c r="N507">
        <v>69.84</v>
      </c>
      <c r="O507">
        <v>73.83</v>
      </c>
      <c r="P507">
        <v>71.78</v>
      </c>
      <c r="Q507">
        <v>75.819999999999993</v>
      </c>
      <c r="R507">
        <v>49.99</v>
      </c>
      <c r="S507">
        <v>62.91</v>
      </c>
      <c r="T507">
        <v>91441</v>
      </c>
      <c r="V507" t="str">
        <v>Puncak Jaya</v>
      </c>
      <c r="W507">
        <v>5.68</v>
      </c>
      <c r="X507">
        <v>4.46</v>
      </c>
      <c r="Y507">
        <v>4.59</v>
      </c>
      <c r="Z507">
        <v>7.69</v>
      </c>
      <c r="AA507">
        <v>7.66</v>
      </c>
      <c r="AB507">
        <v>7.66</v>
      </c>
      <c r="AC507">
        <v>59.03</v>
      </c>
      <c r="AD507">
        <v>42.09</v>
      </c>
      <c r="AE507">
        <v>53.18</v>
      </c>
      <c r="AF507">
        <v>1.23</v>
      </c>
      <c r="AG507">
        <v>1.52</v>
      </c>
      <c r="AH507">
        <v>1.36</v>
      </c>
      <c r="AI507">
        <v>66.22</v>
      </c>
      <c r="AJ507">
        <v>70.2</v>
      </c>
      <c r="AK507">
        <v>68.16</v>
      </c>
      <c r="AL507">
        <v>84.94</v>
      </c>
      <c r="AM507">
        <v>84</v>
      </c>
      <c r="AN507">
        <v>84.47</v>
      </c>
      <c r="AO507">
        <v>237443</v>
      </c>
    </row>
    <row r="508" spans="1:41" x14ac:dyDescent="0.35">
      <c r="A508" t="s">
        <v>508</v>
      </c>
      <c r="B508">
        <v>10.26</v>
      </c>
      <c r="C508">
        <v>8.3699999999999992</v>
      </c>
      <c r="D508">
        <v>9.02</v>
      </c>
      <c r="E508">
        <v>12.52</v>
      </c>
      <c r="F508">
        <v>12.51</v>
      </c>
      <c r="G508">
        <v>12.52</v>
      </c>
      <c r="H508">
        <v>75.239999999999995</v>
      </c>
      <c r="I508">
        <v>64.260000000000005</v>
      </c>
      <c r="J508">
        <v>69.7</v>
      </c>
      <c r="K508">
        <v>5.0599999999999996</v>
      </c>
      <c r="L508">
        <v>6.72</v>
      </c>
      <c r="M508">
        <v>5.75</v>
      </c>
      <c r="N508">
        <v>67.62</v>
      </c>
      <c r="O508">
        <v>71.569999999999993</v>
      </c>
      <c r="P508">
        <v>69.540000000000006</v>
      </c>
      <c r="Q508">
        <v>73.42</v>
      </c>
      <c r="R508">
        <v>56.44</v>
      </c>
      <c r="S508">
        <v>64.930000000000007</v>
      </c>
      <c r="T508">
        <v>67795</v>
      </c>
      <c r="V508" t="str">
        <v>Nduga</v>
      </c>
      <c r="W508">
        <v>2.95</v>
      </c>
      <c r="X508">
        <v>2.19</v>
      </c>
      <c r="Y508">
        <v>2.19</v>
      </c>
      <c r="Z508">
        <v>5.63</v>
      </c>
      <c r="AA508">
        <v>4.45</v>
      </c>
      <c r="AB508">
        <v>4.7300000000000004</v>
      </c>
      <c r="AC508">
        <v>43.65</v>
      </c>
      <c r="AD508">
        <v>40.200000000000003</v>
      </c>
      <c r="AE508">
        <v>40.35</v>
      </c>
      <c r="AF508">
        <v>2</v>
      </c>
      <c r="AG508">
        <v>1.68</v>
      </c>
      <c r="AH508">
        <v>1.85</v>
      </c>
      <c r="AI508">
        <v>62.16</v>
      </c>
      <c r="AJ508">
        <v>65.89</v>
      </c>
      <c r="AK508">
        <v>63.94</v>
      </c>
      <c r="AL508">
        <v>92.79</v>
      </c>
      <c r="AM508">
        <v>93.39</v>
      </c>
      <c r="AN508">
        <v>93.09</v>
      </c>
      <c r="AO508">
        <v>114889</v>
      </c>
    </row>
    <row r="509" spans="1:41" x14ac:dyDescent="0.35">
      <c r="A509" t="s">
        <v>509</v>
      </c>
      <c r="B509">
        <v>9.81</v>
      </c>
      <c r="C509">
        <v>7.54</v>
      </c>
      <c r="D509">
        <v>7.56</v>
      </c>
      <c r="E509">
        <v>11.92</v>
      </c>
      <c r="F509">
        <v>12.11</v>
      </c>
      <c r="G509">
        <v>11.97</v>
      </c>
      <c r="H509">
        <v>72.55</v>
      </c>
      <c r="I509">
        <v>58.75</v>
      </c>
      <c r="J509">
        <v>65.260000000000005</v>
      </c>
      <c r="K509">
        <v>3.58</v>
      </c>
      <c r="L509">
        <v>3.07</v>
      </c>
      <c r="M509">
        <v>3.37</v>
      </c>
      <c r="N509">
        <v>63.85</v>
      </c>
      <c r="O509">
        <v>67.72</v>
      </c>
      <c r="P509">
        <v>65.739999999999995</v>
      </c>
      <c r="Q509">
        <v>74.760000000000005</v>
      </c>
      <c r="R509">
        <v>57.55</v>
      </c>
      <c r="S509">
        <v>66.16</v>
      </c>
      <c r="T509">
        <v>46595</v>
      </c>
      <c r="V509" t="str">
        <v>Jayawijaya</v>
      </c>
      <c r="W509">
        <v>7.19</v>
      </c>
      <c r="X509">
        <v>5.55</v>
      </c>
      <c r="Y509">
        <v>6.15</v>
      </c>
      <c r="Z509">
        <v>13.44</v>
      </c>
      <c r="AA509">
        <v>12.19</v>
      </c>
      <c r="AB509">
        <v>12.86</v>
      </c>
      <c r="AC509">
        <v>69.41</v>
      </c>
      <c r="AD509">
        <v>60.53</v>
      </c>
      <c r="AE509">
        <v>66.02</v>
      </c>
      <c r="AF509">
        <v>3.19</v>
      </c>
      <c r="AG509">
        <v>3.17</v>
      </c>
      <c r="AH509">
        <v>3.18</v>
      </c>
      <c r="AI509">
        <v>68.45</v>
      </c>
      <c r="AJ509">
        <v>72.38</v>
      </c>
      <c r="AK509">
        <v>70.37</v>
      </c>
      <c r="AL509">
        <v>85.11</v>
      </c>
      <c r="AM509">
        <v>69.73</v>
      </c>
      <c r="AN509">
        <v>77.42</v>
      </c>
      <c r="AO509">
        <v>283894</v>
      </c>
    </row>
    <row r="510" spans="1:41" x14ac:dyDescent="0.35">
      <c r="A510" t="s">
        <v>510</v>
      </c>
      <c r="B510">
        <v>9.93</v>
      </c>
      <c r="C510">
        <v>8.73</v>
      </c>
      <c r="D510">
        <v>8.77</v>
      </c>
      <c r="E510">
        <v>12.88</v>
      </c>
      <c r="F510">
        <v>12.61</v>
      </c>
      <c r="G510">
        <v>12.63</v>
      </c>
      <c r="H510">
        <v>75.52</v>
      </c>
      <c r="I510">
        <v>65.77</v>
      </c>
      <c r="J510">
        <v>70.319999999999993</v>
      </c>
      <c r="K510">
        <v>4.43</v>
      </c>
      <c r="L510">
        <v>1.87</v>
      </c>
      <c r="M510">
        <v>3.63</v>
      </c>
      <c r="N510">
        <v>66.55</v>
      </c>
      <c r="O510">
        <v>70.53</v>
      </c>
      <c r="P510">
        <v>68.489999999999995</v>
      </c>
      <c r="Q510">
        <v>83.31</v>
      </c>
      <c r="R510">
        <v>55.12</v>
      </c>
      <c r="S510">
        <v>69.22</v>
      </c>
      <c r="T510">
        <v>92009</v>
      </c>
      <c r="V510" t="str">
        <v>Lanny Jaya</v>
      </c>
      <c r="W510">
        <v>4.9800000000000004</v>
      </c>
      <c r="X510">
        <v>2.7</v>
      </c>
      <c r="Y510">
        <v>3.87</v>
      </c>
      <c r="Z510">
        <v>10.6</v>
      </c>
      <c r="AA510">
        <v>9.5299999999999994</v>
      </c>
      <c r="AB510">
        <v>9.73</v>
      </c>
      <c r="AC510">
        <v>55.24</v>
      </c>
      <c r="AD510">
        <v>52.24</v>
      </c>
      <c r="AE510">
        <v>52.47</v>
      </c>
      <c r="AF510">
        <v>0.35</v>
      </c>
      <c r="AG510">
        <v>0.67</v>
      </c>
      <c r="AH510">
        <v>0.5</v>
      </c>
      <c r="AI510">
        <v>65.5</v>
      </c>
      <c r="AJ510">
        <v>69.459999999999994</v>
      </c>
      <c r="AK510">
        <v>67.430000000000007</v>
      </c>
      <c r="AL510">
        <v>96.71</v>
      </c>
      <c r="AM510">
        <v>95.91</v>
      </c>
      <c r="AN510">
        <v>96.31</v>
      </c>
      <c r="AO510">
        <v>211334</v>
      </c>
    </row>
    <row r="511" spans="1:41" x14ac:dyDescent="0.35">
      <c r="A511" t="s">
        <v>511</v>
      </c>
      <c r="B511">
        <v>11.18</v>
      </c>
      <c r="C511">
        <v>8.89</v>
      </c>
      <c r="D511">
        <v>8.89</v>
      </c>
      <c r="E511">
        <v>14.02</v>
      </c>
      <c r="F511">
        <v>13.84</v>
      </c>
      <c r="G511">
        <v>13.87</v>
      </c>
      <c r="H511">
        <v>82.84</v>
      </c>
      <c r="I511">
        <v>70.97</v>
      </c>
      <c r="J511">
        <v>75.959999999999994</v>
      </c>
      <c r="K511">
        <v>6.73</v>
      </c>
      <c r="L511">
        <v>3.91</v>
      </c>
      <c r="M511">
        <v>5.65</v>
      </c>
      <c r="N511">
        <v>70.930000000000007</v>
      </c>
      <c r="O511">
        <v>74.97</v>
      </c>
      <c r="P511">
        <v>72.900000000000006</v>
      </c>
      <c r="Q511">
        <v>80.790000000000006</v>
      </c>
      <c r="R511">
        <v>54.07</v>
      </c>
      <c r="S511">
        <v>67.430000000000007</v>
      </c>
      <c r="T511">
        <v>208021</v>
      </c>
      <c r="V511" t="str">
        <v>Tolikara</v>
      </c>
      <c r="W511">
        <v>4.87</v>
      </c>
      <c r="X511">
        <v>2.36</v>
      </c>
      <c r="Y511">
        <v>3.7</v>
      </c>
      <c r="Z511">
        <v>9.4</v>
      </c>
      <c r="AA511">
        <v>8.8000000000000007</v>
      </c>
      <c r="AB511">
        <v>9.0399999999999991</v>
      </c>
      <c r="AC511">
        <v>60.38</v>
      </c>
      <c r="AD511">
        <v>38.75</v>
      </c>
      <c r="AE511">
        <v>52.71</v>
      </c>
      <c r="AF511">
        <v>0.66</v>
      </c>
      <c r="AG511">
        <v>1.36</v>
      </c>
      <c r="AH511">
        <v>0.98</v>
      </c>
      <c r="AI511">
        <v>65.59</v>
      </c>
      <c r="AJ511">
        <v>69.56</v>
      </c>
      <c r="AK511">
        <v>67.52</v>
      </c>
      <c r="AL511">
        <v>94.68</v>
      </c>
      <c r="AM511">
        <v>93.26</v>
      </c>
      <c r="AN511">
        <v>93.97</v>
      </c>
      <c r="AO511">
        <v>248306</v>
      </c>
    </row>
    <row r="512" spans="1:41" x14ac:dyDescent="0.35">
      <c r="A512" t="s">
        <v>517</v>
      </c>
      <c r="B512" t="s">
        <v>554</v>
      </c>
      <c r="C512" t="s">
        <v>554</v>
      </c>
      <c r="D512" t="s">
        <v>554</v>
      </c>
      <c r="E512" t="s">
        <v>554</v>
      </c>
      <c r="F512" t="s">
        <v>554</v>
      </c>
      <c r="G512" t="s">
        <v>554</v>
      </c>
      <c r="H512" t="s">
        <v>554</v>
      </c>
      <c r="I512" t="s">
        <v>554</v>
      </c>
      <c r="J512" t="s">
        <v>554</v>
      </c>
      <c r="K512">
        <v>4.7699999999999996</v>
      </c>
      <c r="L512">
        <v>0.91</v>
      </c>
      <c r="M512">
        <v>3.14</v>
      </c>
      <c r="N512" t="s">
        <v>554</v>
      </c>
      <c r="O512" t="s">
        <v>554</v>
      </c>
      <c r="P512" t="s">
        <v>554</v>
      </c>
      <c r="Q512" t="s">
        <v>554</v>
      </c>
      <c r="R512" t="s">
        <v>554</v>
      </c>
      <c r="S512" t="s">
        <v>554</v>
      </c>
      <c r="T512">
        <v>57297</v>
      </c>
      <c r="V512" t="str">
        <v>Mamberamo Tengah</v>
      </c>
      <c r="W512">
        <v>5.56</v>
      </c>
      <c r="X512">
        <v>3.26</v>
      </c>
      <c r="Y512">
        <v>3.99</v>
      </c>
      <c r="Z512">
        <v>10.53</v>
      </c>
      <c r="AA512">
        <v>9.4600000000000009</v>
      </c>
      <c r="AB512">
        <v>9.7899999999999991</v>
      </c>
      <c r="AC512">
        <v>56.99</v>
      </c>
      <c r="AD512">
        <v>51.63</v>
      </c>
      <c r="AE512">
        <v>53.36</v>
      </c>
      <c r="AF512">
        <v>4.1500000000000004</v>
      </c>
      <c r="AG512">
        <v>1.29</v>
      </c>
      <c r="AH512">
        <v>2.86</v>
      </c>
      <c r="AI512">
        <v>67.16</v>
      </c>
      <c r="AJ512">
        <v>71.12</v>
      </c>
      <c r="AK512">
        <v>69.09</v>
      </c>
      <c r="AL512">
        <v>89.73</v>
      </c>
      <c r="AM512">
        <v>82.94</v>
      </c>
      <c r="AN512">
        <v>86.34</v>
      </c>
      <c r="AO512">
        <v>54365</v>
      </c>
    </row>
    <row r="513" spans="1:41" x14ac:dyDescent="0.35">
      <c r="A513" t="s">
        <v>516</v>
      </c>
      <c r="B513" t="s">
        <v>554</v>
      </c>
      <c r="C513" t="s">
        <v>554</v>
      </c>
      <c r="D513" t="s">
        <v>554</v>
      </c>
      <c r="E513" t="s">
        <v>554</v>
      </c>
      <c r="F513" t="s">
        <v>554</v>
      </c>
      <c r="G513" t="s">
        <v>554</v>
      </c>
      <c r="H513" t="s">
        <v>554</v>
      </c>
      <c r="I513" t="s">
        <v>554</v>
      </c>
      <c r="J513" t="s">
        <v>554</v>
      </c>
      <c r="K513">
        <v>4.53</v>
      </c>
      <c r="L513">
        <v>4.16</v>
      </c>
      <c r="M513">
        <v>4.3899999999999997</v>
      </c>
      <c r="N513" t="s">
        <v>554</v>
      </c>
      <c r="O513" t="s">
        <v>554</v>
      </c>
      <c r="P513" t="s">
        <v>554</v>
      </c>
      <c r="Q513" t="s">
        <v>554</v>
      </c>
      <c r="R513" t="s">
        <v>554</v>
      </c>
      <c r="S513" t="s">
        <v>554</v>
      </c>
      <c r="T513">
        <v>124207</v>
      </c>
      <c r="V513" t="str">
        <v>Yalimo</v>
      </c>
      <c r="W513">
        <v>5.61</v>
      </c>
      <c r="X513">
        <v>3.83</v>
      </c>
      <c r="Y513">
        <v>3.83</v>
      </c>
      <c r="Z513">
        <v>10.28</v>
      </c>
      <c r="AA513">
        <v>9.84</v>
      </c>
      <c r="AB513">
        <v>9.85</v>
      </c>
      <c r="AC513">
        <v>60.19</v>
      </c>
      <c r="AD513">
        <v>52.04</v>
      </c>
      <c r="AE513">
        <v>52.63</v>
      </c>
      <c r="AF513">
        <v>0.14000000000000001</v>
      </c>
      <c r="AG513">
        <v>1.3</v>
      </c>
      <c r="AH513">
        <v>0.68</v>
      </c>
      <c r="AI513">
        <v>64.62</v>
      </c>
      <c r="AJ513">
        <v>68.540000000000006</v>
      </c>
      <c r="AK513">
        <v>66.53</v>
      </c>
      <c r="AL513">
        <v>91.13</v>
      </c>
      <c r="AM513">
        <v>90.72</v>
      </c>
      <c r="AN513">
        <v>90.93</v>
      </c>
      <c r="AO513">
        <v>109875</v>
      </c>
    </row>
    <row r="514" spans="1:41" x14ac:dyDescent="0.35">
      <c r="A514" t="s">
        <v>515</v>
      </c>
      <c r="B514" t="s">
        <v>554</v>
      </c>
      <c r="C514" t="s">
        <v>554</v>
      </c>
      <c r="D514" t="s">
        <v>554</v>
      </c>
      <c r="E514" t="s">
        <v>554</v>
      </c>
      <c r="F514" t="s">
        <v>554</v>
      </c>
      <c r="G514" t="s">
        <v>554</v>
      </c>
      <c r="H514" t="s">
        <v>554</v>
      </c>
      <c r="I514" t="s">
        <v>554</v>
      </c>
      <c r="J514" t="s">
        <v>554</v>
      </c>
      <c r="K514">
        <v>4.45</v>
      </c>
      <c r="L514">
        <v>4.54</v>
      </c>
      <c r="M514">
        <v>4.4800000000000004</v>
      </c>
      <c r="N514" t="s">
        <v>554</v>
      </c>
      <c r="O514" t="s">
        <v>554</v>
      </c>
      <c r="P514" t="s">
        <v>554</v>
      </c>
      <c r="Q514" t="s">
        <v>554</v>
      </c>
      <c r="R514" t="s">
        <v>554</v>
      </c>
      <c r="S514" t="s">
        <v>554</v>
      </c>
      <c r="T514">
        <v>71605</v>
      </c>
      <c r="V514" t="str">
        <v>Yahukimo</v>
      </c>
      <c r="W514">
        <v>5.86</v>
      </c>
      <c r="X514">
        <v>3.29</v>
      </c>
      <c r="Y514">
        <v>4.3600000000000003</v>
      </c>
      <c r="Z514">
        <v>8.4700000000000006</v>
      </c>
      <c r="AA514">
        <v>8.06</v>
      </c>
      <c r="AB514">
        <v>8.06</v>
      </c>
      <c r="AC514">
        <v>61.18</v>
      </c>
      <c r="AD514">
        <v>47.18</v>
      </c>
      <c r="AE514">
        <v>52.48</v>
      </c>
      <c r="AF514">
        <v>1.37</v>
      </c>
      <c r="AG514">
        <v>2.29</v>
      </c>
      <c r="AH514">
        <v>1.78</v>
      </c>
      <c r="AI514">
        <v>64.760000000000005</v>
      </c>
      <c r="AJ514">
        <v>68.69</v>
      </c>
      <c r="AK514">
        <v>66.680000000000007</v>
      </c>
      <c r="AL514">
        <v>96.01</v>
      </c>
      <c r="AM514">
        <v>91.82</v>
      </c>
      <c r="AN514">
        <v>93.92</v>
      </c>
      <c r="AO514">
        <v>377486</v>
      </c>
    </row>
    <row r="515" spans="1:41" x14ac:dyDescent="0.35">
      <c r="A515" t="s">
        <v>519</v>
      </c>
      <c r="B515" t="s">
        <v>554</v>
      </c>
      <c r="C515" t="s">
        <v>554</v>
      </c>
      <c r="D515" t="s">
        <v>554</v>
      </c>
      <c r="E515" t="s">
        <v>554</v>
      </c>
      <c r="F515" t="s">
        <v>554</v>
      </c>
      <c r="G515" t="s">
        <v>554</v>
      </c>
      <c r="H515" t="s">
        <v>554</v>
      </c>
      <c r="I515" t="s">
        <v>554</v>
      </c>
      <c r="J515" t="s">
        <v>554</v>
      </c>
      <c r="K515">
        <v>0.89</v>
      </c>
      <c r="L515">
        <v>3.48</v>
      </c>
      <c r="M515">
        <v>2.0299999999999998</v>
      </c>
      <c r="N515" t="s">
        <v>554</v>
      </c>
      <c r="O515" t="s">
        <v>554</v>
      </c>
      <c r="P515" t="s">
        <v>554</v>
      </c>
      <c r="Q515" t="s">
        <v>554</v>
      </c>
      <c r="R515" t="s">
        <v>554</v>
      </c>
      <c r="S515" t="s">
        <v>554</v>
      </c>
      <c r="T515">
        <v>32070</v>
      </c>
      <c r="V515" t="str">
        <v>Pegunungan Bintang</v>
      </c>
      <c r="W515">
        <v>5.5</v>
      </c>
      <c r="X515">
        <v>2.89</v>
      </c>
      <c r="Y515">
        <v>3.59</v>
      </c>
      <c r="Z515">
        <v>7.27</v>
      </c>
      <c r="AA515">
        <v>7.59</v>
      </c>
      <c r="AB515">
        <v>7.3</v>
      </c>
      <c r="AC515">
        <v>57.26</v>
      </c>
      <c r="AD515">
        <v>47.67</v>
      </c>
      <c r="AE515">
        <v>50.56</v>
      </c>
      <c r="AF515">
        <v>3.58</v>
      </c>
      <c r="AG515">
        <v>2.11</v>
      </c>
      <c r="AH515">
        <v>2.92</v>
      </c>
      <c r="AI515">
        <v>64.59</v>
      </c>
      <c r="AJ515">
        <v>68.510000000000005</v>
      </c>
      <c r="AK515">
        <v>66.5</v>
      </c>
      <c r="AL515">
        <v>90.44</v>
      </c>
      <c r="AM515">
        <v>89.32</v>
      </c>
      <c r="AN515">
        <v>89.88</v>
      </c>
      <c r="AO515">
        <v>84709</v>
      </c>
    </row>
    <row r="516" spans="1:41" x14ac:dyDescent="0.35">
      <c r="A516" t="s">
        <v>518</v>
      </c>
      <c r="B516" t="s">
        <v>554</v>
      </c>
      <c r="C516" t="s">
        <v>554</v>
      </c>
      <c r="D516" t="s">
        <v>554</v>
      </c>
      <c r="E516" t="s">
        <v>554</v>
      </c>
      <c r="F516" t="s">
        <v>554</v>
      </c>
      <c r="G516" t="s">
        <v>554</v>
      </c>
      <c r="H516" t="s">
        <v>554</v>
      </c>
      <c r="I516" t="s">
        <v>554</v>
      </c>
      <c r="J516" t="s">
        <v>554</v>
      </c>
      <c r="K516">
        <v>6.35</v>
      </c>
      <c r="L516">
        <v>0.97</v>
      </c>
      <c r="M516">
        <v>3.78</v>
      </c>
      <c r="N516" t="s">
        <v>554</v>
      </c>
      <c r="O516" t="s">
        <v>554</v>
      </c>
      <c r="P516" t="s">
        <v>554</v>
      </c>
      <c r="Q516" t="s">
        <v>554</v>
      </c>
      <c r="R516" t="s">
        <v>554</v>
      </c>
      <c r="S516" t="s">
        <v>554</v>
      </c>
      <c r="T516">
        <v>48803</v>
      </c>
    </row>
    <row r="517" spans="1:41" x14ac:dyDescent="0.35">
      <c r="A517" t="s">
        <v>512</v>
      </c>
      <c r="B517">
        <v>10.18</v>
      </c>
      <c r="C517">
        <v>6.71</v>
      </c>
      <c r="D517">
        <v>7.33</v>
      </c>
      <c r="E517">
        <v>12.84</v>
      </c>
      <c r="F517">
        <v>13.25</v>
      </c>
      <c r="G517">
        <v>12.84</v>
      </c>
      <c r="H517">
        <v>72.31</v>
      </c>
      <c r="I517">
        <v>50.54</v>
      </c>
      <c r="J517">
        <v>63.24</v>
      </c>
      <c r="K517">
        <v>3.42</v>
      </c>
      <c r="L517">
        <v>1.55</v>
      </c>
      <c r="M517">
        <v>2.62</v>
      </c>
      <c r="N517">
        <v>66.59</v>
      </c>
      <c r="O517">
        <v>70.569999999999993</v>
      </c>
      <c r="P517">
        <v>68.53</v>
      </c>
      <c r="Q517">
        <v>81.87</v>
      </c>
      <c r="R517">
        <v>65.19</v>
      </c>
      <c r="S517">
        <v>73.53</v>
      </c>
      <c r="T517">
        <v>39571</v>
      </c>
    </row>
    <row r="518" spans="1:41" x14ac:dyDescent="0.35">
      <c r="A518" t="s">
        <v>513</v>
      </c>
      <c r="B518">
        <v>9.08</v>
      </c>
      <c r="C518">
        <v>5.5</v>
      </c>
      <c r="D518">
        <v>5.84</v>
      </c>
      <c r="E518">
        <v>11.82</v>
      </c>
      <c r="F518">
        <v>9.4600000000000009</v>
      </c>
      <c r="G518">
        <v>11.81</v>
      </c>
      <c r="H518">
        <v>67.13</v>
      </c>
      <c r="I518">
        <v>54.45</v>
      </c>
      <c r="J518">
        <v>59.53</v>
      </c>
      <c r="K518">
        <v>0.51</v>
      </c>
      <c r="L518">
        <v>0.95</v>
      </c>
      <c r="M518">
        <v>0.72</v>
      </c>
      <c r="N518">
        <v>65.98</v>
      </c>
      <c r="O518">
        <v>69.97</v>
      </c>
      <c r="P518">
        <v>67.92</v>
      </c>
      <c r="Q518">
        <v>90.22</v>
      </c>
      <c r="R518">
        <v>89.32</v>
      </c>
      <c r="S518">
        <v>89.77</v>
      </c>
      <c r="T518">
        <v>42213</v>
      </c>
    </row>
    <row r="519" spans="1:41" x14ac:dyDescent="0.35">
      <c r="A519" t="s">
        <v>520</v>
      </c>
      <c r="B519" t="s">
        <v>554</v>
      </c>
      <c r="C519" t="s">
        <v>554</v>
      </c>
      <c r="D519" t="s">
        <v>554</v>
      </c>
      <c r="E519" t="s">
        <v>554</v>
      </c>
      <c r="F519" t="s">
        <v>554</v>
      </c>
      <c r="G519" t="s">
        <v>554</v>
      </c>
      <c r="H519" t="s">
        <v>554</v>
      </c>
      <c r="I519" t="s">
        <v>554</v>
      </c>
      <c r="J519" t="s">
        <v>554</v>
      </c>
      <c r="K519">
        <v>7.4</v>
      </c>
      <c r="L519">
        <v>15.59</v>
      </c>
      <c r="M519">
        <v>10.35</v>
      </c>
      <c r="N519" t="s">
        <v>554</v>
      </c>
      <c r="O519" t="s">
        <v>554</v>
      </c>
      <c r="P519" t="s">
        <v>554</v>
      </c>
      <c r="Q519" t="s">
        <v>554</v>
      </c>
      <c r="R519" t="s">
        <v>554</v>
      </c>
      <c r="S519" t="s">
        <v>554</v>
      </c>
      <c r="T519">
        <v>302452</v>
      </c>
    </row>
    <row r="520" spans="1:41" x14ac:dyDescent="0.35">
      <c r="A520" t="s">
        <v>514</v>
      </c>
      <c r="B520">
        <v>10.87</v>
      </c>
      <c r="C520">
        <v>8.67</v>
      </c>
      <c r="D520">
        <v>8.69</v>
      </c>
      <c r="E520">
        <v>13.73</v>
      </c>
      <c r="F520">
        <v>14.03</v>
      </c>
      <c r="G520">
        <v>13.89</v>
      </c>
      <c r="H520">
        <v>77.099999999999994</v>
      </c>
      <c r="I520">
        <v>65.2</v>
      </c>
      <c r="J520">
        <v>70.55</v>
      </c>
      <c r="K520">
        <v>5.87</v>
      </c>
      <c r="L520">
        <v>8.44</v>
      </c>
      <c r="M520">
        <v>6.85</v>
      </c>
      <c r="N520">
        <v>68.39</v>
      </c>
      <c r="O520">
        <v>72.319999999999993</v>
      </c>
      <c r="P520">
        <v>70.31</v>
      </c>
      <c r="Q520">
        <v>80.349999999999994</v>
      </c>
      <c r="R520">
        <v>54.63</v>
      </c>
      <c r="S520">
        <v>67.489999999999995</v>
      </c>
      <c r="T520">
        <v>636434</v>
      </c>
    </row>
    <row r="521" spans="1:41" x14ac:dyDescent="0.35">
      <c r="A521" t="s">
        <v>515</v>
      </c>
      <c r="B521">
        <v>9.51</v>
      </c>
      <c r="C521">
        <v>8.3699999999999992</v>
      </c>
      <c r="D521">
        <v>8.5500000000000007</v>
      </c>
      <c r="E521">
        <v>12.5</v>
      </c>
      <c r="F521">
        <v>12.2</v>
      </c>
      <c r="G521">
        <v>12.2</v>
      </c>
      <c r="H521">
        <v>73.14</v>
      </c>
      <c r="I521">
        <v>58.36</v>
      </c>
      <c r="J521">
        <v>67.36</v>
      </c>
      <c r="K521">
        <v>4.45</v>
      </c>
      <c r="L521">
        <v>4.54</v>
      </c>
      <c r="M521">
        <v>4.4800000000000004</v>
      </c>
      <c r="N521">
        <v>65.39</v>
      </c>
      <c r="O521">
        <v>69.34</v>
      </c>
      <c r="P521">
        <v>67.319999999999993</v>
      </c>
      <c r="Q521">
        <v>79</v>
      </c>
      <c r="R521">
        <v>49.23</v>
      </c>
      <c r="S521">
        <v>64.12</v>
      </c>
      <c r="T521">
        <v>71605</v>
      </c>
    </row>
    <row r="522" spans="1:41" x14ac:dyDescent="0.35">
      <c r="A522" t="s">
        <v>516</v>
      </c>
      <c r="B522">
        <v>9.74</v>
      </c>
      <c r="C522">
        <v>8.81</v>
      </c>
      <c r="D522">
        <v>9.02</v>
      </c>
      <c r="E522">
        <v>14.12</v>
      </c>
      <c r="F522">
        <v>13.95</v>
      </c>
      <c r="G522">
        <v>14.1</v>
      </c>
      <c r="H522">
        <v>75.47</v>
      </c>
      <c r="I522">
        <v>65.83</v>
      </c>
      <c r="J522">
        <v>70.599999999999994</v>
      </c>
      <c r="K522">
        <v>4.53</v>
      </c>
      <c r="L522">
        <v>4.16</v>
      </c>
      <c r="M522">
        <v>4.3899999999999997</v>
      </c>
      <c r="N522">
        <v>68.47</v>
      </c>
      <c r="O522">
        <v>72.400000000000006</v>
      </c>
      <c r="P522">
        <v>70.38</v>
      </c>
      <c r="Q522">
        <v>84.28</v>
      </c>
      <c r="R522">
        <v>54.64</v>
      </c>
      <c r="S522">
        <v>69.459999999999994</v>
      </c>
      <c r="T522">
        <v>124207</v>
      </c>
    </row>
    <row r="523" spans="1:41" x14ac:dyDescent="0.35">
      <c r="A523" t="s">
        <v>517</v>
      </c>
      <c r="B523">
        <v>9.8000000000000007</v>
      </c>
      <c r="C523">
        <v>8.06</v>
      </c>
      <c r="D523">
        <v>8.06</v>
      </c>
      <c r="E523">
        <v>14.07</v>
      </c>
      <c r="F523">
        <v>13.13</v>
      </c>
      <c r="G523">
        <v>13.32</v>
      </c>
      <c r="H523">
        <v>71.209999999999994</v>
      </c>
      <c r="I523">
        <v>60.14</v>
      </c>
      <c r="J523">
        <v>65.45</v>
      </c>
      <c r="K523">
        <v>4.7699999999999996</v>
      </c>
      <c r="L523">
        <v>0.91</v>
      </c>
      <c r="M523">
        <v>3.14</v>
      </c>
      <c r="N523">
        <v>65.47</v>
      </c>
      <c r="O523">
        <v>69.430000000000007</v>
      </c>
      <c r="P523">
        <v>67.400000000000006</v>
      </c>
      <c r="Q523">
        <v>76.61</v>
      </c>
      <c r="R523">
        <v>61.12</v>
      </c>
      <c r="S523">
        <v>68.87</v>
      </c>
      <c r="T523">
        <v>57297</v>
      </c>
    </row>
    <row r="524" spans="1:41" x14ac:dyDescent="0.35">
      <c r="A524" t="s">
        <v>518</v>
      </c>
      <c r="B524">
        <v>9.76</v>
      </c>
      <c r="C524">
        <v>7.41</v>
      </c>
      <c r="D524">
        <v>7.66</v>
      </c>
      <c r="E524">
        <v>14.53</v>
      </c>
      <c r="F524">
        <v>13.45</v>
      </c>
      <c r="G524">
        <v>13.52</v>
      </c>
      <c r="H524">
        <v>70.349999999999994</v>
      </c>
      <c r="I524">
        <v>56.29</v>
      </c>
      <c r="J524">
        <v>62.68</v>
      </c>
      <c r="K524">
        <v>6.35</v>
      </c>
      <c r="L524">
        <v>0.97</v>
      </c>
      <c r="M524">
        <v>3.78</v>
      </c>
      <c r="N524">
        <v>64.31</v>
      </c>
      <c r="O524">
        <v>68.209999999999994</v>
      </c>
      <c r="P524">
        <v>66.209999999999994</v>
      </c>
      <c r="Q524">
        <v>83.94</v>
      </c>
      <c r="R524">
        <v>77.06</v>
      </c>
      <c r="S524">
        <v>80.5</v>
      </c>
      <c r="T524">
        <v>48803</v>
      </c>
    </row>
    <row r="525" spans="1:41" x14ac:dyDescent="0.35">
      <c r="A525" t="s">
        <v>519</v>
      </c>
      <c r="B525">
        <v>8.18</v>
      </c>
      <c r="C525">
        <v>5.78</v>
      </c>
      <c r="D525">
        <v>6.01</v>
      </c>
      <c r="E525">
        <v>13.23</v>
      </c>
      <c r="F525">
        <v>11.79</v>
      </c>
      <c r="G525">
        <v>12.47</v>
      </c>
      <c r="H525">
        <v>68.19</v>
      </c>
      <c r="I525">
        <v>49.36</v>
      </c>
      <c r="J525">
        <v>59.28</v>
      </c>
      <c r="K525">
        <v>0.89</v>
      </c>
      <c r="L525">
        <v>3.48</v>
      </c>
      <c r="M525">
        <v>2.0299999999999998</v>
      </c>
      <c r="N525">
        <v>64.27</v>
      </c>
      <c r="O525">
        <v>68.16</v>
      </c>
      <c r="P525">
        <v>66.17</v>
      </c>
      <c r="Q525">
        <v>86.09</v>
      </c>
      <c r="R525">
        <v>73.239999999999995</v>
      </c>
      <c r="S525">
        <v>79.67</v>
      </c>
      <c r="T525">
        <v>32070</v>
      </c>
    </row>
    <row r="526" spans="1:41" x14ac:dyDescent="0.35">
      <c r="A526" t="s">
        <v>520</v>
      </c>
      <c r="B526">
        <v>11.74</v>
      </c>
      <c r="C526">
        <v>11.57</v>
      </c>
      <c r="D526">
        <v>11.59</v>
      </c>
      <c r="E526">
        <v>14.38</v>
      </c>
      <c r="F526">
        <v>14.68</v>
      </c>
      <c r="G526">
        <v>14.44</v>
      </c>
      <c r="H526">
        <v>84.89</v>
      </c>
      <c r="I526">
        <v>78.540000000000006</v>
      </c>
      <c r="J526">
        <v>81.03</v>
      </c>
      <c r="K526">
        <v>7.4</v>
      </c>
      <c r="L526">
        <v>15.59</v>
      </c>
      <c r="M526">
        <v>10.35</v>
      </c>
      <c r="N526">
        <v>71.44</v>
      </c>
      <c r="O526">
        <v>76</v>
      </c>
      <c r="P526">
        <v>73.66</v>
      </c>
      <c r="Q526">
        <v>78.61</v>
      </c>
      <c r="R526">
        <v>49.02</v>
      </c>
      <c r="S526">
        <v>63.82</v>
      </c>
      <c r="T526">
        <v>302452</v>
      </c>
    </row>
    <row r="527" spans="1:41" x14ac:dyDescent="0.35">
      <c r="A527" t="s">
        <v>521</v>
      </c>
      <c r="B527">
        <v>10.4</v>
      </c>
      <c r="C527">
        <v>9.91</v>
      </c>
      <c r="D527">
        <v>10.01</v>
      </c>
      <c r="E527">
        <v>13.66</v>
      </c>
      <c r="F527">
        <v>14.13</v>
      </c>
      <c r="G527">
        <v>13.94</v>
      </c>
      <c r="H527">
        <v>78.64</v>
      </c>
      <c r="I527">
        <v>71.31</v>
      </c>
      <c r="J527">
        <v>74.69</v>
      </c>
      <c r="K527">
        <v>6.51</v>
      </c>
      <c r="L527">
        <v>7.72</v>
      </c>
      <c r="M527">
        <v>6.96</v>
      </c>
      <c r="N527">
        <v>68.849999999999994</v>
      </c>
      <c r="O527">
        <v>72.790000000000006</v>
      </c>
      <c r="P527">
        <v>70.77</v>
      </c>
      <c r="Q527">
        <v>75.97</v>
      </c>
      <c r="R527">
        <v>50.54</v>
      </c>
      <c r="S527">
        <v>63.26</v>
      </c>
      <c r="T527">
        <v>4600432</v>
      </c>
    </row>
    <row r="528" spans="1:41" x14ac:dyDescent="0.35">
      <c r="A528" t="s">
        <v>532</v>
      </c>
      <c r="B528" t="s">
        <v>554</v>
      </c>
      <c r="C528" t="s">
        <v>554</v>
      </c>
      <c r="D528" t="s">
        <v>554</v>
      </c>
      <c r="E528" t="s">
        <v>554</v>
      </c>
      <c r="F528" t="s">
        <v>554</v>
      </c>
      <c r="G528" t="s">
        <v>554</v>
      </c>
      <c r="H528" t="s">
        <v>554</v>
      </c>
      <c r="I528" t="s">
        <v>554</v>
      </c>
      <c r="J528" t="s">
        <v>554</v>
      </c>
      <c r="K528">
        <v>4.1500000000000004</v>
      </c>
      <c r="L528">
        <v>4.6900000000000004</v>
      </c>
      <c r="M528">
        <v>4.3499999999999996</v>
      </c>
      <c r="N528" t="s">
        <v>554</v>
      </c>
      <c r="O528" t="s">
        <v>554</v>
      </c>
      <c r="P528" t="s">
        <v>554</v>
      </c>
      <c r="Q528" t="s">
        <v>554</v>
      </c>
      <c r="R528" t="s">
        <v>554</v>
      </c>
      <c r="S528" t="s">
        <v>554</v>
      </c>
      <c r="T528">
        <v>241544</v>
      </c>
    </row>
    <row r="529" spans="1:20" x14ac:dyDescent="0.35">
      <c r="A529" t="s">
        <v>547</v>
      </c>
      <c r="B529" t="s">
        <v>554</v>
      </c>
      <c r="C529" t="s">
        <v>554</v>
      </c>
      <c r="D529" t="s">
        <v>554</v>
      </c>
      <c r="E529" t="s">
        <v>554</v>
      </c>
      <c r="F529" t="s">
        <v>554</v>
      </c>
      <c r="G529" t="s">
        <v>554</v>
      </c>
      <c r="H529" t="s">
        <v>554</v>
      </c>
      <c r="I529" t="s">
        <v>554</v>
      </c>
      <c r="J529" t="s">
        <v>554</v>
      </c>
      <c r="K529">
        <v>3.19</v>
      </c>
      <c r="L529">
        <v>3.17</v>
      </c>
      <c r="M529">
        <v>3.18</v>
      </c>
      <c r="N529" t="s">
        <v>554</v>
      </c>
      <c r="O529" t="s">
        <v>554</v>
      </c>
      <c r="P529" t="s">
        <v>554</v>
      </c>
      <c r="Q529" t="s">
        <v>554</v>
      </c>
      <c r="R529" t="s">
        <v>554</v>
      </c>
      <c r="S529" t="s">
        <v>554</v>
      </c>
      <c r="T529">
        <v>283894</v>
      </c>
    </row>
    <row r="530" spans="1:20" x14ac:dyDescent="0.35">
      <c r="A530" t="s">
        <v>522</v>
      </c>
      <c r="B530">
        <v>11</v>
      </c>
      <c r="C530">
        <v>10.06</v>
      </c>
      <c r="D530">
        <v>10.77</v>
      </c>
      <c r="E530">
        <v>14.59</v>
      </c>
      <c r="F530">
        <v>14.86</v>
      </c>
      <c r="G530">
        <v>14.81</v>
      </c>
      <c r="H530">
        <v>80.209999999999994</v>
      </c>
      <c r="I530">
        <v>73.8</v>
      </c>
      <c r="J530">
        <v>76.14</v>
      </c>
      <c r="K530">
        <v>7.4</v>
      </c>
      <c r="L530">
        <v>10.78</v>
      </c>
      <c r="M530">
        <v>8.66</v>
      </c>
      <c r="N530">
        <v>68.900000000000006</v>
      </c>
      <c r="O530">
        <v>72.84</v>
      </c>
      <c r="P530">
        <v>70.819999999999993</v>
      </c>
      <c r="Q530">
        <v>77.66</v>
      </c>
      <c r="R530">
        <v>50.87</v>
      </c>
      <c r="S530">
        <v>64.27</v>
      </c>
      <c r="T530">
        <v>174850</v>
      </c>
    </row>
    <row r="531" spans="1:20" x14ac:dyDescent="0.35">
      <c r="A531" t="s">
        <v>540</v>
      </c>
      <c r="B531" t="s">
        <v>554</v>
      </c>
      <c r="C531" t="s">
        <v>554</v>
      </c>
      <c r="D531" t="s">
        <v>554</v>
      </c>
      <c r="E531" t="s">
        <v>554</v>
      </c>
      <c r="F531" t="s">
        <v>554</v>
      </c>
      <c r="G531" t="s">
        <v>554</v>
      </c>
      <c r="H531" t="s">
        <v>554</v>
      </c>
      <c r="I531" t="s">
        <v>554</v>
      </c>
      <c r="J531" t="s">
        <v>554</v>
      </c>
      <c r="K531">
        <v>3.23</v>
      </c>
      <c r="L531">
        <v>3.03</v>
      </c>
      <c r="M531">
        <v>3.16</v>
      </c>
      <c r="N531" t="s">
        <v>554</v>
      </c>
      <c r="O531" t="s">
        <v>554</v>
      </c>
      <c r="P531" t="s">
        <v>554</v>
      </c>
      <c r="Q531" t="s">
        <v>554</v>
      </c>
      <c r="R531" t="s">
        <v>554</v>
      </c>
      <c r="S531" t="s">
        <v>554</v>
      </c>
      <c r="T531">
        <v>176930</v>
      </c>
    </row>
    <row r="532" spans="1:20" x14ac:dyDescent="0.35">
      <c r="A532" t="s">
        <v>523</v>
      </c>
      <c r="B532">
        <v>10.44</v>
      </c>
      <c r="C532">
        <v>9.06</v>
      </c>
      <c r="D532">
        <v>9.8000000000000007</v>
      </c>
      <c r="E532">
        <v>12.95</v>
      </c>
      <c r="F532">
        <v>13.46</v>
      </c>
      <c r="G532">
        <v>13</v>
      </c>
      <c r="H532">
        <v>75.83</v>
      </c>
      <c r="I532">
        <v>68.56</v>
      </c>
      <c r="J532">
        <v>70.930000000000007</v>
      </c>
      <c r="K532">
        <v>5.32</v>
      </c>
      <c r="L532">
        <v>8.92</v>
      </c>
      <c r="M532">
        <v>6.58</v>
      </c>
      <c r="N532">
        <v>69.12</v>
      </c>
      <c r="O532">
        <v>73.08</v>
      </c>
      <c r="P532">
        <v>71.05</v>
      </c>
      <c r="Q532">
        <v>70.09</v>
      </c>
      <c r="R532">
        <v>40.950000000000003</v>
      </c>
      <c r="S532">
        <v>55.52</v>
      </c>
      <c r="T532">
        <v>120122</v>
      </c>
    </row>
    <row r="533" spans="1:20" x14ac:dyDescent="0.35">
      <c r="A533" t="s">
        <v>524</v>
      </c>
      <c r="B533">
        <v>10.96</v>
      </c>
      <c r="C533">
        <v>10.27</v>
      </c>
      <c r="D533">
        <v>10.69</v>
      </c>
      <c r="E533">
        <v>14.26</v>
      </c>
      <c r="F533">
        <v>14.24</v>
      </c>
      <c r="G533">
        <v>14.25</v>
      </c>
      <c r="H533">
        <v>79.98</v>
      </c>
      <c r="I533">
        <v>73.14</v>
      </c>
      <c r="J533">
        <v>75.48</v>
      </c>
      <c r="K533">
        <v>7.06</v>
      </c>
      <c r="L533">
        <v>6.32</v>
      </c>
      <c r="M533">
        <v>6.74</v>
      </c>
      <c r="N533">
        <v>69.28</v>
      </c>
      <c r="O533">
        <v>73.239999999999995</v>
      </c>
      <c r="P533">
        <v>71.209999999999994</v>
      </c>
      <c r="Q533">
        <v>81.3</v>
      </c>
      <c r="R533">
        <v>66.05</v>
      </c>
      <c r="S533">
        <v>73.680000000000007</v>
      </c>
      <c r="T533">
        <v>142790</v>
      </c>
    </row>
    <row r="534" spans="1:20" x14ac:dyDescent="0.35">
      <c r="A534" t="s">
        <v>541</v>
      </c>
      <c r="B534" t="s">
        <v>554</v>
      </c>
      <c r="C534" t="s">
        <v>554</v>
      </c>
      <c r="D534" t="s">
        <v>554</v>
      </c>
      <c r="E534" t="s">
        <v>554</v>
      </c>
      <c r="F534" t="s">
        <v>554</v>
      </c>
      <c r="G534" t="s">
        <v>554</v>
      </c>
      <c r="H534" t="s">
        <v>554</v>
      </c>
      <c r="I534" t="s">
        <v>554</v>
      </c>
      <c r="J534" t="s">
        <v>554</v>
      </c>
      <c r="K534">
        <v>3.82</v>
      </c>
      <c r="L534">
        <v>4.5599999999999996</v>
      </c>
      <c r="M534">
        <v>4.13</v>
      </c>
      <c r="N534" t="s">
        <v>554</v>
      </c>
      <c r="O534" t="s">
        <v>554</v>
      </c>
      <c r="P534" t="s">
        <v>554</v>
      </c>
      <c r="Q534" t="s">
        <v>554</v>
      </c>
      <c r="R534" t="s">
        <v>554</v>
      </c>
      <c r="S534" t="s">
        <v>554</v>
      </c>
      <c r="T534">
        <v>240343</v>
      </c>
    </row>
    <row r="535" spans="1:20" x14ac:dyDescent="0.35">
      <c r="A535" t="s">
        <v>544</v>
      </c>
      <c r="B535" t="s">
        <v>554</v>
      </c>
      <c r="C535" t="s">
        <v>554</v>
      </c>
      <c r="D535" t="s">
        <v>554</v>
      </c>
      <c r="E535" t="s">
        <v>554</v>
      </c>
      <c r="F535" t="s">
        <v>554</v>
      </c>
      <c r="G535" t="s">
        <v>554</v>
      </c>
      <c r="H535" t="s">
        <v>554</v>
      </c>
      <c r="I535" t="s">
        <v>554</v>
      </c>
      <c r="J535" t="s">
        <v>554</v>
      </c>
      <c r="K535">
        <v>1.23</v>
      </c>
      <c r="L535">
        <v>1.52</v>
      </c>
      <c r="M535">
        <v>1.36</v>
      </c>
      <c r="N535" t="s">
        <v>554</v>
      </c>
      <c r="O535" t="s">
        <v>554</v>
      </c>
      <c r="P535" t="s">
        <v>554</v>
      </c>
      <c r="Q535" t="s">
        <v>554</v>
      </c>
      <c r="R535" t="s">
        <v>554</v>
      </c>
      <c r="S535" t="s">
        <v>554</v>
      </c>
      <c r="T535">
        <v>237443</v>
      </c>
    </row>
    <row r="536" spans="1:20" x14ac:dyDescent="0.35">
      <c r="A536" t="s">
        <v>537</v>
      </c>
      <c r="B536" t="s">
        <v>554</v>
      </c>
      <c r="C536" t="s">
        <v>554</v>
      </c>
      <c r="D536" t="s">
        <v>554</v>
      </c>
      <c r="E536" t="s">
        <v>554</v>
      </c>
      <c r="F536" t="s">
        <v>554</v>
      </c>
      <c r="G536" t="s">
        <v>554</v>
      </c>
      <c r="H536" t="s">
        <v>554</v>
      </c>
      <c r="I536" t="s">
        <v>554</v>
      </c>
      <c r="J536" t="s">
        <v>554</v>
      </c>
      <c r="K536">
        <v>6.78</v>
      </c>
      <c r="L536">
        <v>6.68</v>
      </c>
      <c r="M536">
        <v>6.75</v>
      </c>
      <c r="N536" t="s">
        <v>554</v>
      </c>
      <c r="O536" t="s">
        <v>554</v>
      </c>
      <c r="P536" t="s">
        <v>554</v>
      </c>
      <c r="Q536" t="s">
        <v>554</v>
      </c>
      <c r="R536" t="s">
        <v>554</v>
      </c>
      <c r="S536" t="s">
        <v>554</v>
      </c>
      <c r="T536">
        <v>331628</v>
      </c>
    </row>
    <row r="537" spans="1:20" x14ac:dyDescent="0.35">
      <c r="A537" t="s">
        <v>533</v>
      </c>
      <c r="B537" t="s">
        <v>554</v>
      </c>
      <c r="C537" t="s">
        <v>554</v>
      </c>
      <c r="D537" t="s">
        <v>554</v>
      </c>
      <c r="E537" t="s">
        <v>554</v>
      </c>
      <c r="F537" t="s">
        <v>554</v>
      </c>
      <c r="G537" t="s">
        <v>554</v>
      </c>
      <c r="H537" t="s">
        <v>554</v>
      </c>
      <c r="I537" t="s">
        <v>554</v>
      </c>
      <c r="J537" t="s">
        <v>554</v>
      </c>
      <c r="K537">
        <v>4.43</v>
      </c>
      <c r="L537">
        <v>2.2400000000000002</v>
      </c>
      <c r="M537">
        <v>3.66</v>
      </c>
      <c r="N537" t="s">
        <v>554</v>
      </c>
      <c r="O537" t="s">
        <v>554</v>
      </c>
      <c r="P537" t="s">
        <v>554</v>
      </c>
      <c r="Q537" t="s">
        <v>554</v>
      </c>
      <c r="R537" t="s">
        <v>554</v>
      </c>
      <c r="S537" t="s">
        <v>554</v>
      </c>
      <c r="T537">
        <v>70275</v>
      </c>
    </row>
    <row r="538" spans="1:20" x14ac:dyDescent="0.35">
      <c r="A538" t="s">
        <v>534</v>
      </c>
      <c r="B538" t="s">
        <v>554</v>
      </c>
      <c r="C538" t="s">
        <v>554</v>
      </c>
      <c r="D538" t="s">
        <v>554</v>
      </c>
      <c r="E538" t="s">
        <v>554</v>
      </c>
      <c r="F538" t="s">
        <v>554</v>
      </c>
      <c r="G538" t="s">
        <v>554</v>
      </c>
      <c r="H538" t="s">
        <v>554</v>
      </c>
      <c r="I538" t="s">
        <v>554</v>
      </c>
      <c r="J538" t="s">
        <v>554</v>
      </c>
      <c r="K538">
        <v>7.08</v>
      </c>
      <c r="L538">
        <v>3.47</v>
      </c>
      <c r="M538">
        <v>5.61</v>
      </c>
      <c r="N538" t="s">
        <v>554</v>
      </c>
      <c r="O538" t="s">
        <v>554</v>
      </c>
      <c r="P538" t="s">
        <v>554</v>
      </c>
      <c r="Q538" t="s">
        <v>554</v>
      </c>
      <c r="R538" t="s">
        <v>554</v>
      </c>
      <c r="S538" t="s">
        <v>554</v>
      </c>
      <c r="T538">
        <v>116948</v>
      </c>
    </row>
    <row r="539" spans="1:20" x14ac:dyDescent="0.35">
      <c r="A539" t="s">
        <v>535</v>
      </c>
      <c r="B539" t="s">
        <v>554</v>
      </c>
      <c r="C539" t="s">
        <v>554</v>
      </c>
      <c r="D539" t="s">
        <v>554</v>
      </c>
      <c r="E539" t="s">
        <v>554</v>
      </c>
      <c r="F539" t="s">
        <v>554</v>
      </c>
      <c r="G539" t="s">
        <v>554</v>
      </c>
      <c r="H539" t="s">
        <v>554</v>
      </c>
      <c r="I539" t="s">
        <v>554</v>
      </c>
      <c r="J539" t="s">
        <v>554</v>
      </c>
      <c r="K539">
        <v>3.33</v>
      </c>
      <c r="L539">
        <v>0.41</v>
      </c>
      <c r="M539">
        <v>2.0699999999999998</v>
      </c>
      <c r="N539" t="s">
        <v>554</v>
      </c>
      <c r="O539" t="s">
        <v>554</v>
      </c>
      <c r="P539" t="s">
        <v>554</v>
      </c>
      <c r="Q539" t="s">
        <v>554</v>
      </c>
      <c r="R539" t="s">
        <v>554</v>
      </c>
      <c r="S539" t="s">
        <v>554</v>
      </c>
      <c r="T539">
        <v>120884</v>
      </c>
    </row>
    <row r="540" spans="1:20" x14ac:dyDescent="0.35">
      <c r="A540" t="s">
        <v>552</v>
      </c>
      <c r="B540" t="s">
        <v>554</v>
      </c>
      <c r="C540" t="s">
        <v>554</v>
      </c>
      <c r="D540" t="s">
        <v>554</v>
      </c>
      <c r="E540" t="s">
        <v>554</v>
      </c>
      <c r="F540" t="s">
        <v>554</v>
      </c>
      <c r="G540" t="s">
        <v>554</v>
      </c>
      <c r="H540" t="s">
        <v>554</v>
      </c>
      <c r="I540" t="s">
        <v>554</v>
      </c>
      <c r="J540" t="s">
        <v>554</v>
      </c>
      <c r="K540">
        <v>1.37</v>
      </c>
      <c r="L540">
        <v>2.29</v>
      </c>
      <c r="M540">
        <v>1.78</v>
      </c>
      <c r="N540" t="s">
        <v>554</v>
      </c>
      <c r="O540" t="s">
        <v>554</v>
      </c>
      <c r="P540" t="s">
        <v>554</v>
      </c>
      <c r="Q540" t="s">
        <v>554</v>
      </c>
      <c r="R540" t="s">
        <v>554</v>
      </c>
      <c r="S540" t="s">
        <v>554</v>
      </c>
      <c r="T540">
        <v>377486</v>
      </c>
    </row>
    <row r="541" spans="1:20" x14ac:dyDescent="0.35">
      <c r="A541" t="s">
        <v>553</v>
      </c>
      <c r="B541" t="s">
        <v>554</v>
      </c>
      <c r="C541" t="s">
        <v>554</v>
      </c>
      <c r="D541" t="s">
        <v>554</v>
      </c>
      <c r="E541" t="s">
        <v>554</v>
      </c>
      <c r="F541" t="s">
        <v>554</v>
      </c>
      <c r="G541" t="s">
        <v>554</v>
      </c>
      <c r="H541" t="s">
        <v>554</v>
      </c>
      <c r="I541" t="s">
        <v>554</v>
      </c>
      <c r="J541" t="s">
        <v>554</v>
      </c>
      <c r="K541">
        <v>3.58</v>
      </c>
      <c r="L541">
        <v>2.11</v>
      </c>
      <c r="M541">
        <v>2.92</v>
      </c>
      <c r="N541" t="s">
        <v>554</v>
      </c>
      <c r="O541" t="s">
        <v>554</v>
      </c>
      <c r="P541" t="s">
        <v>554</v>
      </c>
      <c r="Q541" t="s">
        <v>554</v>
      </c>
      <c r="R541" t="s">
        <v>554</v>
      </c>
      <c r="S541" t="s">
        <v>554</v>
      </c>
      <c r="T541">
        <v>84709</v>
      </c>
    </row>
    <row r="542" spans="1:20" x14ac:dyDescent="0.35">
      <c r="A542" t="s">
        <v>549</v>
      </c>
      <c r="B542" t="s">
        <v>554</v>
      </c>
      <c r="C542" t="s">
        <v>554</v>
      </c>
      <c r="D542" t="s">
        <v>554</v>
      </c>
      <c r="E542" t="s">
        <v>554</v>
      </c>
      <c r="F542" t="s">
        <v>554</v>
      </c>
      <c r="G542" t="s">
        <v>554</v>
      </c>
      <c r="H542" t="s">
        <v>554</v>
      </c>
      <c r="I542" t="s">
        <v>554</v>
      </c>
      <c r="J542" t="s">
        <v>554</v>
      </c>
      <c r="K542">
        <v>0.66</v>
      </c>
      <c r="L542">
        <v>1.36</v>
      </c>
      <c r="M542">
        <v>0.98</v>
      </c>
      <c r="N542" t="s">
        <v>554</v>
      </c>
      <c r="O542" t="s">
        <v>554</v>
      </c>
      <c r="P542" t="s">
        <v>554</v>
      </c>
      <c r="Q542" t="s">
        <v>554</v>
      </c>
      <c r="R542" t="s">
        <v>554</v>
      </c>
      <c r="S542" t="s">
        <v>554</v>
      </c>
      <c r="T542">
        <v>248306</v>
      </c>
    </row>
    <row r="543" spans="1:20" x14ac:dyDescent="0.35">
      <c r="A543" t="s">
        <v>525</v>
      </c>
      <c r="B543">
        <v>10.06</v>
      </c>
      <c r="C543">
        <v>9.19</v>
      </c>
      <c r="D543">
        <v>9.7899999999999991</v>
      </c>
      <c r="E543">
        <v>13.14</v>
      </c>
      <c r="F543">
        <v>12.61</v>
      </c>
      <c r="G543">
        <v>12.61</v>
      </c>
      <c r="H543">
        <v>74.11</v>
      </c>
      <c r="I543">
        <v>62.87</v>
      </c>
      <c r="J543">
        <v>68.78</v>
      </c>
      <c r="K543">
        <v>4.32</v>
      </c>
      <c r="L543">
        <v>4.4400000000000004</v>
      </c>
      <c r="M543">
        <v>4.37</v>
      </c>
      <c r="N543">
        <v>68.34</v>
      </c>
      <c r="O543">
        <v>72.27</v>
      </c>
      <c r="P543">
        <v>70.25</v>
      </c>
      <c r="Q543">
        <v>80.36</v>
      </c>
      <c r="R543">
        <v>63.94</v>
      </c>
      <c r="S543">
        <v>72.150000000000006</v>
      </c>
      <c r="T543">
        <v>43475</v>
      </c>
    </row>
    <row r="544" spans="1:20" x14ac:dyDescent="0.35">
      <c r="A544" t="s">
        <v>526</v>
      </c>
      <c r="B544">
        <v>9.09</v>
      </c>
      <c r="C544">
        <v>8.27</v>
      </c>
      <c r="D544">
        <v>8.7799999999999994</v>
      </c>
      <c r="E544">
        <v>12.73</v>
      </c>
      <c r="F544">
        <v>12.52</v>
      </c>
      <c r="G544">
        <v>12.53</v>
      </c>
      <c r="H544">
        <v>75.069999999999993</v>
      </c>
      <c r="I544">
        <v>66.56</v>
      </c>
      <c r="J544">
        <v>70.430000000000007</v>
      </c>
      <c r="K544">
        <v>3.75</v>
      </c>
      <c r="L544">
        <v>4.04</v>
      </c>
      <c r="M544">
        <v>3.87</v>
      </c>
      <c r="N544">
        <v>68.37</v>
      </c>
      <c r="O544">
        <v>72.31</v>
      </c>
      <c r="P544">
        <v>70.290000000000006</v>
      </c>
      <c r="Q544">
        <v>87.71</v>
      </c>
      <c r="R544">
        <v>68.69</v>
      </c>
      <c r="S544">
        <v>78.2</v>
      </c>
      <c r="T544">
        <v>64833</v>
      </c>
    </row>
    <row r="545" spans="1:20" x14ac:dyDescent="0.35">
      <c r="A545" t="s">
        <v>527</v>
      </c>
      <c r="B545">
        <v>9.94</v>
      </c>
      <c r="C545">
        <v>8.75</v>
      </c>
      <c r="D545">
        <v>9.43</v>
      </c>
      <c r="E545">
        <v>13.04</v>
      </c>
      <c r="F545">
        <v>12.96</v>
      </c>
      <c r="G545">
        <v>12.96</v>
      </c>
      <c r="H545">
        <v>74.709999999999994</v>
      </c>
      <c r="I545">
        <v>54.53</v>
      </c>
      <c r="J545">
        <v>68.91</v>
      </c>
      <c r="K545">
        <v>7.31</v>
      </c>
      <c r="L545">
        <v>3.78</v>
      </c>
      <c r="M545">
        <v>5.98</v>
      </c>
      <c r="N545">
        <v>68.02</v>
      </c>
      <c r="O545">
        <v>71.959999999999994</v>
      </c>
      <c r="P545">
        <v>69.94</v>
      </c>
      <c r="Q545">
        <v>76.36</v>
      </c>
      <c r="R545">
        <v>52.94</v>
      </c>
      <c r="S545">
        <v>64.650000000000006</v>
      </c>
      <c r="T545">
        <v>36295</v>
      </c>
    </row>
    <row r="546" spans="1:20" x14ac:dyDescent="0.35">
      <c r="A546" t="s">
        <v>528</v>
      </c>
      <c r="B546">
        <v>9.8699999999999992</v>
      </c>
      <c r="C546">
        <v>8.5500000000000007</v>
      </c>
      <c r="D546">
        <v>9.39</v>
      </c>
      <c r="E546">
        <v>13.83</v>
      </c>
      <c r="F546">
        <v>12.96</v>
      </c>
      <c r="G546">
        <v>13.21</v>
      </c>
      <c r="H546">
        <v>73.12</v>
      </c>
      <c r="I546">
        <v>57.99</v>
      </c>
      <c r="J546">
        <v>67.3</v>
      </c>
      <c r="K546">
        <v>9.1199999999999992</v>
      </c>
      <c r="L546">
        <v>4.57</v>
      </c>
      <c r="M546">
        <v>7.32</v>
      </c>
      <c r="N546">
        <v>68.069999999999993</v>
      </c>
      <c r="O546">
        <v>72.010000000000005</v>
      </c>
      <c r="P546">
        <v>70</v>
      </c>
      <c r="Q546">
        <v>66.739999999999995</v>
      </c>
      <c r="R546">
        <v>47.44</v>
      </c>
      <c r="S546">
        <v>57.09</v>
      </c>
      <c r="T546">
        <v>25028</v>
      </c>
    </row>
    <row r="547" spans="1:20" x14ac:dyDescent="0.35">
      <c r="A547" t="s">
        <v>529</v>
      </c>
      <c r="B547">
        <v>7.1</v>
      </c>
      <c r="C547">
        <v>5.32</v>
      </c>
      <c r="D547">
        <v>6.74</v>
      </c>
      <c r="E547">
        <v>12.26</v>
      </c>
      <c r="F547">
        <v>11.92</v>
      </c>
      <c r="G547">
        <v>12.05</v>
      </c>
      <c r="H547">
        <v>65.680000000000007</v>
      </c>
      <c r="I547">
        <v>55.35</v>
      </c>
      <c r="J547">
        <v>60.48</v>
      </c>
      <c r="K547">
        <v>1.78</v>
      </c>
      <c r="L547">
        <v>3.99</v>
      </c>
      <c r="M547">
        <v>2.41</v>
      </c>
      <c r="N547">
        <v>67.27</v>
      </c>
      <c r="O547">
        <v>71.239999999999995</v>
      </c>
      <c r="P547">
        <v>69.209999999999994</v>
      </c>
      <c r="Q547">
        <v>65.7</v>
      </c>
      <c r="R547">
        <v>28.98</v>
      </c>
      <c r="S547">
        <v>47.34</v>
      </c>
      <c r="T547">
        <v>40135</v>
      </c>
    </row>
    <row r="548" spans="1:20" x14ac:dyDescent="0.35">
      <c r="A548" t="s">
        <v>546</v>
      </c>
      <c r="B548" t="s">
        <v>554</v>
      </c>
      <c r="C548" t="s">
        <v>554</v>
      </c>
      <c r="D548" t="s">
        <v>554</v>
      </c>
      <c r="E548" t="s">
        <v>554</v>
      </c>
      <c r="F548" t="s">
        <v>554</v>
      </c>
      <c r="G548" t="s">
        <v>554</v>
      </c>
      <c r="H548" t="s">
        <v>554</v>
      </c>
      <c r="I548" t="s">
        <v>554</v>
      </c>
      <c r="J548" t="s">
        <v>554</v>
      </c>
      <c r="K548">
        <v>2</v>
      </c>
      <c r="L548">
        <v>1.68</v>
      </c>
      <c r="M548">
        <v>1.85</v>
      </c>
      <c r="N548" t="s">
        <v>554</v>
      </c>
      <c r="O548" t="s">
        <v>554</v>
      </c>
      <c r="P548" t="s">
        <v>554</v>
      </c>
      <c r="Q548" t="s">
        <v>554</v>
      </c>
      <c r="R548" t="s">
        <v>554</v>
      </c>
      <c r="S548" t="s">
        <v>554</v>
      </c>
      <c r="T548">
        <v>114889</v>
      </c>
    </row>
    <row r="549" spans="1:20" x14ac:dyDescent="0.35">
      <c r="A549" t="s">
        <v>548</v>
      </c>
      <c r="B549" t="s">
        <v>554</v>
      </c>
      <c r="C549" t="s">
        <v>554</v>
      </c>
      <c r="D549" t="s">
        <v>554</v>
      </c>
      <c r="E549" t="s">
        <v>554</v>
      </c>
      <c r="F549" t="s">
        <v>554</v>
      </c>
      <c r="G549" t="s">
        <v>554</v>
      </c>
      <c r="H549" t="s">
        <v>554</v>
      </c>
      <c r="I549" t="s">
        <v>554</v>
      </c>
      <c r="J549" t="s">
        <v>554</v>
      </c>
      <c r="K549">
        <v>0.35</v>
      </c>
      <c r="L549">
        <v>0.67</v>
      </c>
      <c r="M549">
        <v>0.5</v>
      </c>
      <c r="N549" t="s">
        <v>554</v>
      </c>
      <c r="O549" t="s">
        <v>554</v>
      </c>
      <c r="P549" t="s">
        <v>554</v>
      </c>
      <c r="Q549" t="s">
        <v>554</v>
      </c>
      <c r="R549" t="s">
        <v>554</v>
      </c>
      <c r="S549" t="s">
        <v>554</v>
      </c>
      <c r="T549">
        <v>211334</v>
      </c>
    </row>
    <row r="550" spans="1:20" x14ac:dyDescent="0.35">
      <c r="A550" t="s">
        <v>550</v>
      </c>
      <c r="B550" t="s">
        <v>554</v>
      </c>
      <c r="C550" t="s">
        <v>554</v>
      </c>
      <c r="D550" t="s">
        <v>554</v>
      </c>
      <c r="E550" t="s">
        <v>554</v>
      </c>
      <c r="F550" t="s">
        <v>554</v>
      </c>
      <c r="G550" t="s">
        <v>554</v>
      </c>
      <c r="H550" t="s">
        <v>554</v>
      </c>
      <c r="I550" t="s">
        <v>554</v>
      </c>
      <c r="J550" t="s">
        <v>554</v>
      </c>
      <c r="K550">
        <v>4.1500000000000004</v>
      </c>
      <c r="L550">
        <v>1.29</v>
      </c>
      <c r="M550">
        <v>2.86</v>
      </c>
      <c r="N550" t="s">
        <v>554</v>
      </c>
      <c r="O550" t="s">
        <v>554</v>
      </c>
      <c r="P550" t="s">
        <v>554</v>
      </c>
      <c r="Q550" t="s">
        <v>554</v>
      </c>
      <c r="R550" t="s">
        <v>554</v>
      </c>
      <c r="S550" t="s">
        <v>554</v>
      </c>
      <c r="T550">
        <v>54365</v>
      </c>
    </row>
    <row r="551" spans="1:20" x14ac:dyDescent="0.35">
      <c r="A551" t="s">
        <v>551</v>
      </c>
      <c r="B551" t="s">
        <v>554</v>
      </c>
      <c r="C551" t="s">
        <v>554</v>
      </c>
      <c r="D551" t="s">
        <v>554</v>
      </c>
      <c r="E551" t="s">
        <v>554</v>
      </c>
      <c r="F551" t="s">
        <v>554</v>
      </c>
      <c r="G551" t="s">
        <v>554</v>
      </c>
      <c r="H551" t="s">
        <v>554</v>
      </c>
      <c r="I551" t="s">
        <v>554</v>
      </c>
      <c r="J551" t="s">
        <v>554</v>
      </c>
      <c r="K551">
        <v>0.14000000000000001</v>
      </c>
      <c r="L551">
        <v>1.3</v>
      </c>
      <c r="M551">
        <v>0.68</v>
      </c>
      <c r="N551" t="s">
        <v>554</v>
      </c>
      <c r="O551" t="s">
        <v>554</v>
      </c>
      <c r="P551" t="s">
        <v>554</v>
      </c>
      <c r="Q551" t="s">
        <v>554</v>
      </c>
      <c r="R551" t="s">
        <v>554</v>
      </c>
      <c r="S551" t="s">
        <v>554</v>
      </c>
      <c r="T551">
        <v>109875</v>
      </c>
    </row>
    <row r="552" spans="1:20" x14ac:dyDescent="0.35">
      <c r="A552" t="s">
        <v>543</v>
      </c>
      <c r="B552" t="s">
        <v>554</v>
      </c>
      <c r="C552" t="s">
        <v>554</v>
      </c>
      <c r="D552" t="s">
        <v>554</v>
      </c>
      <c r="E552" t="s">
        <v>554</v>
      </c>
      <c r="F552" t="s">
        <v>554</v>
      </c>
      <c r="G552" t="s">
        <v>554</v>
      </c>
      <c r="H552" t="s">
        <v>554</v>
      </c>
      <c r="I552" t="s">
        <v>554</v>
      </c>
      <c r="J552" t="s">
        <v>554</v>
      </c>
      <c r="K552">
        <v>0</v>
      </c>
      <c r="L552">
        <v>0.3</v>
      </c>
      <c r="M552">
        <v>0.14000000000000001</v>
      </c>
      <c r="N552" t="s">
        <v>554</v>
      </c>
      <c r="O552" t="s">
        <v>554</v>
      </c>
      <c r="P552" t="s">
        <v>554</v>
      </c>
      <c r="Q552" t="s">
        <v>554</v>
      </c>
      <c r="R552" t="s">
        <v>554</v>
      </c>
      <c r="S552" t="s">
        <v>554</v>
      </c>
      <c r="T552">
        <v>124408</v>
      </c>
    </row>
    <row r="553" spans="1:20" x14ac:dyDescent="0.35">
      <c r="A553" t="s">
        <v>538</v>
      </c>
      <c r="B553" t="s">
        <v>554</v>
      </c>
      <c r="C553" t="s">
        <v>554</v>
      </c>
      <c r="D553" t="s">
        <v>554</v>
      </c>
      <c r="E553" t="s">
        <v>554</v>
      </c>
      <c r="F553" t="s">
        <v>554</v>
      </c>
      <c r="G553" t="s">
        <v>554</v>
      </c>
      <c r="H553" t="s">
        <v>554</v>
      </c>
      <c r="I553" t="s">
        <v>554</v>
      </c>
      <c r="J553" t="s">
        <v>554</v>
      </c>
      <c r="K553">
        <v>2.4300000000000002</v>
      </c>
      <c r="L553">
        <v>2.1800000000000002</v>
      </c>
      <c r="M553">
        <v>2.3199999999999998</v>
      </c>
      <c r="N553" t="s">
        <v>554</v>
      </c>
      <c r="O553" t="s">
        <v>554</v>
      </c>
      <c r="P553" t="s">
        <v>554</v>
      </c>
      <c r="Q553" t="s">
        <v>554</v>
      </c>
      <c r="R553" t="s">
        <v>554</v>
      </c>
      <c r="S553" t="s">
        <v>554</v>
      </c>
      <c r="T553">
        <v>127270</v>
      </c>
    </row>
    <row r="554" spans="1:20" x14ac:dyDescent="0.35">
      <c r="A554" t="s">
        <v>542</v>
      </c>
      <c r="B554" t="s">
        <v>554</v>
      </c>
      <c r="C554" t="s">
        <v>554</v>
      </c>
      <c r="D554" t="s">
        <v>554</v>
      </c>
      <c r="E554" t="s">
        <v>554</v>
      </c>
      <c r="F554" t="s">
        <v>554</v>
      </c>
      <c r="G554" t="s">
        <v>554</v>
      </c>
      <c r="H554" t="s">
        <v>554</v>
      </c>
      <c r="I554" t="s">
        <v>554</v>
      </c>
      <c r="J554" t="s">
        <v>554</v>
      </c>
      <c r="K554">
        <v>7.43</v>
      </c>
      <c r="L554">
        <v>8.81</v>
      </c>
      <c r="M554">
        <v>8.0500000000000007</v>
      </c>
      <c r="N554" t="s">
        <v>554</v>
      </c>
      <c r="O554" t="s">
        <v>554</v>
      </c>
      <c r="P554" t="s">
        <v>554</v>
      </c>
      <c r="Q554" t="s">
        <v>554</v>
      </c>
      <c r="R554" t="s">
        <v>554</v>
      </c>
      <c r="S554" t="s">
        <v>554</v>
      </c>
      <c r="T554">
        <v>145902</v>
      </c>
    </row>
    <row r="555" spans="1:20" x14ac:dyDescent="0.35">
      <c r="A555" t="s">
        <v>539</v>
      </c>
      <c r="B555" t="s">
        <v>554</v>
      </c>
      <c r="C555" t="s">
        <v>554</v>
      </c>
      <c r="D555" t="s">
        <v>554</v>
      </c>
      <c r="E555" t="s">
        <v>554</v>
      </c>
      <c r="F555" t="s">
        <v>554</v>
      </c>
      <c r="G555" t="s">
        <v>554</v>
      </c>
      <c r="H555" t="s">
        <v>554</v>
      </c>
      <c r="I555" t="s">
        <v>554</v>
      </c>
      <c r="J555" t="s">
        <v>554</v>
      </c>
      <c r="K555">
        <v>3.74</v>
      </c>
      <c r="L555">
        <v>3.42</v>
      </c>
      <c r="M555">
        <v>3.59</v>
      </c>
      <c r="N555" t="s">
        <v>554</v>
      </c>
      <c r="O555" t="s">
        <v>554</v>
      </c>
      <c r="P555" t="s">
        <v>554</v>
      </c>
      <c r="Q555" t="s">
        <v>554</v>
      </c>
      <c r="R555" t="s">
        <v>554</v>
      </c>
      <c r="S555" t="s">
        <v>554</v>
      </c>
      <c r="T555">
        <v>108362</v>
      </c>
    </row>
    <row r="556" spans="1:20" x14ac:dyDescent="0.35">
      <c r="A556" t="s">
        <v>530</v>
      </c>
      <c r="B556">
        <v>12.4</v>
      </c>
      <c r="C556">
        <v>11.91</v>
      </c>
      <c r="D556">
        <v>12.08</v>
      </c>
      <c r="E556">
        <v>15.54</v>
      </c>
      <c r="F556">
        <v>15.27</v>
      </c>
      <c r="G556">
        <v>15.28</v>
      </c>
      <c r="H556">
        <v>85.1</v>
      </c>
      <c r="I556">
        <v>80.900000000000006</v>
      </c>
      <c r="J556">
        <v>82.26</v>
      </c>
      <c r="K556">
        <v>7.13</v>
      </c>
      <c r="L556">
        <v>8.6999999999999993</v>
      </c>
      <c r="M556">
        <v>7.68</v>
      </c>
      <c r="N556">
        <v>70.38</v>
      </c>
      <c r="O556">
        <v>74.39</v>
      </c>
      <c r="P556">
        <v>72.34</v>
      </c>
      <c r="Q556">
        <v>74.5</v>
      </c>
      <c r="R556">
        <v>46</v>
      </c>
      <c r="S556">
        <v>60.25</v>
      </c>
      <c r="T556">
        <v>426109</v>
      </c>
    </row>
    <row r="557" spans="1:20" x14ac:dyDescent="0.35">
      <c r="A557" t="s">
        <v>531</v>
      </c>
      <c r="B557">
        <v>9.06</v>
      </c>
      <c r="C557">
        <v>8.23</v>
      </c>
      <c r="D557">
        <v>8.64</v>
      </c>
      <c r="E557">
        <v>12.92</v>
      </c>
      <c r="F557">
        <v>12.56</v>
      </c>
      <c r="G557">
        <v>12.68</v>
      </c>
      <c r="H557">
        <v>74.8</v>
      </c>
      <c r="I557">
        <v>62.95</v>
      </c>
      <c r="J557">
        <v>69.540000000000006</v>
      </c>
      <c r="K557">
        <v>4.59</v>
      </c>
      <c r="L557">
        <v>3.17</v>
      </c>
      <c r="M557">
        <v>4.04</v>
      </c>
      <c r="N557">
        <v>66.78</v>
      </c>
      <c r="O557">
        <v>70.75</v>
      </c>
      <c r="P557">
        <v>68.709999999999994</v>
      </c>
      <c r="Q557">
        <v>78.239999999999995</v>
      </c>
      <c r="R557">
        <v>55.32</v>
      </c>
      <c r="S557">
        <v>66.78</v>
      </c>
      <c r="T557">
        <v>549651</v>
      </c>
    </row>
    <row r="558" spans="1:20" x14ac:dyDescent="0.35">
      <c r="A558" t="s">
        <v>532</v>
      </c>
      <c r="B558">
        <v>9.7799999999999994</v>
      </c>
      <c r="C558">
        <v>9.35</v>
      </c>
      <c r="D558">
        <v>9.61</v>
      </c>
      <c r="E558">
        <v>14.51</v>
      </c>
      <c r="F558">
        <v>14.49</v>
      </c>
      <c r="G558">
        <v>14.49</v>
      </c>
      <c r="H558">
        <v>79.94</v>
      </c>
      <c r="I558">
        <v>71.94</v>
      </c>
      <c r="J558">
        <v>75.11</v>
      </c>
      <c r="K558">
        <v>4.1500000000000004</v>
      </c>
      <c r="L558">
        <v>4.6900000000000004</v>
      </c>
      <c r="M558">
        <v>4.3499999999999996</v>
      </c>
      <c r="N558">
        <v>69.7</v>
      </c>
      <c r="O558">
        <v>73.69</v>
      </c>
      <c r="P558">
        <v>71.650000000000006</v>
      </c>
      <c r="Q558">
        <v>79.569999999999993</v>
      </c>
      <c r="R558">
        <v>52.08</v>
      </c>
      <c r="S558">
        <v>65.83</v>
      </c>
      <c r="T558">
        <v>241544</v>
      </c>
    </row>
    <row r="559" spans="1:20" x14ac:dyDescent="0.35">
      <c r="A559" t="s">
        <v>533</v>
      </c>
      <c r="B559">
        <v>9.77</v>
      </c>
      <c r="C559">
        <v>8.8800000000000008</v>
      </c>
      <c r="D559">
        <v>9.43</v>
      </c>
      <c r="E559">
        <v>11.96</v>
      </c>
      <c r="F559">
        <v>11.62</v>
      </c>
      <c r="G559">
        <v>11.69</v>
      </c>
      <c r="H559">
        <v>73.72</v>
      </c>
      <c r="I559">
        <v>60.04</v>
      </c>
      <c r="J559">
        <v>68.62</v>
      </c>
      <c r="K559">
        <v>4.43</v>
      </c>
      <c r="L559">
        <v>2.2400000000000002</v>
      </c>
      <c r="M559">
        <v>3.66</v>
      </c>
      <c r="N559">
        <v>67.7</v>
      </c>
      <c r="O559">
        <v>71.650000000000006</v>
      </c>
      <c r="P559">
        <v>69.63</v>
      </c>
      <c r="Q559">
        <v>78.87</v>
      </c>
      <c r="R559">
        <v>51.09</v>
      </c>
      <c r="S559">
        <v>64.98</v>
      </c>
      <c r="T559">
        <v>70275</v>
      </c>
    </row>
    <row r="560" spans="1:20" x14ac:dyDescent="0.35">
      <c r="A560" t="s">
        <v>534</v>
      </c>
      <c r="B560">
        <v>8.08</v>
      </c>
      <c r="C560">
        <v>6.77</v>
      </c>
      <c r="D560">
        <v>7.41</v>
      </c>
      <c r="E560">
        <v>11.37</v>
      </c>
      <c r="F560">
        <v>11.91</v>
      </c>
      <c r="G560">
        <v>11.42</v>
      </c>
      <c r="H560">
        <v>67.78</v>
      </c>
      <c r="I560">
        <v>58.56</v>
      </c>
      <c r="J560">
        <v>62.6</v>
      </c>
      <c r="K560">
        <v>7.08</v>
      </c>
      <c r="L560">
        <v>3.47</v>
      </c>
      <c r="M560">
        <v>5.61</v>
      </c>
      <c r="N560">
        <v>64.58</v>
      </c>
      <c r="O560">
        <v>68.5</v>
      </c>
      <c r="P560">
        <v>66.489999999999995</v>
      </c>
      <c r="Q560">
        <v>74.540000000000006</v>
      </c>
      <c r="R560">
        <v>55.56</v>
      </c>
      <c r="S560">
        <v>65.05</v>
      </c>
      <c r="T560">
        <v>116948</v>
      </c>
    </row>
    <row r="561" spans="1:20" x14ac:dyDescent="0.35">
      <c r="A561" t="s">
        <v>535</v>
      </c>
      <c r="B561">
        <v>7.06</v>
      </c>
      <c r="C561">
        <v>5.41</v>
      </c>
      <c r="D561">
        <v>6.1</v>
      </c>
      <c r="E561">
        <v>9.9499999999999993</v>
      </c>
      <c r="F561">
        <v>9.61</v>
      </c>
      <c r="G561">
        <v>9.75</v>
      </c>
      <c r="H561">
        <v>65.14</v>
      </c>
      <c r="I561">
        <v>39.42</v>
      </c>
      <c r="J561">
        <v>58.55</v>
      </c>
      <c r="K561">
        <v>3.33</v>
      </c>
      <c r="L561">
        <v>0.41</v>
      </c>
      <c r="M561">
        <v>2.0699999999999998</v>
      </c>
      <c r="N561">
        <v>66.37</v>
      </c>
      <c r="O561">
        <v>70.349999999999994</v>
      </c>
      <c r="P561">
        <v>68.31</v>
      </c>
      <c r="Q561">
        <v>78.42</v>
      </c>
      <c r="R561">
        <v>65.430000000000007</v>
      </c>
      <c r="S561">
        <v>71.930000000000007</v>
      </c>
      <c r="T561">
        <v>120884</v>
      </c>
    </row>
    <row r="562" spans="1:20" x14ac:dyDescent="0.35">
      <c r="A562" t="s">
        <v>536</v>
      </c>
      <c r="B562">
        <v>6.71</v>
      </c>
      <c r="C562">
        <v>5.64</v>
      </c>
      <c r="D562">
        <v>6.13</v>
      </c>
      <c r="E562">
        <v>9.7100000000000009</v>
      </c>
      <c r="F562">
        <v>9.44</v>
      </c>
      <c r="G562">
        <v>9.64</v>
      </c>
      <c r="H562">
        <v>65.45</v>
      </c>
      <c r="I562">
        <v>53.79</v>
      </c>
      <c r="J562">
        <v>60.64</v>
      </c>
      <c r="K562">
        <v>3.69</v>
      </c>
      <c r="L562">
        <v>3.54</v>
      </c>
      <c r="M562">
        <v>3.62</v>
      </c>
      <c r="N562">
        <v>66.44</v>
      </c>
      <c r="O562">
        <v>70.42</v>
      </c>
      <c r="P562">
        <v>68.38</v>
      </c>
      <c r="Q562">
        <v>80.58</v>
      </c>
      <c r="R562">
        <v>66.09</v>
      </c>
      <c r="S562">
        <v>73.34</v>
      </c>
      <c r="T562">
        <v>1492286</v>
      </c>
    </row>
    <row r="563" spans="1:20" x14ac:dyDescent="0.35">
      <c r="A563" t="s">
        <v>537</v>
      </c>
      <c r="B563">
        <v>10.82</v>
      </c>
      <c r="C563">
        <v>10.45</v>
      </c>
      <c r="D563">
        <v>10.73</v>
      </c>
      <c r="E563">
        <v>13.13</v>
      </c>
      <c r="F563">
        <v>13.36</v>
      </c>
      <c r="G563">
        <v>13.17</v>
      </c>
      <c r="H563">
        <v>82.36</v>
      </c>
      <c r="I563">
        <v>65.28</v>
      </c>
      <c r="J563">
        <v>77.27</v>
      </c>
      <c r="K563">
        <v>6.78</v>
      </c>
      <c r="L563">
        <v>6.68</v>
      </c>
      <c r="M563">
        <v>6.75</v>
      </c>
      <c r="N563">
        <v>71.3</v>
      </c>
      <c r="O563">
        <v>75.709999999999994</v>
      </c>
      <c r="P563">
        <v>73.45</v>
      </c>
      <c r="Q563">
        <v>84.56</v>
      </c>
      <c r="R563">
        <v>47.77</v>
      </c>
      <c r="S563">
        <v>66.17</v>
      </c>
      <c r="T563">
        <v>331628</v>
      </c>
    </row>
    <row r="564" spans="1:20" x14ac:dyDescent="0.35">
      <c r="A564" t="s">
        <v>538</v>
      </c>
      <c r="B564">
        <v>5.47</v>
      </c>
      <c r="C564">
        <v>4.16</v>
      </c>
      <c r="D564">
        <v>4.99</v>
      </c>
      <c r="E564">
        <v>10.53</v>
      </c>
      <c r="F564">
        <v>10.91</v>
      </c>
      <c r="G564">
        <v>10.64</v>
      </c>
      <c r="H564">
        <v>62.37</v>
      </c>
      <c r="I564">
        <v>51.48</v>
      </c>
      <c r="J564">
        <v>57.96</v>
      </c>
      <c r="K564">
        <v>2.4300000000000002</v>
      </c>
      <c r="L564">
        <v>2.1800000000000002</v>
      </c>
      <c r="M564">
        <v>2.3199999999999998</v>
      </c>
      <c r="N564">
        <v>64.83</v>
      </c>
      <c r="O564">
        <v>68.760000000000005</v>
      </c>
      <c r="P564">
        <v>66.75</v>
      </c>
      <c r="Q564">
        <v>93.77</v>
      </c>
      <c r="R564">
        <v>81.19</v>
      </c>
      <c r="S564">
        <v>87.48</v>
      </c>
      <c r="T564">
        <v>127270</v>
      </c>
    </row>
    <row r="565" spans="1:20" x14ac:dyDescent="0.35">
      <c r="A565" t="s">
        <v>539</v>
      </c>
      <c r="B565">
        <v>4.42</v>
      </c>
      <c r="C565">
        <v>2.02</v>
      </c>
      <c r="D565">
        <v>3.3</v>
      </c>
      <c r="E565">
        <v>10.85</v>
      </c>
      <c r="F565">
        <v>9.56</v>
      </c>
      <c r="G565">
        <v>9.8699999999999992</v>
      </c>
      <c r="H565">
        <v>59.02</v>
      </c>
      <c r="I565">
        <v>43.07</v>
      </c>
      <c r="J565">
        <v>52.81</v>
      </c>
      <c r="K565">
        <v>3.74</v>
      </c>
      <c r="L565">
        <v>3.42</v>
      </c>
      <c r="M565">
        <v>3.59</v>
      </c>
      <c r="N565">
        <v>64.92</v>
      </c>
      <c r="O565">
        <v>68.849999999999994</v>
      </c>
      <c r="P565">
        <v>66.84</v>
      </c>
      <c r="Q565">
        <v>71.87</v>
      </c>
      <c r="R565">
        <v>68.39</v>
      </c>
      <c r="S565">
        <v>70.13</v>
      </c>
      <c r="T565">
        <v>108362</v>
      </c>
    </row>
    <row r="566" spans="1:20" x14ac:dyDescent="0.35">
      <c r="A566" t="s">
        <v>540</v>
      </c>
      <c r="B566">
        <v>10.66</v>
      </c>
      <c r="C566">
        <v>10.050000000000001</v>
      </c>
      <c r="D566">
        <v>10.43</v>
      </c>
      <c r="E566">
        <v>13.01</v>
      </c>
      <c r="F566">
        <v>12.97</v>
      </c>
      <c r="G566">
        <v>12.97</v>
      </c>
      <c r="H566">
        <v>78</v>
      </c>
      <c r="I566">
        <v>71.45</v>
      </c>
      <c r="J566">
        <v>72.89</v>
      </c>
      <c r="K566">
        <v>3.23</v>
      </c>
      <c r="L566">
        <v>3.03</v>
      </c>
      <c r="M566">
        <v>3.16</v>
      </c>
      <c r="N566">
        <v>68.58</v>
      </c>
      <c r="O566">
        <v>72.510000000000005</v>
      </c>
      <c r="P566">
        <v>70.5</v>
      </c>
      <c r="Q566">
        <v>82.98</v>
      </c>
      <c r="R566">
        <v>52.37</v>
      </c>
      <c r="S566">
        <v>67.680000000000007</v>
      </c>
      <c r="T566">
        <v>176930</v>
      </c>
    </row>
    <row r="567" spans="1:20" x14ac:dyDescent="0.35">
      <c r="A567" t="s">
        <v>541</v>
      </c>
      <c r="B567">
        <v>5.0999999999999996</v>
      </c>
      <c r="C567">
        <v>3.59</v>
      </c>
      <c r="D567">
        <v>4.82</v>
      </c>
      <c r="E567">
        <v>11.07</v>
      </c>
      <c r="F567">
        <v>10.19</v>
      </c>
      <c r="G567">
        <v>10.55</v>
      </c>
      <c r="H567">
        <v>65.52</v>
      </c>
      <c r="I567">
        <v>46.61</v>
      </c>
      <c r="J567">
        <v>60.04</v>
      </c>
      <c r="K567">
        <v>3.82</v>
      </c>
      <c r="L567">
        <v>4.5599999999999996</v>
      </c>
      <c r="M567">
        <v>4.13</v>
      </c>
      <c r="N567">
        <v>67.92</v>
      </c>
      <c r="O567">
        <v>71.86</v>
      </c>
      <c r="P567">
        <v>69.84</v>
      </c>
      <c r="Q567">
        <v>72.62</v>
      </c>
      <c r="R567">
        <v>62.8</v>
      </c>
      <c r="S567">
        <v>67.709999999999994</v>
      </c>
      <c r="T567">
        <v>240343</v>
      </c>
    </row>
    <row r="568" spans="1:20" x14ac:dyDescent="0.35">
      <c r="A568" t="s">
        <v>542</v>
      </c>
      <c r="B568">
        <v>4.79</v>
      </c>
      <c r="C568">
        <v>2.2000000000000002</v>
      </c>
      <c r="D568">
        <v>3.38</v>
      </c>
      <c r="E568">
        <v>8.5</v>
      </c>
      <c r="F568">
        <v>7.17</v>
      </c>
      <c r="G568">
        <v>7.84</v>
      </c>
      <c r="H568">
        <v>58.28</v>
      </c>
      <c r="I568">
        <v>43.41</v>
      </c>
      <c r="J568">
        <v>51.56</v>
      </c>
      <c r="K568">
        <v>7.43</v>
      </c>
      <c r="L568">
        <v>8.81</v>
      </c>
      <c r="M568">
        <v>8.0500000000000007</v>
      </c>
      <c r="N568">
        <v>64.930000000000007</v>
      </c>
      <c r="O568">
        <v>68.86</v>
      </c>
      <c r="P568">
        <v>66.849999999999994</v>
      </c>
      <c r="Q568">
        <v>60.23</v>
      </c>
      <c r="R568">
        <v>53.43</v>
      </c>
      <c r="S568">
        <v>56.83</v>
      </c>
      <c r="T568">
        <v>145902</v>
      </c>
    </row>
    <row r="569" spans="1:20" x14ac:dyDescent="0.35">
      <c r="A569" t="s">
        <v>543</v>
      </c>
      <c r="B569">
        <v>2.79</v>
      </c>
      <c r="C569">
        <v>1.66</v>
      </c>
      <c r="D569">
        <v>2.4</v>
      </c>
      <c r="E569">
        <v>5.91</v>
      </c>
      <c r="F569">
        <v>5.44</v>
      </c>
      <c r="G569">
        <v>5.61</v>
      </c>
      <c r="H569">
        <v>47.88</v>
      </c>
      <c r="I569">
        <v>41.71</v>
      </c>
      <c r="J569">
        <v>45.95</v>
      </c>
      <c r="K569">
        <v>0</v>
      </c>
      <c r="L569">
        <v>0.3</v>
      </c>
      <c r="M569">
        <v>0.14000000000000001</v>
      </c>
      <c r="N569">
        <v>65.010000000000005</v>
      </c>
      <c r="O569">
        <v>68.95</v>
      </c>
      <c r="P569">
        <v>66.94</v>
      </c>
      <c r="Q569">
        <v>93.06</v>
      </c>
      <c r="R569">
        <v>91.58</v>
      </c>
      <c r="S569">
        <v>92.32</v>
      </c>
      <c r="T569">
        <v>124408</v>
      </c>
    </row>
    <row r="570" spans="1:20" x14ac:dyDescent="0.35">
      <c r="A570" t="s">
        <v>544</v>
      </c>
      <c r="B570">
        <v>5.68</v>
      </c>
      <c r="C570">
        <v>4.46</v>
      </c>
      <c r="D570">
        <v>4.59</v>
      </c>
      <c r="E570">
        <v>7.69</v>
      </c>
      <c r="F570">
        <v>7.66</v>
      </c>
      <c r="G570">
        <v>7.66</v>
      </c>
      <c r="H570">
        <v>59.03</v>
      </c>
      <c r="I570">
        <v>42.09</v>
      </c>
      <c r="J570">
        <v>53.18</v>
      </c>
      <c r="K570">
        <v>1.23</v>
      </c>
      <c r="L570">
        <v>1.52</v>
      </c>
      <c r="M570">
        <v>1.36</v>
      </c>
      <c r="N570">
        <v>66.22</v>
      </c>
      <c r="O570">
        <v>70.2</v>
      </c>
      <c r="P570">
        <v>68.16</v>
      </c>
      <c r="Q570">
        <v>84.94</v>
      </c>
      <c r="R570">
        <v>84</v>
      </c>
      <c r="S570">
        <v>84.47</v>
      </c>
      <c r="T570">
        <v>237443</v>
      </c>
    </row>
    <row r="571" spans="1:20" x14ac:dyDescent="0.35">
      <c r="A571" t="s">
        <v>545</v>
      </c>
      <c r="B571">
        <v>5.36</v>
      </c>
      <c r="C571">
        <v>3.6</v>
      </c>
      <c r="D571">
        <v>4.3</v>
      </c>
      <c r="E571">
        <v>9.9600000000000009</v>
      </c>
      <c r="F571">
        <v>10.1</v>
      </c>
      <c r="G571">
        <v>9.98</v>
      </c>
      <c r="H571">
        <v>59.65</v>
      </c>
      <c r="I571">
        <v>52.39</v>
      </c>
      <c r="J571">
        <v>54.91</v>
      </c>
      <c r="K571">
        <v>1.55</v>
      </c>
      <c r="L571">
        <v>1.84</v>
      </c>
      <c r="M571">
        <v>1.68</v>
      </c>
      <c r="N571">
        <v>65.62</v>
      </c>
      <c r="O571">
        <v>69.59</v>
      </c>
      <c r="P571">
        <v>67.55</v>
      </c>
      <c r="Q571">
        <v>92.87</v>
      </c>
      <c r="R571">
        <v>88.08</v>
      </c>
      <c r="S571">
        <v>90.48</v>
      </c>
      <c r="T571">
        <v>1484858</v>
      </c>
    </row>
    <row r="572" spans="1:20" x14ac:dyDescent="0.35">
      <c r="A572" t="s">
        <v>546</v>
      </c>
      <c r="B572">
        <v>2.95</v>
      </c>
      <c r="C572">
        <v>2.19</v>
      </c>
      <c r="D572">
        <v>2.19</v>
      </c>
      <c r="E572">
        <v>5.63</v>
      </c>
      <c r="F572">
        <v>4.45</v>
      </c>
      <c r="G572">
        <v>4.7300000000000004</v>
      </c>
      <c r="H572">
        <v>43.65</v>
      </c>
      <c r="I572">
        <v>40.200000000000003</v>
      </c>
      <c r="J572">
        <v>40.35</v>
      </c>
      <c r="K572">
        <v>2</v>
      </c>
      <c r="L572">
        <v>1.68</v>
      </c>
      <c r="M572">
        <v>1.85</v>
      </c>
      <c r="N572">
        <v>62.16</v>
      </c>
      <c r="O572">
        <v>65.89</v>
      </c>
      <c r="P572">
        <v>63.94</v>
      </c>
      <c r="Q572">
        <v>92.79</v>
      </c>
      <c r="R572">
        <v>93.39</v>
      </c>
      <c r="S572">
        <v>93.09</v>
      </c>
      <c r="T572">
        <v>114889</v>
      </c>
    </row>
    <row r="573" spans="1:20" x14ac:dyDescent="0.35">
      <c r="A573" t="s">
        <v>547</v>
      </c>
      <c r="B573">
        <v>7.19</v>
      </c>
      <c r="C573">
        <v>5.55</v>
      </c>
      <c r="D573">
        <v>6.15</v>
      </c>
      <c r="E573">
        <v>13.44</v>
      </c>
      <c r="F573">
        <v>12.19</v>
      </c>
      <c r="G573">
        <v>12.86</v>
      </c>
      <c r="H573">
        <v>69.41</v>
      </c>
      <c r="I573">
        <v>60.53</v>
      </c>
      <c r="J573">
        <v>66.02</v>
      </c>
      <c r="K573">
        <v>3.19</v>
      </c>
      <c r="L573">
        <v>3.17</v>
      </c>
      <c r="M573">
        <v>3.18</v>
      </c>
      <c r="N573">
        <v>68.45</v>
      </c>
      <c r="O573">
        <v>72.38</v>
      </c>
      <c r="P573">
        <v>70.37</v>
      </c>
      <c r="Q573">
        <v>85.11</v>
      </c>
      <c r="R573">
        <v>69.73</v>
      </c>
      <c r="S573">
        <v>77.42</v>
      </c>
      <c r="T573">
        <v>283894</v>
      </c>
    </row>
    <row r="574" spans="1:20" x14ac:dyDescent="0.35">
      <c r="A574" t="s">
        <v>548</v>
      </c>
      <c r="B574">
        <v>4.9800000000000004</v>
      </c>
      <c r="C574">
        <v>2.7</v>
      </c>
      <c r="D574">
        <v>3.87</v>
      </c>
      <c r="E574">
        <v>10.6</v>
      </c>
      <c r="F574">
        <v>9.5299999999999994</v>
      </c>
      <c r="G574">
        <v>9.73</v>
      </c>
      <c r="H574">
        <v>55.24</v>
      </c>
      <c r="I574">
        <v>52.24</v>
      </c>
      <c r="J574">
        <v>52.47</v>
      </c>
      <c r="K574">
        <v>0.35</v>
      </c>
      <c r="L574">
        <v>0.67</v>
      </c>
      <c r="M574">
        <v>0.5</v>
      </c>
      <c r="N574">
        <v>65.5</v>
      </c>
      <c r="O574">
        <v>69.459999999999994</v>
      </c>
      <c r="P574">
        <v>67.430000000000007</v>
      </c>
      <c r="Q574">
        <v>96.71</v>
      </c>
      <c r="R574">
        <v>95.91</v>
      </c>
      <c r="S574">
        <v>96.31</v>
      </c>
      <c r="T574">
        <v>211334</v>
      </c>
    </row>
    <row r="575" spans="1:20" x14ac:dyDescent="0.35">
      <c r="A575" t="s">
        <v>549</v>
      </c>
      <c r="B575">
        <v>4.87</v>
      </c>
      <c r="C575">
        <v>2.36</v>
      </c>
      <c r="D575">
        <v>3.7</v>
      </c>
      <c r="E575">
        <v>9.4</v>
      </c>
      <c r="F575">
        <v>8.8000000000000007</v>
      </c>
      <c r="G575">
        <v>9.0399999999999991</v>
      </c>
      <c r="H575">
        <v>60.38</v>
      </c>
      <c r="I575">
        <v>38.75</v>
      </c>
      <c r="J575">
        <v>52.71</v>
      </c>
      <c r="K575">
        <v>0.66</v>
      </c>
      <c r="L575">
        <v>1.36</v>
      </c>
      <c r="M575">
        <v>0.98</v>
      </c>
      <c r="N575">
        <v>65.59</v>
      </c>
      <c r="O575">
        <v>69.56</v>
      </c>
      <c r="P575">
        <v>67.52</v>
      </c>
      <c r="Q575">
        <v>94.68</v>
      </c>
      <c r="R575">
        <v>93.26</v>
      </c>
      <c r="S575">
        <v>93.97</v>
      </c>
      <c r="T575">
        <v>248306</v>
      </c>
    </row>
    <row r="576" spans="1:20" x14ac:dyDescent="0.35">
      <c r="A576" t="s">
        <v>550</v>
      </c>
      <c r="B576">
        <v>5.56</v>
      </c>
      <c r="C576">
        <v>3.26</v>
      </c>
      <c r="D576">
        <v>3.99</v>
      </c>
      <c r="E576">
        <v>10.53</v>
      </c>
      <c r="F576">
        <v>9.4600000000000009</v>
      </c>
      <c r="G576">
        <v>9.7899999999999991</v>
      </c>
      <c r="H576">
        <v>56.99</v>
      </c>
      <c r="I576">
        <v>51.63</v>
      </c>
      <c r="J576">
        <v>53.36</v>
      </c>
      <c r="K576">
        <v>4.1500000000000004</v>
      </c>
      <c r="L576">
        <v>1.29</v>
      </c>
      <c r="M576">
        <v>2.86</v>
      </c>
      <c r="N576">
        <v>67.16</v>
      </c>
      <c r="O576">
        <v>71.12</v>
      </c>
      <c r="P576">
        <v>69.09</v>
      </c>
      <c r="Q576">
        <v>89.73</v>
      </c>
      <c r="R576">
        <v>82.94</v>
      </c>
      <c r="S576">
        <v>86.34</v>
      </c>
      <c r="T576">
        <v>54365</v>
      </c>
    </row>
    <row r="577" spans="1:20" x14ac:dyDescent="0.35">
      <c r="A577" t="s">
        <v>551</v>
      </c>
      <c r="B577">
        <v>5.61</v>
      </c>
      <c r="C577">
        <v>3.83</v>
      </c>
      <c r="D577">
        <v>3.83</v>
      </c>
      <c r="E577">
        <v>10.28</v>
      </c>
      <c r="F577">
        <v>9.84</v>
      </c>
      <c r="G577">
        <v>9.85</v>
      </c>
      <c r="H577">
        <v>60.19</v>
      </c>
      <c r="I577">
        <v>52.04</v>
      </c>
      <c r="J577">
        <v>52.63</v>
      </c>
      <c r="K577">
        <v>0.14000000000000001</v>
      </c>
      <c r="L577">
        <v>1.3</v>
      </c>
      <c r="M577">
        <v>0.68</v>
      </c>
      <c r="N577">
        <v>64.62</v>
      </c>
      <c r="O577">
        <v>68.540000000000006</v>
      </c>
      <c r="P577">
        <v>66.53</v>
      </c>
      <c r="Q577">
        <v>91.13</v>
      </c>
      <c r="R577">
        <v>90.72</v>
      </c>
      <c r="S577">
        <v>90.93</v>
      </c>
      <c r="T577">
        <v>109875</v>
      </c>
    </row>
    <row r="578" spans="1:20" x14ac:dyDescent="0.35">
      <c r="A578" t="s">
        <v>552</v>
      </c>
      <c r="B578">
        <v>5.86</v>
      </c>
      <c r="C578">
        <v>3.29</v>
      </c>
      <c r="D578">
        <v>4.3600000000000003</v>
      </c>
      <c r="E578">
        <v>8.4700000000000006</v>
      </c>
      <c r="F578">
        <v>8.06</v>
      </c>
      <c r="G578">
        <v>8.06</v>
      </c>
      <c r="H578">
        <v>61.18</v>
      </c>
      <c r="I578">
        <v>47.18</v>
      </c>
      <c r="J578">
        <v>52.48</v>
      </c>
      <c r="K578">
        <v>1.37</v>
      </c>
      <c r="L578">
        <v>2.29</v>
      </c>
      <c r="M578">
        <v>1.78</v>
      </c>
      <c r="N578">
        <v>64.760000000000005</v>
      </c>
      <c r="O578">
        <v>68.69</v>
      </c>
      <c r="P578">
        <v>66.680000000000007</v>
      </c>
      <c r="Q578">
        <v>96.01</v>
      </c>
      <c r="R578">
        <v>91.82</v>
      </c>
      <c r="S578">
        <v>93.92</v>
      </c>
      <c r="T578">
        <v>377486</v>
      </c>
    </row>
    <row r="579" spans="1:20" x14ac:dyDescent="0.35">
      <c r="A579" t="s">
        <v>553</v>
      </c>
      <c r="B579">
        <v>5.5</v>
      </c>
      <c r="C579">
        <v>2.89</v>
      </c>
      <c r="D579">
        <v>3.59</v>
      </c>
      <c r="E579">
        <v>7.27</v>
      </c>
      <c r="F579">
        <v>7.59</v>
      </c>
      <c r="G579">
        <v>7.3</v>
      </c>
      <c r="H579">
        <v>57.26</v>
      </c>
      <c r="I579">
        <v>47.67</v>
      </c>
      <c r="J579">
        <v>50.56</v>
      </c>
      <c r="K579">
        <v>3.58</v>
      </c>
      <c r="L579">
        <v>2.11</v>
      </c>
      <c r="M579">
        <v>2.92</v>
      </c>
      <c r="N579">
        <v>64.59</v>
      </c>
      <c r="O579">
        <v>68.510000000000005</v>
      </c>
      <c r="P579">
        <v>66.5</v>
      </c>
      <c r="Q579">
        <v>90.44</v>
      </c>
      <c r="R579">
        <v>89.32</v>
      </c>
      <c r="S579">
        <v>89.88</v>
      </c>
      <c r="T579">
        <v>84709</v>
      </c>
    </row>
    <row r="580" spans="1:20" x14ac:dyDescent="0.35">
      <c r="A580" t="s">
        <v>559</v>
      </c>
      <c r="B580">
        <v>9.35</v>
      </c>
      <c r="C580">
        <v>8.7899999999999991</v>
      </c>
      <c r="D580">
        <v>9.07</v>
      </c>
      <c r="E580">
        <v>13.16</v>
      </c>
      <c r="F580">
        <v>13.46</v>
      </c>
      <c r="G580">
        <v>13.3</v>
      </c>
      <c r="H580">
        <v>79.260000000000005</v>
      </c>
      <c r="I580">
        <v>73.47</v>
      </c>
      <c r="J580">
        <v>75.900000000000006</v>
      </c>
      <c r="K580">
        <v>4.8499999999999996</v>
      </c>
      <c r="L580">
        <v>4.84</v>
      </c>
      <c r="M580">
        <v>4.8499999999999996</v>
      </c>
      <c r="N580">
        <v>71.959999999999994</v>
      </c>
      <c r="O580">
        <v>77.099999999999994</v>
      </c>
      <c r="P580">
        <v>74.47</v>
      </c>
      <c r="Q580">
        <v>84.4</v>
      </c>
      <c r="R580">
        <v>56.63</v>
      </c>
      <c r="S580">
        <v>70.52</v>
      </c>
      <c r="T580">
        <v>284438782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KAB</vt:lpstr>
      <vt:lpstr>PROV</vt:lpstr>
      <vt:lpstr>24KAB</vt:lpstr>
      <vt:lpstr>kabprov</vt:lpstr>
      <vt:lpstr>kasar</vt:lpstr>
      <vt:lpstr>kasar2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 ul</dc:creator>
  <cp:lastModifiedBy>au ul</cp:lastModifiedBy>
  <dcterms:created xsi:type="dcterms:W3CDTF">2026-10-03T07:15:37Z</dcterms:created>
  <dcterms:modified xsi:type="dcterms:W3CDTF">2026-10-04T12:34:51Z</dcterms:modified>
</cp:coreProperties>
</file>